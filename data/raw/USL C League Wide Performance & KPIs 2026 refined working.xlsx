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l Data Points USL C" sheetId="1" state="visible" r:id="rId1"/>
    <sheet name="Model" sheetId="2" state="visible" r:id="rId2"/>
  </sheets>
  <definedNames>
    <definedName name="_xlnm._FilterDatabase" localSheetId="0" hidden="1">'All Data Points USL C'!$A$1:$HG$100</definedName>
    <definedName name="_xlnm._FilterDatabase" localSheetId="1" hidden="1">'Model'!$A$1:$JH$100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z val="11"/>
    </font>
    <font>
      <name val="Arial"/>
      <i val="1"/>
      <color rgb="FF999999"/>
      <sz val="11"/>
    </font>
    <font>
      <name val="Arial"/>
      <color theme="1"/>
      <sz val="11"/>
      <scheme val="minor"/>
    </font>
    <font>
      <name val="Arial"/>
      <i val="1"/>
      <color theme="1"/>
      <sz val="10"/>
      <scheme val="minor"/>
    </font>
    <font>
      <name val="Arial"/>
      <i val="1"/>
      <color theme="1"/>
    </font>
    <font>
      <name val="Arial"/>
      <color theme="1"/>
    </font>
    <font>
      <name val="Arial"/>
      <color theme="1"/>
      <sz val="11"/>
    </font>
    <font>
      <name val="Arial"/>
      <color theme="1"/>
      <scheme val="minor"/>
    </font>
    <font>
      <name val="Europa"/>
      <b val="1"/>
      <color rgb="FF3A343A"/>
      <sz val="11"/>
    </font>
    <font>
      <name val="&quot;Google Sans Mono&quot;"/>
      <color rgb="FF000000"/>
      <sz val="9"/>
    </font>
    <font>
      <name val="Arial"/>
      <b val="1"/>
      <i val="1"/>
      <color theme="1"/>
      <sz val="11"/>
      <u val="single"/>
    </font>
    <font>
      <name val="Arial"/>
      <i val="1"/>
      <color theme="1"/>
      <sz val="11"/>
    </font>
    <font>
      <name val="&quot;Google Sans Mono&quot;"/>
      <color theme="1"/>
      <sz val="9"/>
    </font>
  </fonts>
  <fills count="14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numFmtId="0" fontId="0" fillId="0" borderId="0"/>
  </cellStyleXfs>
  <cellXfs count="4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8" fillId="0" borderId="0" pivotButton="0" quotePrefix="0" xfId="0"/>
    <xf numFmtId="4" fontId="9" fillId="3" borderId="0" applyAlignment="1" pivotButton="0" quotePrefix="0" xfId="0">
      <alignment horizontal="center"/>
    </xf>
    <xf numFmtId="4" fontId="9" fillId="4" borderId="0" applyAlignment="1" pivotButton="0" quotePrefix="0" xfId="0">
      <alignment horizontal="center"/>
    </xf>
    <xf numFmtId="4" fontId="9" fillId="5" borderId="0" applyAlignment="1" pivotButton="0" quotePrefix="0" xfId="0">
      <alignment horizontal="center"/>
    </xf>
    <xf numFmtId="4" fontId="8" fillId="0" borderId="0" applyAlignment="1" pivotButton="0" quotePrefix="0" xfId="0">
      <alignment horizontal="center"/>
    </xf>
    <xf numFmtId="4" fontId="10" fillId="6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4" fontId="12" fillId="2" borderId="0" applyAlignment="1" pivotButton="0" quotePrefix="0" xfId="0">
      <alignment horizontal="center" vertical="bottom"/>
    </xf>
    <xf numFmtId="4" fontId="13" fillId="3" borderId="0" applyAlignment="1" pivotButton="0" quotePrefix="0" xfId="0">
      <alignment horizontal="center"/>
    </xf>
    <xf numFmtId="4" fontId="7" fillId="0" borderId="0" applyAlignment="1" pivotButton="0" quotePrefix="0" xfId="0">
      <alignment horizontal="center" vertical="bottom"/>
    </xf>
    <xf numFmtId="4" fontId="13" fillId="13" borderId="0" applyAlignment="1" pivotButton="0" quotePrefix="0" xfId="0">
      <alignment horizontal="center"/>
    </xf>
    <xf numFmtId="4" fontId="13" fillId="12" borderId="0" applyAlignment="1" pivotButton="0" quotePrefix="0" xfId="0">
      <alignment horizontal="center"/>
    </xf>
    <xf numFmtId="4" fontId="10" fillId="12" borderId="0" applyAlignment="1" pivotButton="0" quotePrefix="0" xfId="0">
      <alignment horizontal="center"/>
    </xf>
    <xf numFmtId="4" fontId="10" fillId="10" borderId="0" applyAlignment="1" pivotButton="0" quotePrefix="0" xfId="0">
      <alignment horizontal="center"/>
    </xf>
    <xf numFmtId="4" fontId="10" fillId="11" borderId="0" applyAlignment="1" pivotButton="0" quotePrefix="0" xfId="0">
      <alignment horizontal="center"/>
    </xf>
    <xf numFmtId="0" fontId="6" fillId="0" borderId="0" applyAlignment="1" pivotButton="0" quotePrefix="0" xfId="0">
      <alignment vertical="bottom"/>
    </xf>
    <xf numFmtId="4" fontId="8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G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75" customWidth="1" style="43" min="1" max="1"/>
    <col width="9.130000000000001" customWidth="1" style="43" min="2" max="2"/>
    <col width="16.75" customWidth="1" style="43" min="3" max="3"/>
    <col width="10.75" customWidth="1" style="43" min="4" max="4"/>
    <col width="11.75" customWidth="1" style="43" min="5" max="5"/>
    <col width="16.75" customWidth="1" style="43" min="6" max="8"/>
    <col width="20" customWidth="1" style="43" min="9" max="9"/>
    <col width="16" customWidth="1" style="43" min="18" max="18"/>
    <col width="23.13" customWidth="1" style="43" min="39" max="39"/>
    <col width="19.75" customWidth="1" style="43" min="51" max="51"/>
    <col width="14.63" customWidth="1" style="43" min="108" max="108"/>
    <col width="14.5" customWidth="1" style="43" min="121" max="121"/>
    <col width="14.5" customWidth="1" style="43" min="211" max="211"/>
  </cols>
  <sheetData>
    <row r="1">
      <c r="A1" s="1" t="inlineStr">
        <is>
          <t>Year</t>
        </is>
      </c>
      <c r="B1" s="1" t="inlineStr">
        <is>
          <t>Points</t>
        </is>
      </c>
      <c r="C1" s="2" t="inlineStr">
        <is>
          <t>Standarised Points Score</t>
        </is>
      </c>
      <c r="D1" s="1" t="inlineStr">
        <is>
          <t>Position</t>
        </is>
      </c>
      <c r="E1" s="2" t="inlineStr">
        <is>
          <t>Positon Reversed</t>
        </is>
      </c>
      <c r="F1" s="2" t="inlineStr">
        <is>
          <t>Adjusted Position Z Score</t>
        </is>
      </c>
      <c r="G1" s="2" t="inlineStr">
        <is>
          <t>Composite Team Score</t>
        </is>
      </c>
      <c r="H1" s="1" t="inlineStr">
        <is>
          <t>Team</t>
        </is>
      </c>
      <c r="I1" s="1" t="inlineStr">
        <is>
          <t>Team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Shots / on target</t>
        </is>
      </c>
      <c r="O1" s="1" t="inlineStr">
        <is>
          <t>Passes / accurate</t>
        </is>
      </c>
      <c r="R1" s="1" t="inlineStr">
        <is>
          <t>Possession, %</t>
        </is>
      </c>
      <c r="S1" s="1" t="inlineStr">
        <is>
          <t>Losses / Low / Medium / High</t>
        </is>
      </c>
      <c r="W1" s="1" t="inlineStr">
        <is>
          <t>Recoveries / Low / Medium / High</t>
        </is>
      </c>
      <c r="AA1" s="1" t="inlineStr">
        <is>
          <t>Duels / won</t>
        </is>
      </c>
      <c r="AD1" s="1" t="inlineStr">
        <is>
          <t>Shots from outside penalty area / on target</t>
        </is>
      </c>
      <c r="AG1" s="1" t="inlineStr">
        <is>
          <t>Positional attacks / with shots</t>
        </is>
      </c>
      <c r="AJ1" s="1" t="inlineStr">
        <is>
          <t>Counterattacks / with shots</t>
        </is>
      </c>
      <c r="AM1" s="1" t="inlineStr">
        <is>
          <t>Set pieces / with shots</t>
        </is>
      </c>
      <c r="AP1" s="1" t="inlineStr">
        <is>
          <t>Corners / with shots</t>
        </is>
      </c>
      <c r="AS1" s="1" t="inlineStr">
        <is>
          <t>Free kicks / with shots</t>
        </is>
      </c>
      <c r="AV1" s="1" t="inlineStr">
        <is>
          <t>Penalties / converted</t>
        </is>
      </c>
      <c r="AY1" s="1" t="inlineStr">
        <is>
          <t>Crosses / accurate</t>
        </is>
      </c>
      <c r="BB1" s="1" t="inlineStr">
        <is>
          <t>Deep completed crosses</t>
        </is>
      </c>
      <c r="BC1" s="1" t="inlineStr">
        <is>
          <t>Deep completed passes</t>
        </is>
      </c>
      <c r="BD1" s="1" t="inlineStr">
        <is>
          <t>Penalty area entries (runs / crosses)</t>
        </is>
      </c>
      <c r="BG1" s="1" t="inlineStr">
        <is>
          <t>Touches in penalty area</t>
        </is>
      </c>
      <c r="BH1" s="1" t="inlineStr">
        <is>
          <t>Offensive duels / won</t>
        </is>
      </c>
      <c r="BK1" s="1" t="inlineStr">
        <is>
          <t>Offsides</t>
        </is>
      </c>
      <c r="BL1" s="1" t="inlineStr">
        <is>
          <t>Conceded goals</t>
        </is>
      </c>
      <c r="BM1" s="1" t="inlineStr">
        <is>
          <t>Shots against / on target</t>
        </is>
      </c>
      <c r="BP1" s="1" t="inlineStr">
        <is>
          <t>Defensive duels / won</t>
        </is>
      </c>
      <c r="BS1" s="1" t="inlineStr">
        <is>
          <t>Aerial duels / won</t>
        </is>
      </c>
      <c r="BV1" s="1" t="inlineStr">
        <is>
          <t>Sliding tackles / successful</t>
        </is>
      </c>
      <c r="BY1" s="1" t="inlineStr">
        <is>
          <t>Interceptions</t>
        </is>
      </c>
      <c r="BZ1" s="1" t="inlineStr">
        <is>
          <t>Clearances</t>
        </is>
      </c>
      <c r="CA1" s="1" t="inlineStr">
        <is>
          <t>Fouls</t>
        </is>
      </c>
      <c r="CB1" s="1" t="inlineStr">
        <is>
          <t>Yellow cards</t>
        </is>
      </c>
      <c r="CC1" s="1" t="inlineStr">
        <is>
          <t>Red cards</t>
        </is>
      </c>
      <c r="CD1" s="1" t="inlineStr">
        <is>
          <t>Forward passes / accurate</t>
        </is>
      </c>
      <c r="CG1" s="1" t="inlineStr">
        <is>
          <t>Back passes / accurate</t>
        </is>
      </c>
      <c r="CJ1" s="1" t="inlineStr">
        <is>
          <t>Lateral passes / accurate</t>
        </is>
      </c>
      <c r="CM1" s="1" t="inlineStr">
        <is>
          <t>Long passes / accurate</t>
        </is>
      </c>
      <c r="CP1" s="1" t="inlineStr">
        <is>
          <t>Passes to final third / accurate</t>
        </is>
      </c>
      <c r="CS1" s="1" t="inlineStr">
        <is>
          <t>Progressive passes / accurate</t>
        </is>
      </c>
      <c r="CV1" s="1" t="inlineStr">
        <is>
          <t>Smart passes / accurate</t>
        </is>
      </c>
      <c r="CY1" s="1" t="inlineStr">
        <is>
          <t>Throw ins / accurate</t>
        </is>
      </c>
      <c r="DB1" s="1" t="inlineStr">
        <is>
          <t>Goal kicks</t>
        </is>
      </c>
      <c r="DC1" s="1" t="inlineStr">
        <is>
          <t>Match tempo</t>
        </is>
      </c>
      <c r="DD1" s="1" t="inlineStr">
        <is>
          <t>Average passes per possession</t>
        </is>
      </c>
      <c r="DE1" s="1" t="inlineStr">
        <is>
          <t>Long pass %</t>
        </is>
      </c>
      <c r="DF1" s="1" t="inlineStr">
        <is>
          <t>Average shot distance</t>
        </is>
      </c>
      <c r="DG1" s="1" t="inlineStr">
        <is>
          <t>Average pass length</t>
        </is>
      </c>
      <c r="DH1" s="1" t="inlineStr">
        <is>
          <t>PPDA</t>
        </is>
      </c>
      <c r="DI1" s="3" t="inlineStr">
        <is>
          <t>Goals</t>
        </is>
      </c>
      <c r="DJ1" s="3" t="inlineStr">
        <is>
          <t>xG</t>
        </is>
      </c>
      <c r="DK1" s="3" t="inlineStr">
        <is>
          <t>Shots / on target</t>
        </is>
      </c>
      <c r="DN1" s="3" t="inlineStr">
        <is>
          <t>Passes / accurate</t>
        </is>
      </c>
      <c r="DQ1" s="3" t="inlineStr">
        <is>
          <t>Possession, %</t>
        </is>
      </c>
      <c r="DR1" s="3" t="inlineStr">
        <is>
          <t>Losses / Low / Medium / High</t>
        </is>
      </c>
      <c r="DV1" s="3" t="inlineStr">
        <is>
          <t>Recoveries / Low / Medium / High</t>
        </is>
      </c>
      <c r="DZ1" s="3" t="inlineStr">
        <is>
          <t>Duels / won</t>
        </is>
      </c>
      <c r="EC1" s="3" t="inlineStr">
        <is>
          <t>Shots from outside penalty area / on target</t>
        </is>
      </c>
      <c r="EF1" s="3" t="inlineStr">
        <is>
          <t>Positional attacks / with shots</t>
        </is>
      </c>
      <c r="EI1" s="3" t="inlineStr">
        <is>
          <t>Counterattacks / with shots</t>
        </is>
      </c>
      <c r="EL1" s="3" t="inlineStr">
        <is>
          <t>Set pieces / with shots</t>
        </is>
      </c>
      <c r="EO1" s="3" t="inlineStr">
        <is>
          <t>Corners / with shots</t>
        </is>
      </c>
      <c r="ER1" s="3" t="inlineStr">
        <is>
          <t>Free kicks / with shots</t>
        </is>
      </c>
      <c r="EU1" s="3" t="inlineStr">
        <is>
          <t>Penalties / converted</t>
        </is>
      </c>
      <c r="EX1" s="3" t="inlineStr">
        <is>
          <t>Crosses / accurate</t>
        </is>
      </c>
      <c r="FA1" s="3" t="inlineStr">
        <is>
          <t>Deep completed crosses</t>
        </is>
      </c>
      <c r="FB1" s="3" t="inlineStr">
        <is>
          <t>Deep completed passes</t>
        </is>
      </c>
      <c r="FC1" s="3" t="inlineStr">
        <is>
          <t>Penalty area entries (runs / crosses)</t>
        </is>
      </c>
      <c r="FF1" s="3" t="inlineStr">
        <is>
          <t>Touches in penalty area</t>
        </is>
      </c>
      <c r="FG1" s="3" t="inlineStr">
        <is>
          <t>Offensive duels / won</t>
        </is>
      </c>
      <c r="FJ1" s="3" t="inlineStr">
        <is>
          <t>Offsides</t>
        </is>
      </c>
      <c r="FK1" s="3" t="inlineStr">
        <is>
          <t>Conceded goals</t>
        </is>
      </c>
      <c r="FL1" s="3" t="inlineStr">
        <is>
          <t>Shots against / on target</t>
        </is>
      </c>
      <c r="FO1" s="3" t="inlineStr">
        <is>
          <t>Defensive duels / won</t>
        </is>
      </c>
      <c r="FR1" s="3" t="inlineStr">
        <is>
          <t>Aerial duels / won</t>
        </is>
      </c>
      <c r="FU1" s="3" t="inlineStr">
        <is>
          <t>Sliding tackles / successful</t>
        </is>
      </c>
      <c r="FX1" s="3" t="inlineStr">
        <is>
          <t>Interceptions</t>
        </is>
      </c>
      <c r="FY1" s="3" t="inlineStr">
        <is>
          <t>Clearances</t>
        </is>
      </c>
      <c r="FZ1" s="3" t="inlineStr">
        <is>
          <t>Fouls</t>
        </is>
      </c>
      <c r="GA1" s="3" t="inlineStr">
        <is>
          <t>Yellow cards</t>
        </is>
      </c>
      <c r="GB1" s="3" t="inlineStr">
        <is>
          <t>Red cards</t>
        </is>
      </c>
      <c r="GC1" s="3" t="inlineStr">
        <is>
          <t>Forward passes / accurate</t>
        </is>
      </c>
      <c r="GF1" s="3" t="inlineStr">
        <is>
          <t>Back passes / accurate</t>
        </is>
      </c>
      <c r="GI1" s="3" t="inlineStr">
        <is>
          <t>Lateral passes / accurate</t>
        </is>
      </c>
      <c r="GL1" s="3" t="inlineStr">
        <is>
          <t>Long passes / accurate</t>
        </is>
      </c>
      <c r="GO1" s="3" t="inlineStr">
        <is>
          <t>Passes to final third / accurate</t>
        </is>
      </c>
      <c r="GR1" s="3" t="inlineStr">
        <is>
          <t>Progressive passes / accurate</t>
        </is>
      </c>
      <c r="GU1" s="3" t="inlineStr">
        <is>
          <t>Smart passes / accurate</t>
        </is>
      </c>
      <c r="GX1" s="3" t="inlineStr">
        <is>
          <t>Throw ins / accurate</t>
        </is>
      </c>
      <c r="HA1" s="3" t="inlineStr">
        <is>
          <t>Goal kicks</t>
        </is>
      </c>
      <c r="HB1" s="3" t="inlineStr">
        <is>
          <t>Match tempo</t>
        </is>
      </c>
      <c r="HC1" s="3" t="inlineStr">
        <is>
          <t>Average passes per possession</t>
        </is>
      </c>
      <c r="HD1" s="3" t="inlineStr">
        <is>
          <t>Long pass %</t>
        </is>
      </c>
      <c r="HE1" s="3" t="inlineStr">
        <is>
          <t>Average shot distance</t>
        </is>
      </c>
      <c r="HF1" s="3" t="inlineStr">
        <is>
          <t>Average pass length</t>
        </is>
      </c>
      <c r="HG1" s="3" t="inlineStr">
        <is>
          <t>PPDA</t>
        </is>
      </c>
    </row>
    <row r="2">
      <c r="A2" s="12" t="n">
        <v>2022</v>
      </c>
      <c r="B2" s="12" t="n">
        <v>77</v>
      </c>
      <c r="C2" s="5">
        <f>(B2-AVERAGE($B$2:$B$100))/_xlfn.STDEV.P($B$2:$B$100)</f>
        <v/>
      </c>
      <c r="D2" s="12" t="n">
        <v>1</v>
      </c>
      <c r="E2" s="6">
        <f>-D2</f>
        <v/>
      </c>
      <c r="F2" s="7">
        <f>(E2-AVERAGE($E$2:$E$100))/_xlfn.STDEV.P($E$2:$E$100)</f>
        <v/>
      </c>
      <c r="G2" s="7">
        <f>sum(0.5*C2)+(0.5*F2)</f>
        <v/>
      </c>
      <c r="H2" s="12" t="inlineStr">
        <is>
          <t>West</t>
        </is>
      </c>
      <c r="I2" s="8" t="inlineStr">
        <is>
          <t>San Antonio</t>
        </is>
      </c>
      <c r="J2" s="9" t="n">
        <v>1.68</v>
      </c>
      <c r="K2" s="9" t="n">
        <v>1.46</v>
      </c>
      <c r="L2" s="9" t="n">
        <v>12.92</v>
      </c>
      <c r="M2" s="9" t="n">
        <v>5.05</v>
      </c>
      <c r="N2" s="9" t="n">
        <v>39.12</v>
      </c>
      <c r="O2" s="9" t="n">
        <v>261.08</v>
      </c>
      <c r="P2" s="9" t="n">
        <v>187.84</v>
      </c>
      <c r="Q2" s="9" t="n">
        <v>71.95</v>
      </c>
      <c r="R2" s="9" t="n">
        <v>43.42</v>
      </c>
      <c r="S2" s="9" t="n">
        <v>113.73</v>
      </c>
      <c r="T2" s="9" t="n">
        <v>19.7</v>
      </c>
      <c r="U2" s="9" t="n">
        <v>36.03</v>
      </c>
      <c r="V2" s="9" t="n">
        <v>58</v>
      </c>
      <c r="W2" s="9" t="n">
        <v>88.68000000000001</v>
      </c>
      <c r="X2" s="9" t="n">
        <v>36.59</v>
      </c>
      <c r="Y2" s="9" t="n">
        <v>38.59</v>
      </c>
      <c r="Z2" s="9" t="n">
        <v>13.49</v>
      </c>
      <c r="AA2" s="9" t="n">
        <v>229.16</v>
      </c>
      <c r="AB2" s="9" t="n">
        <v>112</v>
      </c>
      <c r="AC2" s="9" t="n">
        <v>48.87</v>
      </c>
      <c r="AD2" s="9" t="n">
        <v>5.7</v>
      </c>
      <c r="AE2" s="9" t="n">
        <v>1.49</v>
      </c>
      <c r="AF2" s="9" t="n">
        <v>26.07</v>
      </c>
      <c r="AG2" s="9" t="n">
        <v>31.46</v>
      </c>
      <c r="AH2" s="9" t="n">
        <v>7.92</v>
      </c>
      <c r="AI2" s="9" t="n">
        <v>25.17</v>
      </c>
      <c r="AJ2" s="9" t="n">
        <v>1.7</v>
      </c>
      <c r="AK2" s="9" t="n">
        <v>0.62</v>
      </c>
      <c r="AL2" s="9" t="n">
        <v>36.51</v>
      </c>
      <c r="AM2" s="9" t="n">
        <v>24.49</v>
      </c>
      <c r="AN2" s="9" t="n">
        <v>3.46</v>
      </c>
      <c r="AO2" s="9" t="n">
        <v>14.13</v>
      </c>
      <c r="AP2" s="9" t="n">
        <v>4.89</v>
      </c>
      <c r="AQ2" s="9" t="n">
        <v>1.41</v>
      </c>
      <c r="AR2" s="9" t="n">
        <v>28.73</v>
      </c>
      <c r="AS2" s="9" t="n">
        <v>4.65</v>
      </c>
      <c r="AT2" s="9" t="n">
        <v>1.22</v>
      </c>
      <c r="AU2" s="9" t="n">
        <v>26.16</v>
      </c>
      <c r="AV2" s="9" t="n">
        <v>0.22</v>
      </c>
      <c r="AW2" s="9" t="n">
        <v>0.11</v>
      </c>
      <c r="AX2" s="9" t="n">
        <v>50</v>
      </c>
      <c r="AY2" s="9" t="n">
        <v>14.27</v>
      </c>
      <c r="AZ2" s="9" t="n">
        <v>3.68</v>
      </c>
      <c r="BA2" s="9" t="n">
        <v>25.76</v>
      </c>
      <c r="BB2" s="9" t="n">
        <v>3.78</v>
      </c>
      <c r="BC2" s="9" t="n">
        <v>6.35</v>
      </c>
      <c r="BD2" s="9" t="n">
        <v>22.84</v>
      </c>
      <c r="BE2" s="9" t="n">
        <v>3.7</v>
      </c>
      <c r="BF2" s="9" t="n">
        <v>8.27</v>
      </c>
      <c r="BG2" s="9" t="n">
        <v>16.41</v>
      </c>
      <c r="BH2" s="9" t="n">
        <v>68.38</v>
      </c>
      <c r="BI2" s="9" t="n">
        <v>27.76</v>
      </c>
      <c r="BJ2" s="9" t="n">
        <v>40.59</v>
      </c>
      <c r="BK2" s="9" t="n">
        <v>2.46</v>
      </c>
      <c r="BL2" s="9" t="n">
        <v>0.73</v>
      </c>
      <c r="BM2" s="9" t="n">
        <v>10.22</v>
      </c>
      <c r="BN2" s="9" t="n">
        <v>3.54</v>
      </c>
      <c r="BO2" s="9" t="n">
        <v>34.66</v>
      </c>
      <c r="BP2" s="9" t="n">
        <v>79.84</v>
      </c>
      <c r="BQ2" s="9" t="n">
        <v>47.3</v>
      </c>
      <c r="BR2" s="9" t="n">
        <v>59.24</v>
      </c>
      <c r="BS2" s="9" t="n">
        <v>44.57</v>
      </c>
      <c r="BT2" s="9" t="n">
        <v>22.16</v>
      </c>
      <c r="BU2" s="9" t="n">
        <v>49.73</v>
      </c>
      <c r="BV2" s="9" t="n">
        <v>4.27</v>
      </c>
      <c r="BW2" s="9" t="n">
        <v>2.19</v>
      </c>
      <c r="BX2" s="9" t="n">
        <v>51.27</v>
      </c>
      <c r="BY2" s="9" t="n">
        <v>44.92</v>
      </c>
      <c r="BZ2" s="9" t="n">
        <v>20.97</v>
      </c>
      <c r="CA2" s="9" t="n">
        <v>15</v>
      </c>
      <c r="CB2" s="9" t="n">
        <v>2.86</v>
      </c>
      <c r="CC2" s="9" t="n">
        <v>0.08</v>
      </c>
      <c r="CD2" s="9" t="n">
        <v>117.41</v>
      </c>
      <c r="CE2" s="9" t="n">
        <v>74.97</v>
      </c>
      <c r="CF2" s="9" t="n">
        <v>63.86</v>
      </c>
      <c r="CG2" s="9" t="n">
        <v>31.32</v>
      </c>
      <c r="CH2" s="9" t="n">
        <v>28.19</v>
      </c>
      <c r="CI2" s="9" t="n">
        <v>89.98999999999999</v>
      </c>
      <c r="CJ2" s="9" t="n">
        <v>75.84</v>
      </c>
      <c r="CK2" s="9" t="n">
        <v>58.11</v>
      </c>
      <c r="CL2" s="9" t="n">
        <v>76.62</v>
      </c>
      <c r="CM2" s="9" t="n">
        <v>43.24</v>
      </c>
      <c r="CN2" s="9" t="n">
        <v>19.73</v>
      </c>
      <c r="CO2" s="9" t="n">
        <v>45.63</v>
      </c>
      <c r="CP2" s="9" t="n">
        <v>51.35</v>
      </c>
      <c r="CQ2" s="9" t="n">
        <v>29.57</v>
      </c>
      <c r="CR2" s="9" t="n">
        <v>57.58</v>
      </c>
      <c r="CS2" s="9" t="n">
        <v>61.7</v>
      </c>
      <c r="CT2" s="9" t="n">
        <v>44.65</v>
      </c>
      <c r="CU2" s="9" t="n">
        <v>72.36</v>
      </c>
      <c r="CV2" s="9" t="n">
        <v>3.78</v>
      </c>
      <c r="CW2" s="9" t="n">
        <v>1.49</v>
      </c>
      <c r="CX2" s="9" t="n">
        <v>39.29</v>
      </c>
      <c r="CY2" s="9" t="n">
        <v>25.27</v>
      </c>
      <c r="CZ2" s="9" t="n">
        <v>20.3</v>
      </c>
      <c r="DA2" s="9" t="n">
        <v>80.31999999999999</v>
      </c>
      <c r="DB2" s="9" t="n">
        <v>8.24</v>
      </c>
      <c r="DC2" s="9" t="n">
        <v>14.26</v>
      </c>
      <c r="DD2" s="9" t="n">
        <v>2.26</v>
      </c>
      <c r="DE2" s="9" t="n">
        <v>17.26</v>
      </c>
      <c r="DF2" s="9" t="n">
        <v>19.11</v>
      </c>
      <c r="DG2" s="9" t="n">
        <v>21.71</v>
      </c>
      <c r="DH2" s="9" t="n">
        <v>7.73</v>
      </c>
      <c r="DI2" s="9" t="n">
        <v>0.73</v>
      </c>
      <c r="DJ2" s="9" t="n">
        <v>1</v>
      </c>
      <c r="DK2" s="9" t="n">
        <v>10.22</v>
      </c>
      <c r="DL2" s="9" t="n">
        <v>3.3</v>
      </c>
      <c r="DM2" s="9" t="n">
        <v>32.28</v>
      </c>
      <c r="DN2" s="9" t="n">
        <v>367.35</v>
      </c>
      <c r="DO2" s="9" t="n">
        <v>284.46</v>
      </c>
      <c r="DP2" s="9" t="n">
        <v>77.44</v>
      </c>
      <c r="DQ2" s="9" t="n">
        <v>56.58</v>
      </c>
      <c r="DR2" s="9" t="n">
        <v>121.35</v>
      </c>
      <c r="DS2" s="9" t="n">
        <v>21.73</v>
      </c>
      <c r="DT2" s="9" t="n">
        <v>48.41</v>
      </c>
      <c r="DU2" s="9" t="n">
        <v>51.22</v>
      </c>
      <c r="DV2" s="9" t="n">
        <v>84.92</v>
      </c>
      <c r="DW2" s="9" t="n">
        <v>44.81</v>
      </c>
      <c r="DX2" s="9" t="n">
        <v>29.16</v>
      </c>
      <c r="DY2" s="9" t="n">
        <v>10.95</v>
      </c>
      <c r="DZ2" s="9" t="n">
        <v>229.16</v>
      </c>
      <c r="EA2" s="9" t="n">
        <v>107.05</v>
      </c>
      <c r="EB2" s="9" t="n">
        <v>46.72</v>
      </c>
      <c r="EC2" s="9" t="n">
        <v>4.7</v>
      </c>
      <c r="ED2" s="9" t="n">
        <v>1.11</v>
      </c>
      <c r="EE2" s="9" t="n">
        <v>23.56</v>
      </c>
      <c r="EF2" s="9" t="n">
        <v>28.05</v>
      </c>
      <c r="EG2" s="9" t="n">
        <v>5.76</v>
      </c>
      <c r="EH2" s="9" t="n">
        <v>20.52</v>
      </c>
      <c r="EI2" s="9" t="n">
        <v>0.76</v>
      </c>
      <c r="EJ2" s="9" t="n">
        <v>0.3</v>
      </c>
      <c r="EK2" s="9" t="n">
        <v>39.29</v>
      </c>
      <c r="EL2" s="9" t="n">
        <v>30.81</v>
      </c>
      <c r="EM2" s="9" t="n">
        <v>3.59</v>
      </c>
      <c r="EN2" s="9" t="n">
        <v>11.67</v>
      </c>
      <c r="EO2" s="9" t="n">
        <v>5.35</v>
      </c>
      <c r="EP2" s="9" t="n">
        <v>1.76</v>
      </c>
      <c r="EQ2" s="9" t="n">
        <v>32.83</v>
      </c>
      <c r="ER2" s="9" t="n">
        <v>2.78</v>
      </c>
      <c r="ES2" s="9" t="n">
        <v>0.41</v>
      </c>
      <c r="ET2" s="9" t="n">
        <v>14.56</v>
      </c>
      <c r="EU2" s="9" t="n">
        <v>0.05</v>
      </c>
      <c r="EV2" s="9" t="n">
        <v>0.03</v>
      </c>
      <c r="EW2" s="9" t="n">
        <v>50</v>
      </c>
      <c r="EX2" s="9" t="n">
        <v>16.81</v>
      </c>
      <c r="EY2" s="9" t="n">
        <v>5.16</v>
      </c>
      <c r="EZ2" s="9" t="n">
        <v>30.71</v>
      </c>
      <c r="FA2" s="9" t="n">
        <v>4.95</v>
      </c>
      <c r="FB2" s="9" t="n">
        <v>4.95</v>
      </c>
      <c r="FC2" s="9" t="n">
        <v>23.65</v>
      </c>
      <c r="FD2" s="9" t="n">
        <v>3.84</v>
      </c>
      <c r="FE2" s="9" t="n">
        <v>10.59</v>
      </c>
      <c r="FF2" s="9" t="n">
        <v>14.24</v>
      </c>
      <c r="FG2" s="9" t="n">
        <v>79.84</v>
      </c>
      <c r="FH2" s="9" t="n">
        <v>32.54</v>
      </c>
      <c r="FI2" s="9" t="n">
        <v>40.76</v>
      </c>
      <c r="FJ2" s="9" t="n">
        <v>0.95</v>
      </c>
      <c r="FK2" s="9" t="n">
        <v>1.68</v>
      </c>
      <c r="FL2" s="9" t="n">
        <v>12.92</v>
      </c>
      <c r="FM2" s="9" t="n">
        <v>5.35</v>
      </c>
      <c r="FN2" s="9" t="n">
        <v>41.42</v>
      </c>
      <c r="FO2" s="9" t="n">
        <v>68.38</v>
      </c>
      <c r="FP2" s="9" t="n">
        <v>40.62</v>
      </c>
      <c r="FQ2" s="9" t="n">
        <v>59.41</v>
      </c>
      <c r="FR2" s="9" t="n">
        <v>44.57</v>
      </c>
      <c r="FS2" s="9" t="n">
        <v>19.78</v>
      </c>
      <c r="FT2" s="9" t="n">
        <v>44.39</v>
      </c>
      <c r="FU2" s="9" t="n">
        <v>3.81</v>
      </c>
      <c r="FV2" s="9" t="n">
        <v>1.84</v>
      </c>
      <c r="FW2" s="9" t="n">
        <v>48.23</v>
      </c>
      <c r="FX2" s="9" t="n">
        <v>41.27</v>
      </c>
      <c r="FY2" s="9" t="n">
        <v>17.3</v>
      </c>
      <c r="FZ2" s="9" t="n">
        <v>13.11</v>
      </c>
      <c r="GA2" s="9" t="n">
        <v>2.97</v>
      </c>
      <c r="GB2" s="9" t="n">
        <v>0.16</v>
      </c>
      <c r="GC2" s="9" t="n">
        <v>142.92</v>
      </c>
      <c r="GD2" s="9" t="n">
        <v>97.92</v>
      </c>
      <c r="GE2" s="9" t="n">
        <v>68.51000000000001</v>
      </c>
      <c r="GF2" s="9" t="n">
        <v>51.19</v>
      </c>
      <c r="GG2" s="9" t="n">
        <v>46.05</v>
      </c>
      <c r="GH2" s="9" t="n">
        <v>89.97</v>
      </c>
      <c r="GI2" s="9" t="n">
        <v>121.65</v>
      </c>
      <c r="GJ2" s="9" t="n">
        <v>100.54</v>
      </c>
      <c r="GK2" s="9" t="n">
        <v>82.65000000000001</v>
      </c>
      <c r="GL2" s="9" t="n">
        <v>48.57</v>
      </c>
      <c r="GM2" s="9" t="n">
        <v>24.95</v>
      </c>
      <c r="GN2" s="9" t="n">
        <v>51.36</v>
      </c>
      <c r="GO2" s="9" t="n">
        <v>48.84</v>
      </c>
      <c r="GP2" s="9" t="n">
        <v>30.19</v>
      </c>
      <c r="GQ2" s="9" t="n">
        <v>61.82</v>
      </c>
      <c r="GR2" s="9" t="n">
        <v>73.56999999999999</v>
      </c>
      <c r="GS2" s="9" t="n">
        <v>48.86</v>
      </c>
      <c r="GT2" s="9" t="n">
        <v>66.42</v>
      </c>
      <c r="GU2" s="9" t="n">
        <v>3.03</v>
      </c>
      <c r="GV2" s="9" t="n">
        <v>1.08</v>
      </c>
      <c r="GW2" s="9" t="n">
        <v>35.71</v>
      </c>
      <c r="GX2" s="9" t="n">
        <v>28.78</v>
      </c>
      <c r="GY2" s="9" t="n">
        <v>25</v>
      </c>
      <c r="GZ2" s="9" t="n">
        <v>86.84999999999999</v>
      </c>
      <c r="HA2" s="9" t="n">
        <v>10.3</v>
      </c>
      <c r="HB2" s="9" t="n">
        <v>15.37</v>
      </c>
      <c r="HC2" s="9" t="n">
        <v>3.04</v>
      </c>
      <c r="HD2" s="9" t="n">
        <v>13.53</v>
      </c>
      <c r="HE2" s="9" t="n">
        <v>19.49</v>
      </c>
      <c r="HF2" s="9" t="n">
        <v>20.61</v>
      </c>
      <c r="HG2" s="9" t="n">
        <v>7.52</v>
      </c>
    </row>
    <row r="3">
      <c r="A3" s="12" t="n">
        <v>2022</v>
      </c>
      <c r="B3" s="12" t="n">
        <v>72</v>
      </c>
      <c r="C3" s="5">
        <f>(B3-AVERAGE($B$2:$B$100))/_xlfn.STDEV.P($B$2:$B$100)</f>
        <v/>
      </c>
      <c r="D3" s="12" t="n">
        <v>1</v>
      </c>
      <c r="E3" s="6">
        <f>-D3</f>
        <v/>
      </c>
      <c r="F3" s="7">
        <f>(E3-AVERAGE($E$2:$E$100))/_xlfn.STDEV.P($E$2:$E$100)</f>
        <v/>
      </c>
      <c r="G3" s="7">
        <f>sum(0.5*C3)+(0.5*F3)</f>
        <v/>
      </c>
      <c r="H3" s="12" t="inlineStr">
        <is>
          <t>East</t>
        </is>
      </c>
      <c r="I3" s="8" t="inlineStr">
        <is>
          <t>Louisville City</t>
        </is>
      </c>
      <c r="J3" s="9" t="n">
        <v>1.86</v>
      </c>
      <c r="K3" s="9" t="n">
        <v>1.81</v>
      </c>
      <c r="L3" s="9" t="n">
        <v>13.24</v>
      </c>
      <c r="M3" s="9" t="n">
        <v>5.54</v>
      </c>
      <c r="N3" s="9" t="n">
        <v>41.84</v>
      </c>
      <c r="O3" s="9" t="n">
        <v>438.35</v>
      </c>
      <c r="P3" s="9" t="n">
        <v>356.14</v>
      </c>
      <c r="Q3" s="9" t="n">
        <v>81.23999999999999</v>
      </c>
      <c r="R3" s="9" t="n">
        <v>54.54</v>
      </c>
      <c r="S3" s="9" t="n">
        <v>114.08</v>
      </c>
      <c r="T3" s="9" t="n">
        <v>16.24</v>
      </c>
      <c r="U3" s="9" t="n">
        <v>38.27</v>
      </c>
      <c r="V3" s="9" t="n">
        <v>59.57</v>
      </c>
      <c r="W3" s="9" t="n">
        <v>89.81</v>
      </c>
      <c r="X3" s="9" t="n">
        <v>35.38</v>
      </c>
      <c r="Y3" s="9" t="n">
        <v>37.32</v>
      </c>
      <c r="Z3" s="9" t="n">
        <v>17.11</v>
      </c>
      <c r="AA3" s="9" t="n">
        <v>206.54</v>
      </c>
      <c r="AB3" s="9" t="n">
        <v>98.31999999999999</v>
      </c>
      <c r="AC3" s="9" t="n">
        <v>47.61</v>
      </c>
      <c r="AD3" s="9" t="n">
        <v>4.54</v>
      </c>
      <c r="AE3" s="9" t="n">
        <v>1.35</v>
      </c>
      <c r="AF3" s="9" t="n">
        <v>29.76</v>
      </c>
      <c r="AG3" s="9" t="n">
        <v>34.19</v>
      </c>
      <c r="AH3" s="9" t="n">
        <v>7.68</v>
      </c>
      <c r="AI3" s="9" t="n">
        <v>22.45</v>
      </c>
      <c r="AJ3" s="9" t="n">
        <v>1.62</v>
      </c>
      <c r="AK3" s="9" t="n">
        <v>0.86</v>
      </c>
      <c r="AL3" s="9" t="n">
        <v>53.33</v>
      </c>
      <c r="AM3" s="9" t="n">
        <v>27.46</v>
      </c>
      <c r="AN3" s="9" t="n">
        <v>3.81</v>
      </c>
      <c r="AO3" s="9" t="n">
        <v>13.88</v>
      </c>
      <c r="AP3" s="9" t="n">
        <v>6.16</v>
      </c>
      <c r="AQ3" s="9" t="n">
        <v>1.59</v>
      </c>
      <c r="AR3" s="9" t="n">
        <v>25.88</v>
      </c>
      <c r="AS3" s="9" t="n">
        <v>2.95</v>
      </c>
      <c r="AT3" s="9" t="n">
        <v>0.76</v>
      </c>
      <c r="AU3" s="9" t="n">
        <v>25.69</v>
      </c>
      <c r="AV3" s="9" t="n">
        <v>0.27</v>
      </c>
      <c r="AW3" s="9" t="n">
        <v>0.27</v>
      </c>
      <c r="AX3" s="9" t="n">
        <v>100</v>
      </c>
      <c r="AY3" s="9" t="n">
        <v>18.19</v>
      </c>
      <c r="AZ3" s="9" t="n">
        <v>5.27</v>
      </c>
      <c r="BA3" s="9" t="n">
        <v>28.97</v>
      </c>
      <c r="BB3" s="9" t="n">
        <v>5.41</v>
      </c>
      <c r="BC3" s="9" t="n">
        <v>7.3</v>
      </c>
      <c r="BD3" s="9" t="n">
        <v>28.68</v>
      </c>
      <c r="BE3" s="9" t="n">
        <v>5.49</v>
      </c>
      <c r="BF3" s="9" t="n">
        <v>10.78</v>
      </c>
      <c r="BG3" s="9" t="n">
        <v>20.14</v>
      </c>
      <c r="BH3" s="9" t="n">
        <v>65.84</v>
      </c>
      <c r="BI3" s="9" t="n">
        <v>26.46</v>
      </c>
      <c r="BJ3" s="9" t="n">
        <v>40.19</v>
      </c>
      <c r="BK3" s="9" t="n">
        <v>2.65</v>
      </c>
      <c r="BL3" s="9" t="n">
        <v>0.89</v>
      </c>
      <c r="BM3" s="9" t="n">
        <v>7.51</v>
      </c>
      <c r="BN3" s="9" t="n">
        <v>2.95</v>
      </c>
      <c r="BO3" s="9" t="n">
        <v>39.21</v>
      </c>
      <c r="BP3" s="9" t="n">
        <v>62.22</v>
      </c>
      <c r="BQ3" s="9" t="n">
        <v>36.81</v>
      </c>
      <c r="BR3" s="9" t="n">
        <v>59.17</v>
      </c>
      <c r="BS3" s="9" t="n">
        <v>46.11</v>
      </c>
      <c r="BT3" s="9" t="n">
        <v>21.81</v>
      </c>
      <c r="BU3" s="9" t="n">
        <v>47.3</v>
      </c>
      <c r="BV3" s="9" t="n">
        <v>4</v>
      </c>
      <c r="BW3" s="9" t="n">
        <v>1.73</v>
      </c>
      <c r="BX3" s="9" t="n">
        <v>43.24</v>
      </c>
      <c r="BY3" s="9" t="n">
        <v>39.03</v>
      </c>
      <c r="BZ3" s="9" t="n">
        <v>14.08</v>
      </c>
      <c r="CA3" s="9" t="n">
        <v>13.7</v>
      </c>
      <c r="CB3" s="9" t="n">
        <v>2.16</v>
      </c>
      <c r="CC3" s="9" t="n">
        <v>0.22</v>
      </c>
      <c r="CD3" s="9" t="n">
        <v>152.57</v>
      </c>
      <c r="CE3" s="9" t="n">
        <v>106.86</v>
      </c>
      <c r="CF3" s="9" t="n">
        <v>70.04000000000001</v>
      </c>
      <c r="CG3" s="9" t="n">
        <v>65.54000000000001</v>
      </c>
      <c r="CH3" s="9" t="n">
        <v>61.57</v>
      </c>
      <c r="CI3" s="9" t="n">
        <v>93.94</v>
      </c>
      <c r="CJ3" s="9" t="n">
        <v>160.22</v>
      </c>
      <c r="CK3" s="9" t="n">
        <v>140.08</v>
      </c>
      <c r="CL3" s="9" t="n">
        <v>87.43000000000001</v>
      </c>
      <c r="CM3" s="9" t="n">
        <v>51.54</v>
      </c>
      <c r="CN3" s="9" t="n">
        <v>26.41</v>
      </c>
      <c r="CO3" s="9" t="n">
        <v>51.23</v>
      </c>
      <c r="CP3" s="9" t="n">
        <v>63.54</v>
      </c>
      <c r="CQ3" s="9" t="n">
        <v>41.76</v>
      </c>
      <c r="CR3" s="9" t="n">
        <v>65.72</v>
      </c>
      <c r="CS3" s="9" t="n">
        <v>75.45999999999999</v>
      </c>
      <c r="CT3" s="9" t="n">
        <v>56.65</v>
      </c>
      <c r="CU3" s="9" t="n">
        <v>75.06999999999999</v>
      </c>
      <c r="CV3" s="9" t="n">
        <v>5.59</v>
      </c>
      <c r="CW3" s="9" t="n">
        <v>1.97</v>
      </c>
      <c r="CX3" s="9" t="n">
        <v>35.27</v>
      </c>
      <c r="CY3" s="9" t="n">
        <v>23.73</v>
      </c>
      <c r="CZ3" s="9" t="n">
        <v>21</v>
      </c>
      <c r="DA3" s="9" t="n">
        <v>88.5</v>
      </c>
      <c r="DB3" s="9" t="n">
        <v>5.97</v>
      </c>
      <c r="DC3" s="9" t="n">
        <v>16.18</v>
      </c>
      <c r="DD3" s="9" t="n">
        <v>3.93</v>
      </c>
      <c r="DE3" s="9" t="n">
        <v>12.25</v>
      </c>
      <c r="DF3" s="9" t="n">
        <v>17.19</v>
      </c>
      <c r="DG3" s="9" t="n">
        <v>20.59</v>
      </c>
      <c r="DH3" s="9" t="n">
        <v>8.17</v>
      </c>
      <c r="DI3" s="9" t="n">
        <v>0.89</v>
      </c>
      <c r="DJ3" s="9" t="n">
        <v>0.93</v>
      </c>
      <c r="DK3" s="9" t="n">
        <v>7.51</v>
      </c>
      <c r="DL3" s="9" t="n">
        <v>2.76</v>
      </c>
      <c r="DM3" s="9" t="n">
        <v>36.69</v>
      </c>
      <c r="DN3" s="9" t="n">
        <v>352.22</v>
      </c>
      <c r="DO3" s="9" t="n">
        <v>271.59</v>
      </c>
      <c r="DP3" s="9" t="n">
        <v>77.11</v>
      </c>
      <c r="DQ3" s="9" t="n">
        <v>45.46</v>
      </c>
      <c r="DR3" s="9" t="n">
        <v>115.14</v>
      </c>
      <c r="DS3" s="9" t="n">
        <v>26.05</v>
      </c>
      <c r="DT3" s="9" t="n">
        <v>43.81</v>
      </c>
      <c r="DU3" s="9" t="n">
        <v>45.27</v>
      </c>
      <c r="DV3" s="9" t="n">
        <v>85.51000000000001</v>
      </c>
      <c r="DW3" s="9" t="n">
        <v>45.84</v>
      </c>
      <c r="DX3" s="9" t="n">
        <v>30</v>
      </c>
      <c r="DY3" s="9" t="n">
        <v>9.68</v>
      </c>
      <c r="DZ3" s="9" t="n">
        <v>206.54</v>
      </c>
      <c r="EA3" s="9" t="n">
        <v>99.27</v>
      </c>
      <c r="EB3" s="9" t="n">
        <v>48.06</v>
      </c>
      <c r="EC3" s="9" t="n">
        <v>2.86</v>
      </c>
      <c r="ED3" s="9" t="n">
        <v>0.73</v>
      </c>
      <c r="EE3" s="9" t="n">
        <v>25.47</v>
      </c>
      <c r="EF3" s="9" t="n">
        <v>21.65</v>
      </c>
      <c r="EG3" s="9" t="n">
        <v>4.59</v>
      </c>
      <c r="EH3" s="9" t="n">
        <v>21.22</v>
      </c>
      <c r="EI3" s="9" t="n">
        <v>1.35</v>
      </c>
      <c r="EJ3" s="9" t="n">
        <v>0.68</v>
      </c>
      <c r="EK3" s="9" t="n">
        <v>50</v>
      </c>
      <c r="EL3" s="9" t="n">
        <v>26.84</v>
      </c>
      <c r="EM3" s="9" t="n">
        <v>2.03</v>
      </c>
      <c r="EN3" s="9" t="n">
        <v>7.55</v>
      </c>
      <c r="EO3" s="9" t="n">
        <v>3.27</v>
      </c>
      <c r="EP3" s="9" t="n">
        <v>0.78</v>
      </c>
      <c r="EQ3" s="9" t="n">
        <v>23.97</v>
      </c>
      <c r="ER3" s="9" t="n">
        <v>2.19</v>
      </c>
      <c r="ES3" s="9" t="n">
        <v>0.35</v>
      </c>
      <c r="ET3" s="9" t="n">
        <v>16.05</v>
      </c>
      <c r="EU3" s="9" t="n">
        <v>0.16</v>
      </c>
      <c r="EV3" s="9" t="n">
        <v>0.14</v>
      </c>
      <c r="EW3" s="9" t="n">
        <v>83.33</v>
      </c>
      <c r="EX3" s="9" t="n">
        <v>10.81</v>
      </c>
      <c r="EY3" s="9" t="n">
        <v>3.38</v>
      </c>
      <c r="EZ3" s="9" t="n">
        <v>31.25</v>
      </c>
      <c r="FA3" s="9" t="n">
        <v>3.7</v>
      </c>
      <c r="FB3" s="9" t="n">
        <v>3.11</v>
      </c>
      <c r="FC3" s="9" t="n">
        <v>17.3</v>
      </c>
      <c r="FD3" s="9" t="n">
        <v>3.19</v>
      </c>
      <c r="FE3" s="9" t="n">
        <v>6.78</v>
      </c>
      <c r="FF3" s="9" t="n">
        <v>9.76</v>
      </c>
      <c r="FG3" s="9" t="n">
        <v>62.24</v>
      </c>
      <c r="FH3" s="9" t="n">
        <v>25.41</v>
      </c>
      <c r="FI3" s="9" t="n">
        <v>40.82</v>
      </c>
      <c r="FJ3" s="9" t="n">
        <v>4.49</v>
      </c>
      <c r="FK3" s="9" t="n">
        <v>1.86</v>
      </c>
      <c r="FL3" s="9" t="n">
        <v>13.24</v>
      </c>
      <c r="FM3" s="9" t="n">
        <v>5.65</v>
      </c>
      <c r="FN3" s="9" t="n">
        <v>42.65</v>
      </c>
      <c r="FO3" s="9" t="n">
        <v>65.84</v>
      </c>
      <c r="FP3" s="9" t="n">
        <v>39.38</v>
      </c>
      <c r="FQ3" s="9" t="n">
        <v>59.81</v>
      </c>
      <c r="FR3" s="9" t="n">
        <v>46.08</v>
      </c>
      <c r="FS3" s="9" t="n">
        <v>21.27</v>
      </c>
      <c r="FT3" s="9" t="n">
        <v>46.16</v>
      </c>
      <c r="FU3" s="9" t="n">
        <v>4.86</v>
      </c>
      <c r="FV3" s="9" t="n">
        <v>2.27</v>
      </c>
      <c r="FW3" s="9" t="n">
        <v>46.67</v>
      </c>
      <c r="FX3" s="9" t="n">
        <v>48.14</v>
      </c>
      <c r="FY3" s="9" t="n">
        <v>18.84</v>
      </c>
      <c r="FZ3" s="9" t="n">
        <v>12.32</v>
      </c>
      <c r="GA3" s="9" t="n">
        <v>2.32</v>
      </c>
      <c r="GB3" s="9" t="n">
        <v>0.24</v>
      </c>
      <c r="GC3" s="9" t="n">
        <v>129.41</v>
      </c>
      <c r="GD3" s="9" t="n">
        <v>81.19</v>
      </c>
      <c r="GE3" s="9" t="n">
        <v>62.74</v>
      </c>
      <c r="GF3" s="9" t="n">
        <v>53.3</v>
      </c>
      <c r="GG3" s="9" t="n">
        <v>49.49</v>
      </c>
      <c r="GH3" s="9" t="n">
        <v>92.84999999999999</v>
      </c>
      <c r="GI3" s="9" t="n">
        <v>124.84</v>
      </c>
      <c r="GJ3" s="9" t="n">
        <v>105.89</v>
      </c>
      <c r="GK3" s="9" t="n">
        <v>84.81999999999999</v>
      </c>
      <c r="GL3" s="9" t="n">
        <v>61</v>
      </c>
      <c r="GM3" s="9" t="n">
        <v>29.81</v>
      </c>
      <c r="GN3" s="9" t="n">
        <v>48.87</v>
      </c>
      <c r="GO3" s="9" t="n">
        <v>49.19</v>
      </c>
      <c r="GP3" s="9" t="n">
        <v>26.68</v>
      </c>
      <c r="GQ3" s="9" t="n">
        <v>54.23</v>
      </c>
      <c r="GR3" s="9" t="n">
        <v>69.86</v>
      </c>
      <c r="GS3" s="9" t="n">
        <v>41.41</v>
      </c>
      <c r="GT3" s="9" t="n">
        <v>59.26</v>
      </c>
      <c r="GU3" s="9" t="n">
        <v>3.86</v>
      </c>
      <c r="GV3" s="9" t="n">
        <v>1.32</v>
      </c>
      <c r="GW3" s="9" t="n">
        <v>34.27</v>
      </c>
      <c r="GX3" s="9" t="n">
        <v>23.27</v>
      </c>
      <c r="GY3" s="9" t="n">
        <v>20.7</v>
      </c>
      <c r="GZ3" s="9" t="n">
        <v>88.97</v>
      </c>
      <c r="HA3" s="9" t="n">
        <v>9.73</v>
      </c>
      <c r="HB3" s="9" t="n">
        <v>15.55</v>
      </c>
      <c r="HC3" s="9" t="n">
        <v>3.18</v>
      </c>
      <c r="HD3" s="9" t="n">
        <v>18.01</v>
      </c>
      <c r="HE3" s="9" t="n">
        <v>17.74</v>
      </c>
      <c r="HF3" s="9" t="n">
        <v>21.62</v>
      </c>
      <c r="HG3" s="9" t="n">
        <v>12.84</v>
      </c>
    </row>
    <row r="4">
      <c r="A4" s="12" t="n">
        <v>2022</v>
      </c>
      <c r="B4" s="12" t="n">
        <v>68</v>
      </c>
      <c r="C4" s="5">
        <f>(B4-AVERAGE($B$2:$B$100))/_xlfn.STDEV.P($B$2:$B$100)</f>
        <v/>
      </c>
      <c r="D4" s="12" t="n">
        <v>2</v>
      </c>
      <c r="E4" s="6">
        <f>-D4</f>
        <v/>
      </c>
      <c r="F4" s="7">
        <f>(E4-AVERAGE($E$2:$E$100))/_xlfn.STDEV.P($E$2:$E$100)</f>
        <v/>
      </c>
      <c r="G4" s="7">
        <f>sum(0.5*C4)+(0.5*F4)</f>
        <v/>
      </c>
      <c r="H4" s="12" t="inlineStr">
        <is>
          <t>East</t>
        </is>
      </c>
      <c r="I4" s="8" t="inlineStr">
        <is>
          <t>Memphis 901</t>
        </is>
      </c>
      <c r="J4" s="9" t="n">
        <v>1.94</v>
      </c>
      <c r="K4" s="9" t="n">
        <v>1.64</v>
      </c>
      <c r="L4" s="9" t="n">
        <v>12.72</v>
      </c>
      <c r="M4" s="9" t="n">
        <v>5.22</v>
      </c>
      <c r="N4" s="9" t="n">
        <v>41.05</v>
      </c>
      <c r="O4" s="9" t="n">
        <v>398.97</v>
      </c>
      <c r="P4" s="9" t="n">
        <v>326.47</v>
      </c>
      <c r="Q4" s="9" t="n">
        <v>81.83</v>
      </c>
      <c r="R4" s="9" t="n">
        <v>50.62</v>
      </c>
      <c r="S4" s="9" t="n">
        <v>106.83</v>
      </c>
      <c r="T4" s="9" t="n">
        <v>18.75</v>
      </c>
      <c r="U4" s="9" t="n">
        <v>38.61</v>
      </c>
      <c r="V4" s="9" t="n">
        <v>49.47</v>
      </c>
      <c r="W4" s="9" t="n">
        <v>83.61</v>
      </c>
      <c r="X4" s="9" t="n">
        <v>37.22</v>
      </c>
      <c r="Y4" s="9" t="n">
        <v>34.44</v>
      </c>
      <c r="Z4" s="9" t="n">
        <v>11.94</v>
      </c>
      <c r="AA4" s="9" t="n">
        <v>216.64</v>
      </c>
      <c r="AB4" s="9" t="n">
        <v>103.22</v>
      </c>
      <c r="AC4" s="9" t="n">
        <v>47.65</v>
      </c>
      <c r="AD4" s="9" t="n">
        <v>5.25</v>
      </c>
      <c r="AE4" s="9" t="n">
        <v>1.64</v>
      </c>
      <c r="AF4" s="9" t="n">
        <v>31.22</v>
      </c>
      <c r="AG4" s="9" t="n">
        <v>30</v>
      </c>
      <c r="AH4" s="9" t="n">
        <v>7.47</v>
      </c>
      <c r="AI4" s="9" t="n">
        <v>24.91</v>
      </c>
      <c r="AJ4" s="9" t="n">
        <v>1.53</v>
      </c>
      <c r="AK4" s="9" t="n">
        <v>0.83</v>
      </c>
      <c r="AL4" s="9" t="n">
        <v>54.55</v>
      </c>
      <c r="AM4" s="9" t="n">
        <v>27.11</v>
      </c>
      <c r="AN4" s="9" t="n">
        <v>3.83</v>
      </c>
      <c r="AO4" s="9" t="n">
        <v>14.14</v>
      </c>
      <c r="AP4" s="9" t="n">
        <v>4.72</v>
      </c>
      <c r="AQ4" s="9" t="n">
        <v>1.25</v>
      </c>
      <c r="AR4" s="9" t="n">
        <v>26.47</v>
      </c>
      <c r="AS4" s="9" t="n">
        <v>2.58</v>
      </c>
      <c r="AT4" s="9" t="n">
        <v>0.67</v>
      </c>
      <c r="AU4" s="9" t="n">
        <v>25.81</v>
      </c>
      <c r="AV4" s="9" t="n">
        <v>0.11</v>
      </c>
      <c r="AW4" s="9" t="n">
        <v>0.06</v>
      </c>
      <c r="AX4" s="9" t="n">
        <v>50</v>
      </c>
      <c r="AY4" s="9" t="n">
        <v>13.33</v>
      </c>
      <c r="AZ4" s="9" t="n">
        <v>5.08</v>
      </c>
      <c r="BA4" s="9" t="n">
        <v>38.13</v>
      </c>
      <c r="BB4" s="9" t="n">
        <v>4.94</v>
      </c>
      <c r="BC4" s="9" t="n">
        <v>8.67</v>
      </c>
      <c r="BD4" s="9" t="n">
        <v>24.47</v>
      </c>
      <c r="BE4" s="9" t="n">
        <v>4.36</v>
      </c>
      <c r="BF4" s="9" t="n">
        <v>7.22</v>
      </c>
      <c r="BG4" s="9" t="n">
        <v>19.72</v>
      </c>
      <c r="BH4" s="9" t="n">
        <v>69.69</v>
      </c>
      <c r="BI4" s="9" t="n">
        <v>27.81</v>
      </c>
      <c r="BJ4" s="9" t="n">
        <v>39.9</v>
      </c>
      <c r="BK4" s="9" t="n">
        <v>2.64</v>
      </c>
      <c r="BL4" s="9" t="n">
        <v>0.97</v>
      </c>
      <c r="BM4" s="9" t="n">
        <v>10</v>
      </c>
      <c r="BN4" s="9" t="n">
        <v>3.61</v>
      </c>
      <c r="BO4" s="9" t="n">
        <v>36.11</v>
      </c>
      <c r="BP4" s="9" t="n">
        <v>68.31</v>
      </c>
      <c r="BQ4" s="9" t="n">
        <v>41.22</v>
      </c>
      <c r="BR4" s="9" t="n">
        <v>60.35</v>
      </c>
      <c r="BS4" s="9" t="n">
        <v>42.47</v>
      </c>
      <c r="BT4" s="9" t="n">
        <v>19.53</v>
      </c>
      <c r="BU4" s="9" t="n">
        <v>45.98</v>
      </c>
      <c r="BV4" s="9" t="n">
        <v>3.69</v>
      </c>
      <c r="BW4" s="9" t="n">
        <v>1.42</v>
      </c>
      <c r="BX4" s="9" t="n">
        <v>38.35</v>
      </c>
      <c r="BY4" s="9" t="n">
        <v>42.94</v>
      </c>
      <c r="BZ4" s="9" t="n">
        <v>17.47</v>
      </c>
      <c r="CA4" s="9" t="n">
        <v>13.83</v>
      </c>
      <c r="CB4" s="9" t="n">
        <v>2.22</v>
      </c>
      <c r="CC4" s="9" t="n">
        <v>0.22</v>
      </c>
      <c r="CD4" s="9" t="n">
        <v>140.83</v>
      </c>
      <c r="CE4" s="9" t="n">
        <v>99.5</v>
      </c>
      <c r="CF4" s="9" t="n">
        <v>70.65000000000001</v>
      </c>
      <c r="CG4" s="9" t="n">
        <v>63.56</v>
      </c>
      <c r="CH4" s="9" t="n">
        <v>59.5</v>
      </c>
      <c r="CI4" s="9" t="n">
        <v>93.62</v>
      </c>
      <c r="CJ4" s="9" t="n">
        <v>140.92</v>
      </c>
      <c r="CK4" s="9" t="n">
        <v>124.89</v>
      </c>
      <c r="CL4" s="9" t="n">
        <v>88.63</v>
      </c>
      <c r="CM4" s="9" t="n">
        <v>50.97</v>
      </c>
      <c r="CN4" s="9" t="n">
        <v>27.17</v>
      </c>
      <c r="CO4" s="9" t="n">
        <v>53.3</v>
      </c>
      <c r="CP4" s="9" t="n">
        <v>57.83</v>
      </c>
      <c r="CQ4" s="9" t="n">
        <v>38.42</v>
      </c>
      <c r="CR4" s="9" t="n">
        <v>66.43000000000001</v>
      </c>
      <c r="CS4" s="9" t="n">
        <v>77.39</v>
      </c>
      <c r="CT4" s="9" t="n">
        <v>57.75</v>
      </c>
      <c r="CU4" s="9" t="n">
        <v>74.62</v>
      </c>
      <c r="CV4" s="9" t="n">
        <v>5.69</v>
      </c>
      <c r="CW4" s="9" t="n">
        <v>2.44</v>
      </c>
      <c r="CX4" s="9" t="n">
        <v>42.93</v>
      </c>
      <c r="CY4" s="9" t="n">
        <v>23.33</v>
      </c>
      <c r="CZ4" s="9" t="n">
        <v>21.78</v>
      </c>
      <c r="DA4" s="9" t="n">
        <v>93.33</v>
      </c>
      <c r="DB4" s="9" t="n">
        <v>8.08</v>
      </c>
      <c r="DC4" s="9" t="n">
        <v>16.32</v>
      </c>
      <c r="DD4" s="9" t="n">
        <v>3.63</v>
      </c>
      <c r="DE4" s="9" t="n">
        <v>13.12</v>
      </c>
      <c r="DF4" s="9" t="n">
        <v>18.49</v>
      </c>
      <c r="DG4" s="9" t="n">
        <v>21.05</v>
      </c>
      <c r="DH4" s="9" t="n">
        <v>9.24</v>
      </c>
      <c r="DI4" s="9" t="n">
        <v>0.97</v>
      </c>
      <c r="DJ4" s="9" t="n">
        <v>1.19</v>
      </c>
      <c r="DK4" s="9" t="n">
        <v>10</v>
      </c>
      <c r="DL4" s="9" t="n">
        <v>3.42</v>
      </c>
      <c r="DM4" s="9" t="n">
        <v>34.17</v>
      </c>
      <c r="DN4" s="9" t="n">
        <v>388.25</v>
      </c>
      <c r="DO4" s="9" t="n">
        <v>312.75</v>
      </c>
      <c r="DP4" s="9" t="n">
        <v>80.55</v>
      </c>
      <c r="DQ4" s="9" t="n">
        <v>49.38</v>
      </c>
      <c r="DR4" s="9" t="n">
        <v>109.33</v>
      </c>
      <c r="DS4" s="9" t="n">
        <v>19.5</v>
      </c>
      <c r="DT4" s="9" t="n">
        <v>40.81</v>
      </c>
      <c r="DU4" s="9" t="n">
        <v>49.03</v>
      </c>
      <c r="DV4" s="9" t="n">
        <v>83.86</v>
      </c>
      <c r="DW4" s="9" t="n">
        <v>38.72</v>
      </c>
      <c r="DX4" s="9" t="n">
        <v>33.86</v>
      </c>
      <c r="DY4" s="9" t="n">
        <v>11.28</v>
      </c>
      <c r="DZ4" s="9" t="n">
        <v>216.64</v>
      </c>
      <c r="EA4" s="9" t="n">
        <v>103.39</v>
      </c>
      <c r="EB4" s="9" t="n">
        <v>47.72</v>
      </c>
      <c r="EC4" s="9" t="n">
        <v>3.64</v>
      </c>
      <c r="ED4" s="9" t="n">
        <v>0.83</v>
      </c>
      <c r="EE4" s="9" t="n">
        <v>22.9</v>
      </c>
      <c r="EF4" s="9" t="n">
        <v>25.89</v>
      </c>
      <c r="EG4" s="9" t="n">
        <v>5.83</v>
      </c>
      <c r="EH4" s="9" t="n">
        <v>22.53</v>
      </c>
      <c r="EI4" s="9" t="n">
        <v>1.22</v>
      </c>
      <c r="EJ4" s="9" t="n">
        <v>0.64</v>
      </c>
      <c r="EK4" s="9" t="n">
        <v>52.27</v>
      </c>
      <c r="EL4" s="9" t="n">
        <v>27.19</v>
      </c>
      <c r="EM4" s="9" t="n">
        <v>3.17</v>
      </c>
      <c r="EN4" s="9" t="n">
        <v>11.64</v>
      </c>
      <c r="EO4" s="9" t="n">
        <v>4</v>
      </c>
      <c r="EP4" s="9" t="n">
        <v>1.28</v>
      </c>
      <c r="EQ4" s="9" t="n">
        <v>31.94</v>
      </c>
      <c r="ER4" s="9" t="n">
        <v>2.44</v>
      </c>
      <c r="ES4" s="9" t="n">
        <v>0.6899999999999999</v>
      </c>
      <c r="ET4" s="9" t="n">
        <v>28.41</v>
      </c>
      <c r="EU4" s="9" t="n">
        <v>0.08</v>
      </c>
      <c r="EV4" s="9" t="n">
        <v>0.06</v>
      </c>
      <c r="EW4" s="9" t="n">
        <v>66.67</v>
      </c>
      <c r="EX4" s="9" t="n">
        <v>14.69</v>
      </c>
      <c r="EY4" s="9" t="n">
        <v>4.64</v>
      </c>
      <c r="EZ4" s="9" t="n">
        <v>31.57</v>
      </c>
      <c r="FA4" s="9" t="n">
        <v>4.47</v>
      </c>
      <c r="FB4" s="9" t="n">
        <v>6.14</v>
      </c>
      <c r="FC4" s="9" t="n">
        <v>24.42</v>
      </c>
      <c r="FD4" s="9" t="n">
        <v>4.31</v>
      </c>
      <c r="FE4" s="9" t="n">
        <v>8.890000000000001</v>
      </c>
      <c r="FF4" s="9" t="n">
        <v>16.67</v>
      </c>
      <c r="FG4" s="9" t="n">
        <v>68.31</v>
      </c>
      <c r="FH4" s="9" t="n">
        <v>27.08</v>
      </c>
      <c r="FI4" s="9" t="n">
        <v>39.65</v>
      </c>
      <c r="FJ4" s="9" t="n">
        <v>2.44</v>
      </c>
      <c r="FK4" s="9" t="n">
        <v>1.94</v>
      </c>
      <c r="FL4" s="9" t="n">
        <v>12.72</v>
      </c>
      <c r="FM4" s="9" t="n">
        <v>5.36</v>
      </c>
      <c r="FN4" s="9" t="n">
        <v>42.14</v>
      </c>
      <c r="FO4" s="9" t="n">
        <v>69.69</v>
      </c>
      <c r="FP4" s="9" t="n">
        <v>41.89</v>
      </c>
      <c r="FQ4" s="9" t="n">
        <v>60.1</v>
      </c>
      <c r="FR4" s="9" t="n">
        <v>42.47</v>
      </c>
      <c r="FS4" s="9" t="n">
        <v>19.89</v>
      </c>
      <c r="FT4" s="9" t="n">
        <v>46.83</v>
      </c>
      <c r="FU4" s="9" t="n">
        <v>4.14</v>
      </c>
      <c r="FV4" s="9" t="n">
        <v>2.03</v>
      </c>
      <c r="FW4" s="9" t="n">
        <v>48.99</v>
      </c>
      <c r="FX4" s="9" t="n">
        <v>39.31</v>
      </c>
      <c r="FY4" s="9" t="n">
        <v>16.06</v>
      </c>
      <c r="FZ4" s="9" t="n">
        <v>13.75</v>
      </c>
      <c r="GA4" s="9" t="n">
        <v>2.64</v>
      </c>
      <c r="GB4" s="9" t="n">
        <v>0.22</v>
      </c>
      <c r="GC4" s="9" t="n">
        <v>136.42</v>
      </c>
      <c r="GD4" s="9" t="n">
        <v>94.36</v>
      </c>
      <c r="GE4" s="9" t="n">
        <v>69.17</v>
      </c>
      <c r="GF4" s="9" t="n">
        <v>62.81</v>
      </c>
      <c r="GG4" s="9" t="n">
        <v>58.25</v>
      </c>
      <c r="GH4" s="9" t="n">
        <v>92.75</v>
      </c>
      <c r="GI4" s="9" t="n">
        <v>137.47</v>
      </c>
      <c r="GJ4" s="9" t="n">
        <v>118.92</v>
      </c>
      <c r="GK4" s="9" t="n">
        <v>86.5</v>
      </c>
      <c r="GL4" s="9" t="n">
        <v>54.89</v>
      </c>
      <c r="GM4" s="9" t="n">
        <v>30.03</v>
      </c>
      <c r="GN4" s="9" t="n">
        <v>54.71</v>
      </c>
      <c r="GO4" s="9" t="n">
        <v>51.5</v>
      </c>
      <c r="GP4" s="9" t="n">
        <v>31.08</v>
      </c>
      <c r="GQ4" s="9" t="n">
        <v>60.36</v>
      </c>
      <c r="GR4" s="9" t="n">
        <v>70</v>
      </c>
      <c r="GS4" s="9" t="n">
        <v>49.19</v>
      </c>
      <c r="GT4" s="9" t="n">
        <v>70.28</v>
      </c>
      <c r="GU4" s="9" t="n">
        <v>3.03</v>
      </c>
      <c r="GV4" s="9" t="n">
        <v>1.11</v>
      </c>
      <c r="GW4" s="9" t="n">
        <v>36.7</v>
      </c>
      <c r="GX4" s="9" t="n">
        <v>24.25</v>
      </c>
      <c r="GY4" s="9" t="n">
        <v>20.78</v>
      </c>
      <c r="GZ4" s="9" t="n">
        <v>85.68000000000001</v>
      </c>
      <c r="HA4" s="9" t="n">
        <v>8.529999999999999</v>
      </c>
      <c r="HB4" s="9" t="n">
        <v>16.14</v>
      </c>
      <c r="HC4" s="9" t="n">
        <v>3.55</v>
      </c>
      <c r="HD4" s="9" t="n">
        <v>14.7</v>
      </c>
      <c r="HE4" s="9" t="n">
        <v>17.97</v>
      </c>
      <c r="HF4" s="9" t="n">
        <v>20.87</v>
      </c>
      <c r="HG4" s="9" t="n">
        <v>9.779999999999999</v>
      </c>
    </row>
    <row r="5">
      <c r="A5" s="12" t="n">
        <v>2022</v>
      </c>
      <c r="B5" s="12" t="n">
        <v>60</v>
      </c>
      <c r="C5" s="5">
        <f>(B5-AVERAGE($B$2:$B$100))/_xlfn.STDEV.P($B$2:$B$100)</f>
        <v/>
      </c>
      <c r="D5" s="12" t="n">
        <v>2</v>
      </c>
      <c r="E5" s="6">
        <f>-D5</f>
        <v/>
      </c>
      <c r="F5" s="7">
        <f>(E5-AVERAGE($E$2:$E$100))/_xlfn.STDEV.P($E$2:$E$100)</f>
        <v/>
      </c>
      <c r="G5" s="7">
        <f>sum(0.5*C5)+(0.5*F5)</f>
        <v/>
      </c>
      <c r="H5" s="12" t="inlineStr">
        <is>
          <t>West</t>
        </is>
      </c>
      <c r="I5" s="8" t="inlineStr">
        <is>
          <t>San Diego Loyal</t>
        </is>
      </c>
      <c r="J5" s="9" t="n">
        <v>1.94</v>
      </c>
      <c r="K5" s="9" t="n">
        <v>1.82</v>
      </c>
      <c r="L5" s="9" t="n">
        <v>12.69</v>
      </c>
      <c r="M5" s="9" t="n">
        <v>5.17</v>
      </c>
      <c r="N5" s="9" t="n">
        <v>40.77</v>
      </c>
      <c r="O5" s="9" t="n">
        <v>436.14</v>
      </c>
      <c r="P5" s="9" t="n">
        <v>367.83</v>
      </c>
      <c r="Q5" s="9" t="n">
        <v>84.34</v>
      </c>
      <c r="R5" s="9" t="n">
        <v>55.63</v>
      </c>
      <c r="S5" s="9" t="n">
        <v>99.17</v>
      </c>
      <c r="T5" s="9" t="n">
        <v>17.71</v>
      </c>
      <c r="U5" s="9" t="n">
        <v>37.57</v>
      </c>
      <c r="V5" s="9" t="n">
        <v>43.89</v>
      </c>
      <c r="W5" s="9" t="n">
        <v>77.91</v>
      </c>
      <c r="X5" s="9" t="n">
        <v>36.91</v>
      </c>
      <c r="Y5" s="9" t="n">
        <v>30.03</v>
      </c>
      <c r="Z5" s="9" t="n">
        <v>10.97</v>
      </c>
      <c r="AA5" s="9" t="n">
        <v>196.8</v>
      </c>
      <c r="AB5" s="9" t="n">
        <v>95.63</v>
      </c>
      <c r="AC5" s="9" t="n">
        <v>48.59</v>
      </c>
      <c r="AD5" s="9" t="n">
        <v>4.31</v>
      </c>
      <c r="AE5" s="9" t="n">
        <v>1.49</v>
      </c>
      <c r="AF5" s="9" t="n">
        <v>34.44</v>
      </c>
      <c r="AG5" s="9" t="n">
        <v>27.69</v>
      </c>
      <c r="AH5" s="9" t="n">
        <v>6.91</v>
      </c>
      <c r="AI5" s="9" t="n">
        <v>24.97</v>
      </c>
      <c r="AJ5" s="9" t="n">
        <v>1.49</v>
      </c>
      <c r="AK5" s="9" t="n">
        <v>0.71</v>
      </c>
      <c r="AL5" s="9" t="n">
        <v>48.08</v>
      </c>
      <c r="AM5" s="9" t="n">
        <v>29.8</v>
      </c>
      <c r="AN5" s="9" t="n">
        <v>4.23</v>
      </c>
      <c r="AO5" s="9" t="n">
        <v>14.19</v>
      </c>
      <c r="AP5" s="9" t="n">
        <v>5</v>
      </c>
      <c r="AQ5" s="9" t="n">
        <v>1.37</v>
      </c>
      <c r="AR5" s="9" t="n">
        <v>27.43</v>
      </c>
      <c r="AS5" s="9" t="n">
        <v>2.69</v>
      </c>
      <c r="AT5" s="9" t="n">
        <v>0.8</v>
      </c>
      <c r="AU5" s="9" t="n">
        <v>29.79</v>
      </c>
      <c r="AV5" s="9" t="n">
        <v>0.29</v>
      </c>
      <c r="AW5" s="9" t="n">
        <v>0.14</v>
      </c>
      <c r="AX5" s="9" t="n">
        <v>50</v>
      </c>
      <c r="AY5" s="9" t="n">
        <v>14.77</v>
      </c>
      <c r="AZ5" s="9" t="n">
        <v>5.54</v>
      </c>
      <c r="BA5" s="9" t="n">
        <v>37.52</v>
      </c>
      <c r="BB5" s="9" t="n">
        <v>5.4</v>
      </c>
      <c r="BC5" s="9" t="n">
        <v>6.14</v>
      </c>
      <c r="BD5" s="9" t="n">
        <v>24.2</v>
      </c>
      <c r="BE5" s="9" t="n">
        <v>4.91</v>
      </c>
      <c r="BF5" s="9" t="n">
        <v>8.890000000000001</v>
      </c>
      <c r="BG5" s="9" t="n">
        <v>18.6</v>
      </c>
      <c r="BH5" s="9" t="n">
        <v>76.83</v>
      </c>
      <c r="BI5" s="9" t="n">
        <v>33.37</v>
      </c>
      <c r="BJ5" s="9" t="n">
        <v>43.44</v>
      </c>
      <c r="BK5" s="9" t="n">
        <v>1.74</v>
      </c>
      <c r="BL5" s="9" t="n">
        <v>1.66</v>
      </c>
      <c r="BM5" s="9" t="n">
        <v>11.17</v>
      </c>
      <c r="BN5" s="9" t="n">
        <v>4.14</v>
      </c>
      <c r="BO5" s="9" t="n">
        <v>37.08</v>
      </c>
      <c r="BP5" s="9" t="n">
        <v>59.37</v>
      </c>
      <c r="BQ5" s="9" t="n">
        <v>34.03</v>
      </c>
      <c r="BR5" s="9" t="n">
        <v>57.31</v>
      </c>
      <c r="BS5" s="9" t="n">
        <v>29.8</v>
      </c>
      <c r="BT5" s="9" t="n">
        <v>15.14</v>
      </c>
      <c r="BU5" s="9" t="n">
        <v>50.81</v>
      </c>
      <c r="BV5" s="9" t="n">
        <v>4.86</v>
      </c>
      <c r="BW5" s="9" t="n">
        <v>1.8</v>
      </c>
      <c r="BX5" s="9" t="n">
        <v>37.06</v>
      </c>
      <c r="BY5" s="9" t="n">
        <v>39.2</v>
      </c>
      <c r="BZ5" s="9" t="n">
        <v>14.83</v>
      </c>
      <c r="CA5" s="9" t="n">
        <v>13.69</v>
      </c>
      <c r="CB5" s="9" t="n">
        <v>2.8</v>
      </c>
      <c r="CC5" s="9" t="n">
        <v>0.26</v>
      </c>
      <c r="CD5" s="9" t="n">
        <v>143.66</v>
      </c>
      <c r="CE5" s="9" t="n">
        <v>107</v>
      </c>
      <c r="CF5" s="9" t="n">
        <v>74.48</v>
      </c>
      <c r="CG5" s="9" t="n">
        <v>65.23</v>
      </c>
      <c r="CH5" s="9" t="n">
        <v>61.11</v>
      </c>
      <c r="CI5" s="9" t="n">
        <v>93.69</v>
      </c>
      <c r="CJ5" s="9" t="n">
        <v>163.77</v>
      </c>
      <c r="CK5" s="9" t="n">
        <v>147.37</v>
      </c>
      <c r="CL5" s="9" t="n">
        <v>89.98999999999999</v>
      </c>
      <c r="CM5" s="9" t="n">
        <v>47.77</v>
      </c>
      <c r="CN5" s="9" t="n">
        <v>27.94</v>
      </c>
      <c r="CO5" s="9" t="n">
        <v>58.49</v>
      </c>
      <c r="CP5" s="9" t="n">
        <v>47.94</v>
      </c>
      <c r="CQ5" s="9" t="n">
        <v>32.77</v>
      </c>
      <c r="CR5" s="9" t="n">
        <v>68.36</v>
      </c>
      <c r="CS5" s="9" t="n">
        <v>73.43000000000001</v>
      </c>
      <c r="CT5" s="9" t="n">
        <v>53.03</v>
      </c>
      <c r="CU5" s="9" t="n">
        <v>72.22</v>
      </c>
      <c r="CV5" s="9" t="n">
        <v>4</v>
      </c>
      <c r="CW5" s="9" t="n">
        <v>1.63</v>
      </c>
      <c r="CX5" s="9" t="n">
        <v>40.71</v>
      </c>
      <c r="CY5" s="9" t="n">
        <v>19.77</v>
      </c>
      <c r="CZ5" s="9" t="n">
        <v>18.71</v>
      </c>
      <c r="DA5" s="9" t="n">
        <v>94.65000000000001</v>
      </c>
      <c r="DB5" s="9" t="n">
        <v>6.74</v>
      </c>
      <c r="DC5" s="9" t="n">
        <v>16.03</v>
      </c>
      <c r="DD5" s="9" t="n">
        <v>4.06</v>
      </c>
      <c r="DE5" s="9" t="n">
        <v>11.28</v>
      </c>
      <c r="DF5" s="9" t="n">
        <v>16.93</v>
      </c>
      <c r="DG5" s="9" t="n">
        <v>20.08</v>
      </c>
      <c r="DH5" s="9" t="n">
        <v>8.960000000000001</v>
      </c>
      <c r="DI5" s="9" t="n">
        <v>1.66</v>
      </c>
      <c r="DJ5" s="9" t="n">
        <v>1.26</v>
      </c>
      <c r="DK5" s="9" t="n">
        <v>11.17</v>
      </c>
      <c r="DL5" s="9" t="n">
        <v>4</v>
      </c>
      <c r="DM5" s="9" t="n">
        <v>35.81</v>
      </c>
      <c r="DN5" s="9" t="n">
        <v>358.71</v>
      </c>
      <c r="DO5" s="9" t="n">
        <v>291.86</v>
      </c>
      <c r="DP5" s="9" t="n">
        <v>81.36</v>
      </c>
      <c r="DQ5" s="9" t="n">
        <v>44.37</v>
      </c>
      <c r="DR5" s="9" t="n">
        <v>96.77</v>
      </c>
      <c r="DS5" s="9" t="n">
        <v>17.69</v>
      </c>
      <c r="DT5" s="9" t="n">
        <v>33.03</v>
      </c>
      <c r="DU5" s="9" t="n">
        <v>46.06</v>
      </c>
      <c r="DV5" s="9" t="n">
        <v>77.54000000000001</v>
      </c>
      <c r="DW5" s="9" t="n">
        <v>34.09</v>
      </c>
      <c r="DX5" s="9" t="n">
        <v>31.6</v>
      </c>
      <c r="DY5" s="9" t="n">
        <v>11.86</v>
      </c>
      <c r="DZ5" s="9" t="n">
        <v>196.8</v>
      </c>
      <c r="EA5" s="9" t="n">
        <v>94.63</v>
      </c>
      <c r="EB5" s="9" t="n">
        <v>48.08</v>
      </c>
      <c r="EC5" s="9" t="n">
        <v>5.03</v>
      </c>
      <c r="ED5" s="9" t="n">
        <v>1.31</v>
      </c>
      <c r="EE5" s="9" t="n">
        <v>26.14</v>
      </c>
      <c r="EF5" s="9" t="n">
        <v>25.83</v>
      </c>
      <c r="EG5" s="9" t="n">
        <v>6.74</v>
      </c>
      <c r="EH5" s="9" t="n">
        <v>26.11</v>
      </c>
      <c r="EI5" s="9" t="n">
        <v>1.43</v>
      </c>
      <c r="EJ5" s="9" t="n">
        <v>0.57</v>
      </c>
      <c r="EK5" s="9" t="n">
        <v>40</v>
      </c>
      <c r="EL5" s="9" t="n">
        <v>25.86</v>
      </c>
      <c r="EM5" s="9" t="n">
        <v>3.26</v>
      </c>
      <c r="EN5" s="9" t="n">
        <v>12.6</v>
      </c>
      <c r="EO5" s="9" t="n">
        <v>4.4</v>
      </c>
      <c r="EP5" s="9" t="n">
        <v>1.51</v>
      </c>
      <c r="EQ5" s="9" t="n">
        <v>34.42</v>
      </c>
      <c r="ER5" s="9" t="n">
        <v>2.46</v>
      </c>
      <c r="ES5" s="9" t="n">
        <v>0.49</v>
      </c>
      <c r="ET5" s="9" t="n">
        <v>19.77</v>
      </c>
      <c r="EU5" s="9" t="n">
        <v>0.2</v>
      </c>
      <c r="EV5" s="9" t="n">
        <v>0.17</v>
      </c>
      <c r="EW5" s="9" t="n">
        <v>85.70999999999999</v>
      </c>
      <c r="EX5" s="9" t="n">
        <v>12.57</v>
      </c>
      <c r="EY5" s="9" t="n">
        <v>3.69</v>
      </c>
      <c r="EZ5" s="9" t="n">
        <v>29.32</v>
      </c>
      <c r="FA5" s="9" t="n">
        <v>4.03</v>
      </c>
      <c r="FB5" s="9" t="n">
        <v>5.89</v>
      </c>
      <c r="FC5" s="9" t="n">
        <v>21.83</v>
      </c>
      <c r="FD5" s="9" t="n">
        <v>3.23</v>
      </c>
      <c r="FE5" s="9" t="n">
        <v>7.97</v>
      </c>
      <c r="FF5" s="9" t="n">
        <v>14.74</v>
      </c>
      <c r="FG5" s="9" t="n">
        <v>59.37</v>
      </c>
      <c r="FH5" s="9" t="n">
        <v>25.34</v>
      </c>
      <c r="FI5" s="9" t="n">
        <v>42.69</v>
      </c>
      <c r="FJ5" s="9" t="n">
        <v>2.14</v>
      </c>
      <c r="FK5" s="9" t="n">
        <v>1.94</v>
      </c>
      <c r="FL5" s="9" t="n">
        <v>12.69</v>
      </c>
      <c r="FM5" s="9" t="n">
        <v>5.37</v>
      </c>
      <c r="FN5" s="9" t="n">
        <v>42.34</v>
      </c>
      <c r="FO5" s="9" t="n">
        <v>76.83</v>
      </c>
      <c r="FP5" s="9" t="n">
        <v>43.46</v>
      </c>
      <c r="FQ5" s="9" t="n">
        <v>56.56</v>
      </c>
      <c r="FR5" s="9" t="n">
        <v>29.8</v>
      </c>
      <c r="FS5" s="9" t="n">
        <v>12.89</v>
      </c>
      <c r="FT5" s="9" t="n">
        <v>43.24</v>
      </c>
      <c r="FU5" s="9" t="n">
        <v>4.69</v>
      </c>
      <c r="FV5" s="9" t="n">
        <v>2.34</v>
      </c>
      <c r="FW5" s="9" t="n">
        <v>50</v>
      </c>
      <c r="FX5" s="9" t="n">
        <v>38.49</v>
      </c>
      <c r="FY5" s="9" t="n">
        <v>14.17</v>
      </c>
      <c r="FZ5" s="9" t="n">
        <v>16.37</v>
      </c>
      <c r="GA5" s="9" t="n">
        <v>3.29</v>
      </c>
      <c r="GB5" s="9" t="n">
        <v>0.23</v>
      </c>
      <c r="GC5" s="9" t="n">
        <v>120.86</v>
      </c>
      <c r="GD5" s="9" t="n">
        <v>82.73999999999999</v>
      </c>
      <c r="GE5" s="9" t="n">
        <v>68.45999999999999</v>
      </c>
      <c r="GF5" s="9" t="n">
        <v>51.83</v>
      </c>
      <c r="GG5" s="9" t="n">
        <v>48.34</v>
      </c>
      <c r="GH5" s="9" t="n">
        <v>93.27</v>
      </c>
      <c r="GI5" s="9" t="n">
        <v>137.89</v>
      </c>
      <c r="GJ5" s="9" t="n">
        <v>122</v>
      </c>
      <c r="GK5" s="9" t="n">
        <v>88.48</v>
      </c>
      <c r="GL5" s="9" t="n">
        <v>43.97</v>
      </c>
      <c r="GM5" s="9" t="n">
        <v>21.2</v>
      </c>
      <c r="GN5" s="9" t="n">
        <v>48.21</v>
      </c>
      <c r="GO5" s="9" t="n">
        <v>48.63</v>
      </c>
      <c r="GP5" s="9" t="n">
        <v>30.34</v>
      </c>
      <c r="GQ5" s="9" t="n">
        <v>62.4</v>
      </c>
      <c r="GR5" s="9" t="n">
        <v>63.46</v>
      </c>
      <c r="GS5" s="9" t="n">
        <v>44.4</v>
      </c>
      <c r="GT5" s="9" t="n">
        <v>69.97</v>
      </c>
      <c r="GU5" s="9" t="n">
        <v>3.54</v>
      </c>
      <c r="GV5" s="9" t="n">
        <v>1.37</v>
      </c>
      <c r="GW5" s="9" t="n">
        <v>38.71</v>
      </c>
      <c r="GX5" s="9" t="n">
        <v>19.51</v>
      </c>
      <c r="GY5" s="9" t="n">
        <v>17.11</v>
      </c>
      <c r="GZ5" s="9" t="n">
        <v>87.7</v>
      </c>
      <c r="HA5" s="9" t="n">
        <v>7.89</v>
      </c>
      <c r="HB5" s="9" t="n">
        <v>16.38</v>
      </c>
      <c r="HC5" s="9" t="n">
        <v>3.55</v>
      </c>
      <c r="HD5" s="9" t="n">
        <v>12.93</v>
      </c>
      <c r="HE5" s="9" t="n">
        <v>19.09</v>
      </c>
      <c r="HF5" s="9" t="n">
        <v>20.74</v>
      </c>
      <c r="HG5" s="9" t="n">
        <v>11.26</v>
      </c>
    </row>
    <row r="6">
      <c r="A6" s="12" t="n">
        <v>2022</v>
      </c>
      <c r="B6" s="12" t="n">
        <v>67</v>
      </c>
      <c r="C6" s="5">
        <f>(B6-AVERAGE($B$2:$B$100))/_xlfn.STDEV.P($B$2:$B$100)</f>
        <v/>
      </c>
      <c r="D6" s="12" t="n">
        <v>3</v>
      </c>
      <c r="E6" s="6">
        <f>-D6</f>
        <v/>
      </c>
      <c r="F6" s="7">
        <f>(E6-AVERAGE($E$2:$E$100))/_xlfn.STDEV.P($E$2:$E$100)</f>
        <v/>
      </c>
      <c r="G6" s="7">
        <f>sum(0.5*C6)+(0.5*F6)</f>
        <v/>
      </c>
      <c r="H6" s="12" t="inlineStr">
        <is>
          <t>East</t>
        </is>
      </c>
      <c r="I6" s="8" t="inlineStr">
        <is>
          <t>Tampa Bay Rowdies</t>
        </is>
      </c>
      <c r="J6" s="9" t="n">
        <v>2.08</v>
      </c>
      <c r="K6" s="9" t="n">
        <v>1.82</v>
      </c>
      <c r="L6" s="9" t="n">
        <v>12.7</v>
      </c>
      <c r="M6" s="9" t="n">
        <v>5.24</v>
      </c>
      <c r="N6" s="9" t="n">
        <v>41.28</v>
      </c>
      <c r="O6" s="9" t="n">
        <v>455.27</v>
      </c>
      <c r="P6" s="9" t="n">
        <v>380.51</v>
      </c>
      <c r="Q6" s="9" t="n">
        <v>83.58</v>
      </c>
      <c r="R6" s="9" t="n">
        <v>52.39</v>
      </c>
      <c r="S6" s="9" t="n">
        <v>103</v>
      </c>
      <c r="T6" s="9" t="n">
        <v>14.38</v>
      </c>
      <c r="U6" s="9" t="n">
        <v>36.51</v>
      </c>
      <c r="V6" s="9" t="n">
        <v>52.11</v>
      </c>
      <c r="W6" s="9" t="n">
        <v>82.03</v>
      </c>
      <c r="X6" s="9" t="n">
        <v>34.84</v>
      </c>
      <c r="Y6" s="9" t="n">
        <v>35.16</v>
      </c>
      <c r="Z6" s="9" t="n">
        <v>12.03</v>
      </c>
      <c r="AA6" s="9" t="n">
        <v>195.46</v>
      </c>
      <c r="AB6" s="9" t="n">
        <v>97.68000000000001</v>
      </c>
      <c r="AC6" s="9" t="n">
        <v>49.97</v>
      </c>
      <c r="AD6" s="9" t="n">
        <v>3.62</v>
      </c>
      <c r="AE6" s="9" t="n">
        <v>0.92</v>
      </c>
      <c r="AF6" s="9" t="n">
        <v>25.37</v>
      </c>
      <c r="AG6" s="9" t="n">
        <v>32.32</v>
      </c>
      <c r="AH6" s="9" t="n">
        <v>8.16</v>
      </c>
      <c r="AI6" s="9" t="n">
        <v>25.25</v>
      </c>
      <c r="AJ6" s="9" t="n">
        <v>1.27</v>
      </c>
      <c r="AK6" s="9" t="n">
        <v>0.49</v>
      </c>
      <c r="AL6" s="9" t="n">
        <v>38.3</v>
      </c>
      <c r="AM6" s="9" t="n">
        <v>26.43</v>
      </c>
      <c r="AN6" s="9" t="n">
        <v>3.35</v>
      </c>
      <c r="AO6" s="9" t="n">
        <v>12.68</v>
      </c>
      <c r="AP6" s="9" t="n">
        <v>5.68</v>
      </c>
      <c r="AQ6" s="9" t="n">
        <v>1.46</v>
      </c>
      <c r="AR6" s="9" t="n">
        <v>25.71</v>
      </c>
      <c r="AS6" s="9" t="n">
        <v>1.81</v>
      </c>
      <c r="AT6" s="9" t="n">
        <v>0.46</v>
      </c>
      <c r="AU6" s="9" t="n">
        <v>25.37</v>
      </c>
      <c r="AV6" s="9" t="n">
        <v>0.32</v>
      </c>
      <c r="AW6" s="9" t="n">
        <v>0.24</v>
      </c>
      <c r="AX6" s="9" t="n">
        <v>75</v>
      </c>
      <c r="AY6" s="9" t="n">
        <v>16.43</v>
      </c>
      <c r="AZ6" s="9" t="n">
        <v>5.49</v>
      </c>
      <c r="BA6" s="9" t="n">
        <v>33.39</v>
      </c>
      <c r="BB6" s="9" t="n">
        <v>5.54</v>
      </c>
      <c r="BC6" s="9" t="n">
        <v>7.59</v>
      </c>
      <c r="BD6" s="9" t="n">
        <v>27.78</v>
      </c>
      <c r="BE6" s="9" t="n">
        <v>6.3</v>
      </c>
      <c r="BF6" s="9" t="n">
        <v>9.539999999999999</v>
      </c>
      <c r="BG6" s="9" t="n">
        <v>21.49</v>
      </c>
      <c r="BH6" s="9" t="n">
        <v>70.89</v>
      </c>
      <c r="BI6" s="9" t="n">
        <v>30.97</v>
      </c>
      <c r="BJ6" s="9" t="n">
        <v>43.69</v>
      </c>
      <c r="BK6" s="9" t="n">
        <v>3.11</v>
      </c>
      <c r="BL6" s="9" t="n">
        <v>0.95</v>
      </c>
      <c r="BM6" s="9" t="n">
        <v>8.32</v>
      </c>
      <c r="BN6" s="9" t="n">
        <v>2.89</v>
      </c>
      <c r="BO6" s="9" t="n">
        <v>34.74</v>
      </c>
      <c r="BP6" s="9" t="n">
        <v>54.46</v>
      </c>
      <c r="BQ6" s="9" t="n">
        <v>34</v>
      </c>
      <c r="BR6" s="9" t="n">
        <v>62.43</v>
      </c>
      <c r="BS6" s="9" t="n">
        <v>37.78</v>
      </c>
      <c r="BT6" s="9" t="n">
        <v>18.41</v>
      </c>
      <c r="BU6" s="9" t="n">
        <v>48.71</v>
      </c>
      <c r="BV6" s="9" t="n">
        <v>2.97</v>
      </c>
      <c r="BW6" s="9" t="n">
        <v>1.54</v>
      </c>
      <c r="BX6" s="9" t="n">
        <v>51.82</v>
      </c>
      <c r="BY6" s="9" t="n">
        <v>36.3</v>
      </c>
      <c r="BZ6" s="9" t="n">
        <v>11.89</v>
      </c>
      <c r="CA6" s="9" t="n">
        <v>12.14</v>
      </c>
      <c r="CB6" s="9" t="n">
        <v>1.97</v>
      </c>
      <c r="CC6" s="9" t="n">
        <v>0.11</v>
      </c>
      <c r="CD6" s="9" t="n">
        <v>153.32</v>
      </c>
      <c r="CE6" s="9" t="n">
        <v>111.92</v>
      </c>
      <c r="CF6" s="9" t="n">
        <v>72.98999999999999</v>
      </c>
      <c r="CG6" s="9" t="n">
        <v>72.45999999999999</v>
      </c>
      <c r="CH6" s="9" t="n">
        <v>68.41</v>
      </c>
      <c r="CI6" s="9" t="n">
        <v>94.41</v>
      </c>
      <c r="CJ6" s="9" t="n">
        <v>170.05</v>
      </c>
      <c r="CK6" s="9" t="n">
        <v>151.49</v>
      </c>
      <c r="CL6" s="9" t="n">
        <v>89.08</v>
      </c>
      <c r="CM6" s="9" t="n">
        <v>52.16</v>
      </c>
      <c r="CN6" s="9" t="n">
        <v>29.19</v>
      </c>
      <c r="CO6" s="9" t="n">
        <v>55.96</v>
      </c>
      <c r="CP6" s="9" t="n">
        <v>63.57</v>
      </c>
      <c r="CQ6" s="9" t="n">
        <v>43.86</v>
      </c>
      <c r="CR6" s="9" t="n">
        <v>69.01000000000001</v>
      </c>
      <c r="CS6" s="9" t="n">
        <v>80.19</v>
      </c>
      <c r="CT6" s="9" t="n">
        <v>60.86</v>
      </c>
      <c r="CU6" s="9" t="n">
        <v>75.90000000000001</v>
      </c>
      <c r="CV6" s="9" t="n">
        <v>3.81</v>
      </c>
      <c r="CW6" s="9" t="n">
        <v>1.3</v>
      </c>
      <c r="CX6" s="9" t="n">
        <v>34.04</v>
      </c>
      <c r="CY6" s="9" t="n">
        <v>22.16</v>
      </c>
      <c r="CZ6" s="9" t="n">
        <v>20.43</v>
      </c>
      <c r="DA6" s="9" t="n">
        <v>92.2</v>
      </c>
      <c r="DB6" s="9" t="n">
        <v>7</v>
      </c>
      <c r="DC6" s="9" t="n">
        <v>16.34</v>
      </c>
      <c r="DD6" s="9" t="n">
        <v>4.3</v>
      </c>
      <c r="DE6" s="9" t="n">
        <v>12.38</v>
      </c>
      <c r="DF6" s="9" t="n">
        <v>16.59</v>
      </c>
      <c r="DG6" s="9" t="n">
        <v>20.83</v>
      </c>
      <c r="DH6" s="9" t="n">
        <v>11.4</v>
      </c>
      <c r="DI6" s="9" t="n">
        <v>0.95</v>
      </c>
      <c r="DJ6" s="9" t="n">
        <v>0.99</v>
      </c>
      <c r="DK6" s="9" t="n">
        <v>8.32</v>
      </c>
      <c r="DL6" s="9" t="n">
        <v>2.81</v>
      </c>
      <c r="DM6" s="9" t="n">
        <v>33.77</v>
      </c>
      <c r="DN6" s="9" t="n">
        <v>407.86</v>
      </c>
      <c r="DO6" s="9" t="n">
        <v>336.3</v>
      </c>
      <c r="DP6" s="9" t="n">
        <v>82.45</v>
      </c>
      <c r="DQ6" s="9" t="n">
        <v>47.61</v>
      </c>
      <c r="DR6" s="9" t="n">
        <v>103.19</v>
      </c>
      <c r="DS6" s="9" t="n">
        <v>20.27</v>
      </c>
      <c r="DT6" s="9" t="n">
        <v>40.49</v>
      </c>
      <c r="DU6" s="9" t="n">
        <v>42.43</v>
      </c>
      <c r="DV6" s="9" t="n">
        <v>78.48999999999999</v>
      </c>
      <c r="DW6" s="9" t="n">
        <v>39.19</v>
      </c>
      <c r="DX6" s="9" t="n">
        <v>30.59</v>
      </c>
      <c r="DY6" s="9" t="n">
        <v>8.699999999999999</v>
      </c>
      <c r="DZ6" s="9" t="n">
        <v>195.46</v>
      </c>
      <c r="EA6" s="9" t="n">
        <v>89.48999999999999</v>
      </c>
      <c r="EB6" s="9" t="n">
        <v>45.78</v>
      </c>
      <c r="EC6" s="9" t="n">
        <v>3.65</v>
      </c>
      <c r="ED6" s="9" t="n">
        <v>0.8100000000000001</v>
      </c>
      <c r="EE6" s="9" t="n">
        <v>22.22</v>
      </c>
      <c r="EF6" s="9" t="n">
        <v>21.59</v>
      </c>
      <c r="EG6" s="9" t="n">
        <v>5.14</v>
      </c>
      <c r="EH6" s="9" t="n">
        <v>23.78</v>
      </c>
      <c r="EI6" s="9" t="n">
        <v>1.49</v>
      </c>
      <c r="EJ6" s="9" t="n">
        <v>0.59</v>
      </c>
      <c r="EK6" s="9" t="n">
        <v>40</v>
      </c>
      <c r="EL6" s="9" t="n">
        <v>24.22</v>
      </c>
      <c r="EM6" s="9" t="n">
        <v>2.32</v>
      </c>
      <c r="EN6" s="9" t="n">
        <v>9.6</v>
      </c>
      <c r="EO6" s="9" t="n">
        <v>3.19</v>
      </c>
      <c r="EP6" s="9" t="n">
        <v>0.84</v>
      </c>
      <c r="EQ6" s="9" t="n">
        <v>26.27</v>
      </c>
      <c r="ER6" s="9" t="n">
        <v>2.11</v>
      </c>
      <c r="ES6" s="9" t="n">
        <v>0.38</v>
      </c>
      <c r="ET6" s="9" t="n">
        <v>17.95</v>
      </c>
      <c r="EU6" s="9" t="n">
        <v>0.03</v>
      </c>
      <c r="EV6" s="9" t="n">
        <v>0</v>
      </c>
      <c r="EW6" s="9" t="n">
        <v>0</v>
      </c>
      <c r="EX6" s="9" t="n">
        <v>9.92</v>
      </c>
      <c r="EY6" s="9" t="n">
        <v>2.86</v>
      </c>
      <c r="EZ6" s="9" t="n">
        <v>28.88</v>
      </c>
      <c r="FA6" s="9" t="n">
        <v>3.03</v>
      </c>
      <c r="FB6" s="9" t="n">
        <v>5.14</v>
      </c>
      <c r="FC6" s="9" t="n">
        <v>18</v>
      </c>
      <c r="FD6" s="9" t="n">
        <v>2.86</v>
      </c>
      <c r="FE6" s="9" t="n">
        <v>5.95</v>
      </c>
      <c r="FF6" s="9" t="n">
        <v>11.35</v>
      </c>
      <c r="FG6" s="9" t="n">
        <v>54.46</v>
      </c>
      <c r="FH6" s="9" t="n">
        <v>20.46</v>
      </c>
      <c r="FI6" s="9" t="n">
        <v>37.57</v>
      </c>
      <c r="FJ6" s="9" t="n">
        <v>1.59</v>
      </c>
      <c r="FK6" s="9" t="n">
        <v>2.08</v>
      </c>
      <c r="FL6" s="9" t="n">
        <v>12.7</v>
      </c>
      <c r="FM6" s="9" t="n">
        <v>5.54</v>
      </c>
      <c r="FN6" s="9" t="n">
        <v>43.62</v>
      </c>
      <c r="FO6" s="9" t="n">
        <v>70.86</v>
      </c>
      <c r="FP6" s="9" t="n">
        <v>39.89</v>
      </c>
      <c r="FQ6" s="9" t="n">
        <v>56.29</v>
      </c>
      <c r="FR6" s="9" t="n">
        <v>37.81</v>
      </c>
      <c r="FS6" s="9" t="n">
        <v>16.76</v>
      </c>
      <c r="FT6" s="9" t="n">
        <v>44.32</v>
      </c>
      <c r="FU6" s="9" t="n">
        <v>4.84</v>
      </c>
      <c r="FV6" s="9" t="n">
        <v>2.22</v>
      </c>
      <c r="FW6" s="9" t="n">
        <v>45.81</v>
      </c>
      <c r="FX6" s="9" t="n">
        <v>39.11</v>
      </c>
      <c r="FY6" s="9" t="n">
        <v>17.3</v>
      </c>
      <c r="FZ6" s="9" t="n">
        <v>13.35</v>
      </c>
      <c r="GA6" s="9" t="n">
        <v>2.49</v>
      </c>
      <c r="GB6" s="9" t="n">
        <v>0.14</v>
      </c>
      <c r="GC6" s="9" t="n">
        <v>142.97</v>
      </c>
      <c r="GD6" s="9" t="n">
        <v>100.14</v>
      </c>
      <c r="GE6" s="9" t="n">
        <v>70.04000000000001</v>
      </c>
      <c r="GF6" s="9" t="n">
        <v>61.54</v>
      </c>
      <c r="GG6" s="9" t="n">
        <v>58.08</v>
      </c>
      <c r="GH6" s="9" t="n">
        <v>94.38</v>
      </c>
      <c r="GI6" s="9" t="n">
        <v>150.3</v>
      </c>
      <c r="GJ6" s="9" t="n">
        <v>135.05</v>
      </c>
      <c r="GK6" s="9" t="n">
        <v>89.86</v>
      </c>
      <c r="GL6" s="9" t="n">
        <v>51.95</v>
      </c>
      <c r="GM6" s="9" t="n">
        <v>27.03</v>
      </c>
      <c r="GN6" s="9" t="n">
        <v>52.03</v>
      </c>
      <c r="GO6" s="9" t="n">
        <v>50.89</v>
      </c>
      <c r="GP6" s="9" t="n">
        <v>31.46</v>
      </c>
      <c r="GQ6" s="9" t="n">
        <v>61.82</v>
      </c>
      <c r="GR6" s="9" t="n">
        <v>71.97</v>
      </c>
      <c r="GS6" s="9" t="n">
        <v>50.32</v>
      </c>
      <c r="GT6" s="9" t="n">
        <v>69.92</v>
      </c>
      <c r="GU6" s="9" t="n">
        <v>2.76</v>
      </c>
      <c r="GV6" s="9" t="n">
        <v>0.92</v>
      </c>
      <c r="GW6" s="9" t="n">
        <v>33.33</v>
      </c>
      <c r="GX6" s="9" t="n">
        <v>20.03</v>
      </c>
      <c r="GY6" s="9" t="n">
        <v>18.16</v>
      </c>
      <c r="GZ6" s="9" t="n">
        <v>90.69</v>
      </c>
      <c r="HA6" s="9" t="n">
        <v>7.84</v>
      </c>
      <c r="HB6" s="9" t="n">
        <v>16.16</v>
      </c>
      <c r="HC6" s="9" t="n">
        <v>3.99</v>
      </c>
      <c r="HD6" s="9" t="n">
        <v>13.21</v>
      </c>
      <c r="HE6" s="9" t="n">
        <v>18.58</v>
      </c>
      <c r="HF6" s="9" t="n">
        <v>20.72</v>
      </c>
      <c r="HG6" s="9" t="n">
        <v>12.92</v>
      </c>
    </row>
    <row r="7">
      <c r="A7" s="12" t="n">
        <v>2022</v>
      </c>
      <c r="B7" s="12" t="n">
        <v>55</v>
      </c>
      <c r="C7" s="5">
        <f>(B7-AVERAGE($B$2:$B$100))/_xlfn.STDEV.P($B$2:$B$100)</f>
        <v/>
      </c>
      <c r="D7" s="12" t="n">
        <v>3</v>
      </c>
      <c r="E7" s="6">
        <f>-D7</f>
        <v/>
      </c>
      <c r="F7" s="7">
        <f>(E7-AVERAGE($E$2:$E$100))/_xlfn.STDEV.P($E$2:$E$100)</f>
        <v/>
      </c>
      <c r="G7" s="7">
        <f>sum(0.5*C7)+(0.5*F7)</f>
        <v/>
      </c>
      <c r="H7" s="12" t="inlineStr">
        <is>
          <t>West</t>
        </is>
      </c>
      <c r="I7" s="8" t="inlineStr">
        <is>
          <t>Colorado Springs</t>
        </is>
      </c>
      <c r="J7" s="9" t="n">
        <v>1.73</v>
      </c>
      <c r="K7" s="9" t="n">
        <v>1.42</v>
      </c>
      <c r="L7" s="9" t="n">
        <v>11.95</v>
      </c>
      <c r="M7" s="9" t="n">
        <v>4.43</v>
      </c>
      <c r="N7" s="9" t="n">
        <v>37.1</v>
      </c>
      <c r="O7" s="9" t="n">
        <v>411.08</v>
      </c>
      <c r="P7" s="9" t="n">
        <v>335.81</v>
      </c>
      <c r="Q7" s="9" t="n">
        <v>81.69</v>
      </c>
      <c r="R7" s="9" t="n">
        <v>52.16</v>
      </c>
      <c r="S7" s="9" t="n">
        <v>103.68</v>
      </c>
      <c r="T7" s="9" t="n">
        <v>16.43</v>
      </c>
      <c r="U7" s="9" t="n">
        <v>38.51</v>
      </c>
      <c r="V7" s="9" t="n">
        <v>48.73</v>
      </c>
      <c r="W7" s="9" t="n">
        <v>81.84</v>
      </c>
      <c r="X7" s="9" t="n">
        <v>35.49</v>
      </c>
      <c r="Y7" s="9" t="n">
        <v>35.65</v>
      </c>
      <c r="Z7" s="9" t="n">
        <v>10.7</v>
      </c>
      <c r="AA7" s="9" t="n">
        <v>200.24</v>
      </c>
      <c r="AB7" s="9" t="n">
        <v>96.65000000000001</v>
      </c>
      <c r="AC7" s="9" t="n">
        <v>48.27</v>
      </c>
      <c r="AD7" s="9" t="n">
        <v>4.76</v>
      </c>
      <c r="AE7" s="9" t="n">
        <v>1.43</v>
      </c>
      <c r="AF7" s="9" t="n">
        <v>30.11</v>
      </c>
      <c r="AG7" s="9" t="n">
        <v>28.27</v>
      </c>
      <c r="AH7" s="9" t="n">
        <v>7.11</v>
      </c>
      <c r="AI7" s="9" t="n">
        <v>25.14</v>
      </c>
      <c r="AJ7" s="9" t="n">
        <v>1.81</v>
      </c>
      <c r="AK7" s="9" t="n">
        <v>0.8100000000000001</v>
      </c>
      <c r="AL7" s="9" t="n">
        <v>44.78</v>
      </c>
      <c r="AM7" s="9" t="n">
        <v>28.95</v>
      </c>
      <c r="AN7" s="9" t="n">
        <v>3.35</v>
      </c>
      <c r="AO7" s="9" t="n">
        <v>11.58</v>
      </c>
      <c r="AP7" s="9" t="n">
        <v>5.22</v>
      </c>
      <c r="AQ7" s="9" t="n">
        <v>1.76</v>
      </c>
      <c r="AR7" s="9" t="n">
        <v>33.68</v>
      </c>
      <c r="AS7" s="9" t="n">
        <v>2.3</v>
      </c>
      <c r="AT7" s="9" t="n">
        <v>0.43</v>
      </c>
      <c r="AU7" s="9" t="n">
        <v>18.82</v>
      </c>
      <c r="AV7" s="9" t="n">
        <v>0.16</v>
      </c>
      <c r="AW7" s="9" t="n">
        <v>0.14</v>
      </c>
      <c r="AX7" s="9" t="n">
        <v>83.33</v>
      </c>
      <c r="AY7" s="9" t="n">
        <v>11.49</v>
      </c>
      <c r="AZ7" s="9" t="n">
        <v>3.7</v>
      </c>
      <c r="BA7" s="9" t="n">
        <v>32.24</v>
      </c>
      <c r="BB7" s="9" t="n">
        <v>4.16</v>
      </c>
      <c r="BC7" s="9" t="n">
        <v>7.59</v>
      </c>
      <c r="BD7" s="9" t="n">
        <v>23.86</v>
      </c>
      <c r="BE7" s="9" t="n">
        <v>5.05</v>
      </c>
      <c r="BF7" s="9" t="n">
        <v>6.76</v>
      </c>
      <c r="BG7" s="9" t="n">
        <v>16.97</v>
      </c>
      <c r="BH7" s="9" t="n">
        <v>67.73</v>
      </c>
      <c r="BI7" s="9" t="n">
        <v>28.27</v>
      </c>
      <c r="BJ7" s="9" t="n">
        <v>41.74</v>
      </c>
      <c r="BK7" s="9" t="n">
        <v>2.51</v>
      </c>
      <c r="BL7" s="9" t="n">
        <v>1.51</v>
      </c>
      <c r="BM7" s="9" t="n">
        <v>10.76</v>
      </c>
      <c r="BN7" s="9" t="n">
        <v>4.38</v>
      </c>
      <c r="BO7" s="9" t="n">
        <v>40.7</v>
      </c>
      <c r="BP7" s="9" t="n">
        <v>64.43000000000001</v>
      </c>
      <c r="BQ7" s="9" t="n">
        <v>37.19</v>
      </c>
      <c r="BR7" s="9" t="n">
        <v>57.72</v>
      </c>
      <c r="BS7" s="9" t="n">
        <v>35.68</v>
      </c>
      <c r="BT7" s="9" t="n">
        <v>17.54</v>
      </c>
      <c r="BU7" s="9" t="n">
        <v>49.17</v>
      </c>
      <c r="BV7" s="9" t="n">
        <v>2.16</v>
      </c>
      <c r="BW7" s="9" t="n">
        <v>0.92</v>
      </c>
      <c r="BX7" s="9" t="n">
        <v>42.5</v>
      </c>
      <c r="BY7" s="9" t="n">
        <v>37.32</v>
      </c>
      <c r="BZ7" s="9" t="n">
        <v>14.19</v>
      </c>
      <c r="CA7" s="9" t="n">
        <v>14.08</v>
      </c>
      <c r="CB7" s="9" t="n">
        <v>2.76</v>
      </c>
      <c r="CC7" s="9" t="n">
        <v>0.14</v>
      </c>
      <c r="CD7" s="9" t="n">
        <v>144.97</v>
      </c>
      <c r="CE7" s="9" t="n">
        <v>101.27</v>
      </c>
      <c r="CF7" s="9" t="n">
        <v>69.84999999999999</v>
      </c>
      <c r="CG7" s="9" t="n">
        <v>60.84</v>
      </c>
      <c r="CH7" s="9" t="n">
        <v>56.59</v>
      </c>
      <c r="CI7" s="9" t="n">
        <v>93.03</v>
      </c>
      <c r="CJ7" s="9" t="n">
        <v>147.57</v>
      </c>
      <c r="CK7" s="9" t="n">
        <v>130.54</v>
      </c>
      <c r="CL7" s="9" t="n">
        <v>88.45999999999999</v>
      </c>
      <c r="CM7" s="9" t="n">
        <v>48.89</v>
      </c>
      <c r="CN7" s="9" t="n">
        <v>24.59</v>
      </c>
      <c r="CO7" s="9" t="n">
        <v>50.3</v>
      </c>
      <c r="CP7" s="9" t="n">
        <v>58.32</v>
      </c>
      <c r="CQ7" s="9" t="n">
        <v>36.43</v>
      </c>
      <c r="CR7" s="9" t="n">
        <v>62.47</v>
      </c>
      <c r="CS7" s="9" t="n">
        <v>74.27</v>
      </c>
      <c r="CT7" s="9" t="n">
        <v>54.03</v>
      </c>
      <c r="CU7" s="9" t="n">
        <v>72.73999999999999</v>
      </c>
      <c r="CV7" s="9" t="n">
        <v>5.7</v>
      </c>
      <c r="CW7" s="9" t="n">
        <v>2.16</v>
      </c>
      <c r="CX7" s="9" t="n">
        <v>37.91</v>
      </c>
      <c r="CY7" s="9" t="n">
        <v>23.16</v>
      </c>
      <c r="CZ7" s="9" t="n">
        <v>22.03</v>
      </c>
      <c r="DA7" s="9" t="n">
        <v>95.09999999999999</v>
      </c>
      <c r="DB7" s="9" t="n">
        <v>9.19</v>
      </c>
      <c r="DC7" s="9" t="n">
        <v>16.38</v>
      </c>
      <c r="DD7" s="9" t="n">
        <v>3.69</v>
      </c>
      <c r="DE7" s="9" t="n">
        <v>12.34</v>
      </c>
      <c r="DF7" s="9" t="n">
        <v>18.48</v>
      </c>
      <c r="DG7" s="9" t="n">
        <v>20.25</v>
      </c>
      <c r="DH7" s="9" t="n">
        <v>9.83</v>
      </c>
      <c r="DI7" s="9" t="n">
        <v>1.51</v>
      </c>
      <c r="DJ7" s="9" t="n">
        <v>1.29</v>
      </c>
      <c r="DK7" s="9" t="n">
        <v>10.76</v>
      </c>
      <c r="DL7" s="9" t="n">
        <v>4.14</v>
      </c>
      <c r="DM7" s="9" t="n">
        <v>38.44</v>
      </c>
      <c r="DN7" s="9" t="n">
        <v>363.59</v>
      </c>
      <c r="DO7" s="9" t="n">
        <v>291.65</v>
      </c>
      <c r="DP7" s="9" t="n">
        <v>80.20999999999999</v>
      </c>
      <c r="DQ7" s="9" t="n">
        <v>47.84</v>
      </c>
      <c r="DR7" s="9" t="n">
        <v>105.19</v>
      </c>
      <c r="DS7" s="9" t="n">
        <v>18.7</v>
      </c>
      <c r="DT7" s="9" t="n">
        <v>42.43</v>
      </c>
      <c r="DU7" s="9" t="n">
        <v>44.05</v>
      </c>
      <c r="DV7" s="9" t="n">
        <v>79.27</v>
      </c>
      <c r="DW7" s="9" t="n">
        <v>37.43</v>
      </c>
      <c r="DX7" s="9" t="n">
        <v>31.86</v>
      </c>
      <c r="DY7" s="9" t="n">
        <v>9.970000000000001</v>
      </c>
      <c r="DZ7" s="9" t="n">
        <v>200.24</v>
      </c>
      <c r="EA7" s="9" t="n">
        <v>95.95</v>
      </c>
      <c r="EB7" s="9" t="n">
        <v>47.91</v>
      </c>
      <c r="EC7" s="9" t="n">
        <v>4.11</v>
      </c>
      <c r="ED7" s="9" t="n">
        <v>1.3</v>
      </c>
      <c r="EE7" s="9" t="n">
        <v>31.58</v>
      </c>
      <c r="EF7" s="9" t="n">
        <v>26.05</v>
      </c>
      <c r="EG7" s="9" t="n">
        <v>6.19</v>
      </c>
      <c r="EH7" s="9" t="n">
        <v>23.76</v>
      </c>
      <c r="EI7" s="9" t="n">
        <v>1.38</v>
      </c>
      <c r="EJ7" s="9" t="n">
        <v>0.57</v>
      </c>
      <c r="EK7" s="9" t="n">
        <v>41.18</v>
      </c>
      <c r="EL7" s="9" t="n">
        <v>28.22</v>
      </c>
      <c r="EM7" s="9" t="n">
        <v>3.46</v>
      </c>
      <c r="EN7" s="9" t="n">
        <v>12.26</v>
      </c>
      <c r="EO7" s="9" t="n">
        <v>4.08</v>
      </c>
      <c r="EP7" s="9" t="n">
        <v>1.35</v>
      </c>
      <c r="EQ7" s="9" t="n">
        <v>33.11</v>
      </c>
      <c r="ER7" s="9" t="n">
        <v>2.7</v>
      </c>
      <c r="ES7" s="9" t="n">
        <v>0.65</v>
      </c>
      <c r="ET7" s="9" t="n">
        <v>24</v>
      </c>
      <c r="EU7" s="9" t="n">
        <v>0.19</v>
      </c>
      <c r="EV7" s="9" t="n">
        <v>0.08</v>
      </c>
      <c r="EW7" s="9" t="n">
        <v>42.86</v>
      </c>
      <c r="EX7" s="9" t="n">
        <v>13.22</v>
      </c>
      <c r="EY7" s="9" t="n">
        <v>4.16</v>
      </c>
      <c r="EZ7" s="9" t="n">
        <v>31.49</v>
      </c>
      <c r="FA7" s="9" t="n">
        <v>4.3</v>
      </c>
      <c r="FB7" s="9" t="n">
        <v>5.78</v>
      </c>
      <c r="FC7" s="9" t="n">
        <v>21.3</v>
      </c>
      <c r="FD7" s="9" t="n">
        <v>3.54</v>
      </c>
      <c r="FE7" s="9" t="n">
        <v>8.220000000000001</v>
      </c>
      <c r="FF7" s="9" t="n">
        <v>14.51</v>
      </c>
      <c r="FG7" s="9" t="n">
        <v>64.43000000000001</v>
      </c>
      <c r="FH7" s="9" t="n">
        <v>27.24</v>
      </c>
      <c r="FI7" s="9" t="n">
        <v>42.28</v>
      </c>
      <c r="FJ7" s="9" t="n">
        <v>1.65</v>
      </c>
      <c r="FK7" s="9" t="n">
        <v>1.73</v>
      </c>
      <c r="FL7" s="9" t="n">
        <v>11.95</v>
      </c>
      <c r="FM7" s="9" t="n">
        <v>4.59</v>
      </c>
      <c r="FN7" s="9" t="n">
        <v>38.46</v>
      </c>
      <c r="FO7" s="9" t="n">
        <v>67.73</v>
      </c>
      <c r="FP7" s="9" t="n">
        <v>39.43</v>
      </c>
      <c r="FQ7" s="9" t="n">
        <v>58.22</v>
      </c>
      <c r="FR7" s="9" t="n">
        <v>35.68</v>
      </c>
      <c r="FS7" s="9" t="n">
        <v>16.08</v>
      </c>
      <c r="FT7" s="9" t="n">
        <v>45.08</v>
      </c>
      <c r="FU7" s="9" t="n">
        <v>3.78</v>
      </c>
      <c r="FV7" s="9" t="n">
        <v>1.92</v>
      </c>
      <c r="FW7" s="9" t="n">
        <v>50.71</v>
      </c>
      <c r="FX7" s="9" t="n">
        <v>38.24</v>
      </c>
      <c r="FY7" s="9" t="n">
        <v>15.54</v>
      </c>
      <c r="FZ7" s="9" t="n">
        <v>14.43</v>
      </c>
      <c r="GA7" s="9" t="n">
        <v>2.92</v>
      </c>
      <c r="GB7" s="9" t="n">
        <v>0.11</v>
      </c>
      <c r="GC7" s="9" t="n">
        <v>130.81</v>
      </c>
      <c r="GD7" s="9" t="n">
        <v>91.92</v>
      </c>
      <c r="GE7" s="9" t="n">
        <v>70.27</v>
      </c>
      <c r="GF7" s="9" t="n">
        <v>52.59</v>
      </c>
      <c r="GG7" s="9" t="n">
        <v>48.92</v>
      </c>
      <c r="GH7" s="9" t="n">
        <v>93.01000000000001</v>
      </c>
      <c r="GI7" s="9" t="n">
        <v>127.24</v>
      </c>
      <c r="GJ7" s="9" t="n">
        <v>109.59</v>
      </c>
      <c r="GK7" s="9" t="n">
        <v>86.13</v>
      </c>
      <c r="GL7" s="9" t="n">
        <v>47.27</v>
      </c>
      <c r="GM7" s="9" t="n">
        <v>24.57</v>
      </c>
      <c r="GN7" s="9" t="n">
        <v>51.97</v>
      </c>
      <c r="GO7" s="9" t="n">
        <v>46.97</v>
      </c>
      <c r="GP7" s="9" t="n">
        <v>29.54</v>
      </c>
      <c r="GQ7" s="9" t="n">
        <v>62.89</v>
      </c>
      <c r="GR7" s="9" t="n">
        <v>67.51000000000001</v>
      </c>
      <c r="GS7" s="9" t="n">
        <v>46.57</v>
      </c>
      <c r="GT7" s="9" t="n">
        <v>68.98</v>
      </c>
      <c r="GU7" s="9" t="n">
        <v>3.86</v>
      </c>
      <c r="GV7" s="9" t="n">
        <v>1.57</v>
      </c>
      <c r="GW7" s="9" t="n">
        <v>40.56</v>
      </c>
      <c r="GX7" s="9" t="n">
        <v>22</v>
      </c>
      <c r="GY7" s="9" t="n">
        <v>19.35</v>
      </c>
      <c r="GZ7" s="9" t="n">
        <v>87.95999999999999</v>
      </c>
      <c r="HA7" s="9" t="n">
        <v>9.65</v>
      </c>
      <c r="HB7" s="9" t="n">
        <v>15.66</v>
      </c>
      <c r="HC7" s="9" t="n">
        <v>3.33</v>
      </c>
      <c r="HD7" s="9" t="n">
        <v>13.89</v>
      </c>
      <c r="HE7" s="9" t="n">
        <v>18.31</v>
      </c>
      <c r="HF7" s="9" t="n">
        <v>20.78</v>
      </c>
      <c r="HG7" s="9" t="n">
        <v>11.45</v>
      </c>
    </row>
    <row r="8">
      <c r="A8" s="12" t="n">
        <v>2022</v>
      </c>
      <c r="B8" s="12" t="n">
        <v>58</v>
      </c>
      <c r="C8" s="5">
        <f>(B8-AVERAGE($B$2:$B$100))/_xlfn.STDEV.P($B$2:$B$100)</f>
        <v/>
      </c>
      <c r="D8" s="12" t="n">
        <v>4</v>
      </c>
      <c r="E8" s="6">
        <f>-D8</f>
        <v/>
      </c>
      <c r="F8" s="7">
        <f>(E8-AVERAGE($E$2:$E$100))/_xlfn.STDEV.P($E$2:$E$100)</f>
        <v/>
      </c>
      <c r="G8" s="7">
        <f>sum(0.5*C8)+(0.5*F8)</f>
        <v/>
      </c>
      <c r="H8" s="12" t="inlineStr">
        <is>
          <t>East</t>
        </is>
      </c>
      <c r="I8" s="8" t="inlineStr">
        <is>
          <t>Birmingham Legion</t>
        </is>
      </c>
      <c r="J8" s="9" t="n">
        <v>1.66</v>
      </c>
      <c r="K8" s="9" t="n">
        <v>1.8</v>
      </c>
      <c r="L8" s="9" t="n">
        <v>14.46</v>
      </c>
      <c r="M8" s="9" t="n">
        <v>5.49</v>
      </c>
      <c r="N8" s="9" t="n">
        <v>37.94</v>
      </c>
      <c r="O8" s="9" t="n">
        <v>400.29</v>
      </c>
      <c r="P8" s="9" t="n">
        <v>328.29</v>
      </c>
      <c r="Q8" s="9" t="n">
        <v>82.01000000000001</v>
      </c>
      <c r="R8" s="9" t="n">
        <v>49.76</v>
      </c>
      <c r="S8" s="9" t="n">
        <v>106.29</v>
      </c>
      <c r="T8" s="9" t="n">
        <v>17.8</v>
      </c>
      <c r="U8" s="9" t="n">
        <v>36.23</v>
      </c>
      <c r="V8" s="9" t="n">
        <v>52.26</v>
      </c>
      <c r="W8" s="9" t="n">
        <v>86.06</v>
      </c>
      <c r="X8" s="9" t="n">
        <v>35.66</v>
      </c>
      <c r="Y8" s="9" t="n">
        <v>36.94</v>
      </c>
      <c r="Z8" s="9" t="n">
        <v>13.46</v>
      </c>
      <c r="AA8" s="9" t="n">
        <v>212.2</v>
      </c>
      <c r="AB8" s="9" t="n">
        <v>98.8</v>
      </c>
      <c r="AC8" s="9" t="n">
        <v>46.56</v>
      </c>
      <c r="AD8" s="9" t="n">
        <v>6.03</v>
      </c>
      <c r="AE8" s="9" t="n">
        <v>1.74</v>
      </c>
      <c r="AF8" s="9" t="n">
        <v>28.91</v>
      </c>
      <c r="AG8" s="9" t="n">
        <v>33.34</v>
      </c>
      <c r="AH8" s="9" t="n">
        <v>9.06</v>
      </c>
      <c r="AI8" s="9" t="n">
        <v>27.16</v>
      </c>
      <c r="AJ8" s="9" t="n">
        <v>1.83</v>
      </c>
      <c r="AK8" s="9" t="n">
        <v>0.6899999999999999</v>
      </c>
      <c r="AL8" s="9" t="n">
        <v>37.5</v>
      </c>
      <c r="AM8" s="9" t="n">
        <v>24.83</v>
      </c>
      <c r="AN8" s="9" t="n">
        <v>3.97</v>
      </c>
      <c r="AO8" s="9" t="n">
        <v>16</v>
      </c>
      <c r="AP8" s="9" t="n">
        <v>5.26</v>
      </c>
      <c r="AQ8" s="9" t="n">
        <v>1.51</v>
      </c>
      <c r="AR8" s="9" t="n">
        <v>28.8</v>
      </c>
      <c r="AS8" s="9" t="n">
        <v>2.43</v>
      </c>
      <c r="AT8" s="9" t="n">
        <v>0.91</v>
      </c>
      <c r="AU8" s="9" t="n">
        <v>37.65</v>
      </c>
      <c r="AV8" s="9" t="n">
        <v>0.37</v>
      </c>
      <c r="AW8" s="9" t="n">
        <v>0.26</v>
      </c>
      <c r="AX8" s="9" t="n">
        <v>69.23</v>
      </c>
      <c r="AY8" s="9" t="n">
        <v>13.63</v>
      </c>
      <c r="AZ8" s="9" t="n">
        <v>4.8</v>
      </c>
      <c r="BA8" s="9" t="n">
        <v>35.22</v>
      </c>
      <c r="BB8" s="9" t="n">
        <v>4.91</v>
      </c>
      <c r="BC8" s="9" t="n">
        <v>10.06</v>
      </c>
      <c r="BD8" s="9" t="n">
        <v>27.66</v>
      </c>
      <c r="BE8" s="9" t="n">
        <v>5.17</v>
      </c>
      <c r="BF8" s="9" t="n">
        <v>7.6</v>
      </c>
      <c r="BG8" s="9" t="n">
        <v>22.37</v>
      </c>
      <c r="BH8" s="9" t="n">
        <v>71.51000000000001</v>
      </c>
      <c r="BI8" s="9" t="n">
        <v>26.57</v>
      </c>
      <c r="BJ8" s="9" t="n">
        <v>37.16</v>
      </c>
      <c r="BK8" s="9" t="n">
        <v>2.31</v>
      </c>
      <c r="BL8" s="9" t="n">
        <v>1.11</v>
      </c>
      <c r="BM8" s="9" t="n">
        <v>10.86</v>
      </c>
      <c r="BN8" s="9" t="n">
        <v>3.97</v>
      </c>
      <c r="BO8" s="9" t="n">
        <v>36.58</v>
      </c>
      <c r="BP8" s="9" t="n">
        <v>67.2</v>
      </c>
      <c r="BQ8" s="9" t="n">
        <v>39.74</v>
      </c>
      <c r="BR8" s="9" t="n">
        <v>59.14</v>
      </c>
      <c r="BS8" s="9" t="n">
        <v>38.34</v>
      </c>
      <c r="BT8" s="9" t="n">
        <v>18.4</v>
      </c>
      <c r="BU8" s="9" t="n">
        <v>47.99</v>
      </c>
      <c r="BV8" s="9" t="n">
        <v>3.83</v>
      </c>
      <c r="BW8" s="9" t="n">
        <v>1.86</v>
      </c>
      <c r="BX8" s="9" t="n">
        <v>48.51</v>
      </c>
      <c r="BY8" s="9" t="n">
        <v>40.57</v>
      </c>
      <c r="BZ8" s="9" t="n">
        <v>14.71</v>
      </c>
      <c r="CA8" s="9" t="n">
        <v>13.86</v>
      </c>
      <c r="CB8" s="9" t="n">
        <v>2.4</v>
      </c>
      <c r="CC8" s="9" t="n">
        <v>0.09</v>
      </c>
      <c r="CD8" s="9" t="n">
        <v>138.86</v>
      </c>
      <c r="CE8" s="9" t="n">
        <v>100.97</v>
      </c>
      <c r="CF8" s="9" t="n">
        <v>72.72</v>
      </c>
      <c r="CG8" s="9" t="n">
        <v>55.11</v>
      </c>
      <c r="CH8" s="9" t="n">
        <v>51.14</v>
      </c>
      <c r="CI8" s="9" t="n">
        <v>92.79000000000001</v>
      </c>
      <c r="CJ8" s="9" t="n">
        <v>148.29</v>
      </c>
      <c r="CK8" s="9" t="n">
        <v>129.97</v>
      </c>
      <c r="CL8" s="9" t="n">
        <v>87.65000000000001</v>
      </c>
      <c r="CM8" s="9" t="n">
        <v>46.49</v>
      </c>
      <c r="CN8" s="9" t="n">
        <v>26.46</v>
      </c>
      <c r="CO8" s="9" t="n">
        <v>56.91</v>
      </c>
      <c r="CP8" s="9" t="n">
        <v>57.4</v>
      </c>
      <c r="CQ8" s="9" t="n">
        <v>40.23</v>
      </c>
      <c r="CR8" s="9" t="n">
        <v>70.08</v>
      </c>
      <c r="CS8" s="9" t="n">
        <v>78.11</v>
      </c>
      <c r="CT8" s="9" t="n">
        <v>58.4</v>
      </c>
      <c r="CU8" s="9" t="n">
        <v>74.76000000000001</v>
      </c>
      <c r="CV8" s="9" t="n">
        <v>4.69</v>
      </c>
      <c r="CW8" s="9" t="n">
        <v>2</v>
      </c>
      <c r="CX8" s="9" t="n">
        <v>42.68</v>
      </c>
      <c r="CY8" s="9" t="n">
        <v>22.37</v>
      </c>
      <c r="CZ8" s="9" t="n">
        <v>19.46</v>
      </c>
      <c r="DA8" s="9" t="n">
        <v>86.97</v>
      </c>
      <c r="DB8" s="9" t="n">
        <v>7.77</v>
      </c>
      <c r="DC8" s="9" t="n">
        <v>15.74</v>
      </c>
      <c r="DD8" s="9" t="n">
        <v>3.63</v>
      </c>
      <c r="DE8" s="9" t="n">
        <v>12.12</v>
      </c>
      <c r="DF8" s="9" t="n">
        <v>18.51</v>
      </c>
      <c r="DG8" s="9" t="n">
        <v>20.06</v>
      </c>
      <c r="DH8" s="9" t="n">
        <v>10.2</v>
      </c>
      <c r="DI8" s="9" t="n">
        <v>1.11</v>
      </c>
      <c r="DJ8" s="9" t="n">
        <v>1.12</v>
      </c>
      <c r="DK8" s="9" t="n">
        <v>10.86</v>
      </c>
      <c r="DL8" s="9" t="n">
        <v>3.91</v>
      </c>
      <c r="DM8" s="9" t="n">
        <v>36.05</v>
      </c>
      <c r="DN8" s="9" t="n">
        <v>411.57</v>
      </c>
      <c r="DO8" s="9" t="n">
        <v>338.4</v>
      </c>
      <c r="DP8" s="9" t="n">
        <v>82.22</v>
      </c>
      <c r="DQ8" s="9" t="n">
        <v>50.24</v>
      </c>
      <c r="DR8" s="9" t="n">
        <v>109.23</v>
      </c>
      <c r="DS8" s="9" t="n">
        <v>21.11</v>
      </c>
      <c r="DT8" s="9" t="n">
        <v>41.03</v>
      </c>
      <c r="DU8" s="9" t="n">
        <v>47.09</v>
      </c>
      <c r="DV8" s="9" t="n">
        <v>82.63</v>
      </c>
      <c r="DW8" s="9" t="n">
        <v>40.43</v>
      </c>
      <c r="DX8" s="9" t="n">
        <v>31.23</v>
      </c>
      <c r="DY8" s="9" t="n">
        <v>10.97</v>
      </c>
      <c r="DZ8" s="9" t="n">
        <v>212.2</v>
      </c>
      <c r="EA8" s="9" t="n">
        <v>104.69</v>
      </c>
      <c r="EB8" s="9" t="n">
        <v>49.33</v>
      </c>
      <c r="EC8" s="9" t="n">
        <v>4.54</v>
      </c>
      <c r="ED8" s="9" t="n">
        <v>1.14</v>
      </c>
      <c r="EE8" s="9" t="n">
        <v>25.16</v>
      </c>
      <c r="EF8" s="9" t="n">
        <v>26.8</v>
      </c>
      <c r="EG8" s="9" t="n">
        <v>6</v>
      </c>
      <c r="EH8" s="9" t="n">
        <v>22.39</v>
      </c>
      <c r="EI8" s="9" t="n">
        <v>1.6</v>
      </c>
      <c r="EJ8" s="9" t="n">
        <v>0.66</v>
      </c>
      <c r="EK8" s="9" t="n">
        <v>41.07</v>
      </c>
      <c r="EL8" s="9" t="n">
        <v>29.14</v>
      </c>
      <c r="EM8" s="9" t="n">
        <v>3.6</v>
      </c>
      <c r="EN8" s="9" t="n">
        <v>12.35</v>
      </c>
      <c r="EO8" s="9" t="n">
        <v>4.26</v>
      </c>
      <c r="EP8" s="9" t="n">
        <v>1.29</v>
      </c>
      <c r="EQ8" s="9" t="n">
        <v>30.2</v>
      </c>
      <c r="ER8" s="9" t="n">
        <v>2.71</v>
      </c>
      <c r="ES8" s="9" t="n">
        <v>0.46</v>
      </c>
      <c r="ET8" s="9" t="n">
        <v>16.84</v>
      </c>
      <c r="EU8" s="9" t="n">
        <v>0.09</v>
      </c>
      <c r="EV8" s="9" t="n">
        <v>0.09</v>
      </c>
      <c r="EW8" s="9" t="n">
        <v>100</v>
      </c>
      <c r="EX8" s="9" t="n">
        <v>12.26</v>
      </c>
      <c r="EY8" s="9" t="n">
        <v>4.09</v>
      </c>
      <c r="EZ8" s="9" t="n">
        <v>33.33</v>
      </c>
      <c r="FA8" s="9" t="n">
        <v>4.03</v>
      </c>
      <c r="FB8" s="9" t="n">
        <v>7.63</v>
      </c>
      <c r="FC8" s="9" t="n">
        <v>21.06</v>
      </c>
      <c r="FD8" s="9" t="n">
        <v>3.57</v>
      </c>
      <c r="FE8" s="9" t="n">
        <v>6.91</v>
      </c>
      <c r="FF8" s="9" t="n">
        <v>16.29</v>
      </c>
      <c r="FG8" s="9" t="n">
        <v>67.2</v>
      </c>
      <c r="FH8" s="9" t="n">
        <v>27.46</v>
      </c>
      <c r="FI8" s="9" t="n">
        <v>40.86</v>
      </c>
      <c r="FJ8" s="9" t="n">
        <v>1.63</v>
      </c>
      <c r="FK8" s="9" t="n">
        <v>1.66</v>
      </c>
      <c r="FL8" s="9" t="n">
        <v>14.46</v>
      </c>
      <c r="FM8" s="9" t="n">
        <v>5.63</v>
      </c>
      <c r="FN8" s="9" t="n">
        <v>38.93</v>
      </c>
      <c r="FO8" s="9" t="n">
        <v>71.51000000000001</v>
      </c>
      <c r="FP8" s="9" t="n">
        <v>44.94</v>
      </c>
      <c r="FQ8" s="9" t="n">
        <v>62.84</v>
      </c>
      <c r="FR8" s="9" t="n">
        <v>38.34</v>
      </c>
      <c r="FS8" s="9" t="n">
        <v>17.49</v>
      </c>
      <c r="FT8" s="9" t="n">
        <v>45.6</v>
      </c>
      <c r="FU8" s="9" t="n">
        <v>4.57</v>
      </c>
      <c r="FV8" s="9" t="n">
        <v>1.86</v>
      </c>
      <c r="FW8" s="9" t="n">
        <v>40.63</v>
      </c>
      <c r="FX8" s="9" t="n">
        <v>41.34</v>
      </c>
      <c r="FY8" s="9" t="n">
        <v>17.06</v>
      </c>
      <c r="FZ8" s="9" t="n">
        <v>12.09</v>
      </c>
      <c r="GA8" s="9" t="n">
        <v>2.6</v>
      </c>
      <c r="GB8" s="9" t="n">
        <v>0.14</v>
      </c>
      <c r="GC8" s="9" t="n">
        <v>144.69</v>
      </c>
      <c r="GD8" s="9" t="n">
        <v>104.23</v>
      </c>
      <c r="GE8" s="9" t="n">
        <v>72.04000000000001</v>
      </c>
      <c r="GF8" s="9" t="n">
        <v>62.74</v>
      </c>
      <c r="GG8" s="9" t="n">
        <v>58.2</v>
      </c>
      <c r="GH8" s="9" t="n">
        <v>92.76000000000001</v>
      </c>
      <c r="GI8" s="9" t="n">
        <v>147.63</v>
      </c>
      <c r="GJ8" s="9" t="n">
        <v>130.91</v>
      </c>
      <c r="GK8" s="9" t="n">
        <v>88.68000000000001</v>
      </c>
      <c r="GL8" s="9" t="n">
        <v>49.91</v>
      </c>
      <c r="GM8" s="9" t="n">
        <v>27</v>
      </c>
      <c r="GN8" s="9" t="n">
        <v>54.09</v>
      </c>
      <c r="GO8" s="9" t="n">
        <v>52.94</v>
      </c>
      <c r="GP8" s="9" t="n">
        <v>34.29</v>
      </c>
      <c r="GQ8" s="9" t="n">
        <v>64.76000000000001</v>
      </c>
      <c r="GR8" s="9" t="n">
        <v>72.94</v>
      </c>
      <c r="GS8" s="9" t="n">
        <v>51.71</v>
      </c>
      <c r="GT8" s="9" t="n">
        <v>70.90000000000001</v>
      </c>
      <c r="GU8" s="9" t="n">
        <v>3.89</v>
      </c>
      <c r="GV8" s="9" t="n">
        <v>1.51</v>
      </c>
      <c r="GW8" s="9" t="n">
        <v>38.97</v>
      </c>
      <c r="GX8" s="9" t="n">
        <v>20.94</v>
      </c>
      <c r="GY8" s="9" t="n">
        <v>18.51</v>
      </c>
      <c r="GZ8" s="9" t="n">
        <v>88.40000000000001</v>
      </c>
      <c r="HA8" s="9" t="n">
        <v>10.54</v>
      </c>
      <c r="HB8" s="9" t="n">
        <v>16.03</v>
      </c>
      <c r="HC8" s="9" t="n">
        <v>3.72</v>
      </c>
      <c r="HD8" s="9" t="n">
        <v>12.33</v>
      </c>
      <c r="HE8" s="9" t="n">
        <v>18.7</v>
      </c>
      <c r="HF8" s="9" t="n">
        <v>20.19</v>
      </c>
      <c r="HG8" s="9" t="n">
        <v>10.56</v>
      </c>
    </row>
    <row r="9">
      <c r="A9" s="12" t="n">
        <v>2022</v>
      </c>
      <c r="B9" s="12" t="n">
        <v>53</v>
      </c>
      <c r="C9" s="5">
        <f>(B9-AVERAGE($B$2:$B$100))/_xlfn.STDEV.P($B$2:$B$100)</f>
        <v/>
      </c>
      <c r="D9" s="12" t="n">
        <v>4</v>
      </c>
      <c r="E9" s="6">
        <f>-D9</f>
        <v/>
      </c>
      <c r="F9" s="7">
        <f>(E9-AVERAGE($E$2:$E$100))/_xlfn.STDEV.P($E$2:$E$100)</f>
        <v/>
      </c>
      <c r="G9" s="7">
        <f>sum(0.5*C9)+(0.5*F9)</f>
        <v/>
      </c>
      <c r="H9" s="12" t="inlineStr">
        <is>
          <t>West</t>
        </is>
      </c>
      <c r="I9" s="8" t="inlineStr">
        <is>
          <t>Sacramento Republic</t>
        </is>
      </c>
      <c r="J9" s="9" t="n">
        <v>1.42</v>
      </c>
      <c r="K9" s="9" t="n">
        <v>1.5</v>
      </c>
      <c r="L9" s="9" t="n">
        <v>13.28</v>
      </c>
      <c r="M9" s="9" t="n">
        <v>4.44</v>
      </c>
      <c r="N9" s="9" t="n">
        <v>33.47</v>
      </c>
      <c r="O9" s="9" t="n">
        <v>405.89</v>
      </c>
      <c r="P9" s="9" t="n">
        <v>328.78</v>
      </c>
      <c r="Q9" s="9" t="n">
        <v>81</v>
      </c>
      <c r="R9" s="9" t="n">
        <v>48.87</v>
      </c>
      <c r="S9" s="9" t="n">
        <v>104.72</v>
      </c>
      <c r="T9" s="9" t="n">
        <v>17.25</v>
      </c>
      <c r="U9" s="9" t="n">
        <v>38.19</v>
      </c>
      <c r="V9" s="9" t="n">
        <v>49.28</v>
      </c>
      <c r="W9" s="9" t="n">
        <v>84.64</v>
      </c>
      <c r="X9" s="9" t="n">
        <v>36.86</v>
      </c>
      <c r="Y9" s="9" t="n">
        <v>35.36</v>
      </c>
      <c r="Z9" s="9" t="n">
        <v>12.42</v>
      </c>
      <c r="AA9" s="9" t="n">
        <v>199.47</v>
      </c>
      <c r="AB9" s="9" t="n">
        <v>101.42</v>
      </c>
      <c r="AC9" s="9" t="n">
        <v>50.84</v>
      </c>
      <c r="AD9" s="9" t="n">
        <v>5.58</v>
      </c>
      <c r="AE9" s="9" t="n">
        <v>1.56</v>
      </c>
      <c r="AF9" s="9" t="n">
        <v>27.86</v>
      </c>
      <c r="AG9" s="9" t="n">
        <v>30.5</v>
      </c>
      <c r="AH9" s="9" t="n">
        <v>7.67</v>
      </c>
      <c r="AI9" s="9" t="n">
        <v>25.14</v>
      </c>
      <c r="AJ9" s="9" t="n">
        <v>1.94</v>
      </c>
      <c r="AK9" s="9" t="n">
        <v>0.89</v>
      </c>
      <c r="AL9" s="9" t="n">
        <v>45.71</v>
      </c>
      <c r="AM9" s="9" t="n">
        <v>26.33</v>
      </c>
      <c r="AN9" s="9" t="n">
        <v>3.86</v>
      </c>
      <c r="AO9" s="9" t="n">
        <v>14.66</v>
      </c>
      <c r="AP9" s="9" t="n">
        <v>5.31</v>
      </c>
      <c r="AQ9" s="9" t="n">
        <v>1.75</v>
      </c>
      <c r="AR9" s="9" t="n">
        <v>32.98</v>
      </c>
      <c r="AS9" s="9" t="n">
        <v>2.5</v>
      </c>
      <c r="AT9" s="9" t="n">
        <v>0.8100000000000001</v>
      </c>
      <c r="AU9" s="9" t="n">
        <v>32.22</v>
      </c>
      <c r="AV9" s="9" t="n">
        <v>0.28</v>
      </c>
      <c r="AW9" s="9" t="n">
        <v>0.19</v>
      </c>
      <c r="AX9" s="9" t="n">
        <v>70</v>
      </c>
      <c r="AY9" s="9" t="n">
        <v>16.72</v>
      </c>
      <c r="AZ9" s="9" t="n">
        <v>5.5</v>
      </c>
      <c r="BA9" s="9" t="n">
        <v>32.89</v>
      </c>
      <c r="BB9" s="9" t="n">
        <v>5.19</v>
      </c>
      <c r="BC9" s="9" t="n">
        <v>6.17</v>
      </c>
      <c r="BD9" s="9" t="n">
        <v>25.97</v>
      </c>
      <c r="BE9" s="9" t="n">
        <v>3.78</v>
      </c>
      <c r="BF9" s="9" t="n">
        <v>10.92</v>
      </c>
      <c r="BG9" s="9" t="n">
        <v>16.89</v>
      </c>
      <c r="BH9" s="9" t="n">
        <v>60.44</v>
      </c>
      <c r="BI9" s="9" t="n">
        <v>26.56</v>
      </c>
      <c r="BJ9" s="9" t="n">
        <v>43.93</v>
      </c>
      <c r="BK9" s="9" t="n">
        <v>2.39</v>
      </c>
      <c r="BL9" s="9" t="n">
        <v>1</v>
      </c>
      <c r="BM9" s="9" t="n">
        <v>11.03</v>
      </c>
      <c r="BN9" s="9" t="n">
        <v>3.64</v>
      </c>
      <c r="BO9" s="9" t="n">
        <v>33</v>
      </c>
      <c r="BP9" s="9" t="n">
        <v>70.69</v>
      </c>
      <c r="BQ9" s="9" t="n">
        <v>44.92</v>
      </c>
      <c r="BR9" s="9" t="n">
        <v>63.54</v>
      </c>
      <c r="BS9" s="9" t="n">
        <v>35.33</v>
      </c>
      <c r="BT9" s="9" t="n">
        <v>16.28</v>
      </c>
      <c r="BU9" s="9" t="n">
        <v>46.07</v>
      </c>
      <c r="BV9" s="9" t="n">
        <v>4.58</v>
      </c>
      <c r="BW9" s="9" t="n">
        <v>2.14</v>
      </c>
      <c r="BX9" s="9" t="n">
        <v>46.67</v>
      </c>
      <c r="BY9" s="9" t="n">
        <v>41.19</v>
      </c>
      <c r="BZ9" s="9" t="n">
        <v>13.94</v>
      </c>
      <c r="CA9" s="9" t="n">
        <v>13.14</v>
      </c>
      <c r="CB9" s="9" t="n">
        <v>2.53</v>
      </c>
      <c r="CC9" s="9" t="n">
        <v>0.08</v>
      </c>
      <c r="CD9" s="9" t="n">
        <v>142.42</v>
      </c>
      <c r="CE9" s="9" t="n">
        <v>100.64</v>
      </c>
      <c r="CF9" s="9" t="n">
        <v>70.67</v>
      </c>
      <c r="CG9" s="9" t="n">
        <v>58.08</v>
      </c>
      <c r="CH9" s="9" t="n">
        <v>53.94</v>
      </c>
      <c r="CI9" s="9" t="n">
        <v>92.87</v>
      </c>
      <c r="CJ9" s="9" t="n">
        <v>149.5</v>
      </c>
      <c r="CK9" s="9" t="n">
        <v>129.97</v>
      </c>
      <c r="CL9" s="9" t="n">
        <v>86.94</v>
      </c>
      <c r="CM9" s="9" t="n">
        <v>46.86</v>
      </c>
      <c r="CN9" s="9" t="n">
        <v>23.28</v>
      </c>
      <c r="CO9" s="9" t="n">
        <v>49.67</v>
      </c>
      <c r="CP9" s="9" t="n">
        <v>55.44</v>
      </c>
      <c r="CQ9" s="9" t="n">
        <v>35.64</v>
      </c>
      <c r="CR9" s="9" t="n">
        <v>64.28</v>
      </c>
      <c r="CS9" s="9" t="n">
        <v>73.42</v>
      </c>
      <c r="CT9" s="9" t="n">
        <v>52.14</v>
      </c>
      <c r="CU9" s="9" t="n">
        <v>71.02</v>
      </c>
      <c r="CV9" s="9" t="n">
        <v>4.61</v>
      </c>
      <c r="CW9" s="9" t="n">
        <v>2</v>
      </c>
      <c r="CX9" s="9" t="n">
        <v>43.37</v>
      </c>
      <c r="CY9" s="9" t="n">
        <v>22.72</v>
      </c>
      <c r="CZ9" s="9" t="n">
        <v>20.67</v>
      </c>
      <c r="DA9" s="9" t="n">
        <v>90.95</v>
      </c>
      <c r="DB9" s="9" t="n">
        <v>8.08</v>
      </c>
      <c r="DC9" s="9" t="n">
        <v>16.53</v>
      </c>
      <c r="DD9" s="9" t="n">
        <v>3.71</v>
      </c>
      <c r="DE9" s="9" t="n">
        <v>12.1</v>
      </c>
      <c r="DF9" s="9" t="n">
        <v>19.21</v>
      </c>
      <c r="DG9" s="9" t="n">
        <v>20.44</v>
      </c>
      <c r="DH9" s="9" t="n">
        <v>11.25</v>
      </c>
      <c r="DI9" s="9" t="n">
        <v>1</v>
      </c>
      <c r="DJ9" s="9" t="n">
        <v>1.18</v>
      </c>
      <c r="DK9" s="9" t="n">
        <v>11.03</v>
      </c>
      <c r="DL9" s="9" t="n">
        <v>3.53</v>
      </c>
      <c r="DM9" s="9" t="n">
        <v>31.99</v>
      </c>
      <c r="DN9" s="9" t="n">
        <v>424.39</v>
      </c>
      <c r="DO9" s="9" t="n">
        <v>350.78</v>
      </c>
      <c r="DP9" s="9" t="n">
        <v>82.65000000000001</v>
      </c>
      <c r="DQ9" s="9" t="n">
        <v>51.13</v>
      </c>
      <c r="DR9" s="9" t="n">
        <v>106.19</v>
      </c>
      <c r="DS9" s="9" t="n">
        <v>19.89</v>
      </c>
      <c r="DT9" s="9" t="n">
        <v>39.67</v>
      </c>
      <c r="DU9" s="9" t="n">
        <v>46.64</v>
      </c>
      <c r="DV9" s="9" t="n">
        <v>81.83</v>
      </c>
      <c r="DW9" s="9" t="n">
        <v>38.58</v>
      </c>
      <c r="DX9" s="9" t="n">
        <v>32.56</v>
      </c>
      <c r="DY9" s="9" t="n">
        <v>10.69</v>
      </c>
      <c r="DZ9" s="9" t="n">
        <v>199.47</v>
      </c>
      <c r="EA9" s="9" t="n">
        <v>90.25</v>
      </c>
      <c r="EB9" s="9" t="n">
        <v>45.24</v>
      </c>
      <c r="EC9" s="9" t="n">
        <v>5.22</v>
      </c>
      <c r="ED9" s="9" t="n">
        <v>1.17</v>
      </c>
      <c r="EE9" s="9" t="n">
        <v>22.34</v>
      </c>
      <c r="EF9" s="9" t="n">
        <v>26.44</v>
      </c>
      <c r="EG9" s="9" t="n">
        <v>7.28</v>
      </c>
      <c r="EH9" s="9" t="n">
        <v>27.52</v>
      </c>
      <c r="EI9" s="9" t="n">
        <v>1.58</v>
      </c>
      <c r="EJ9" s="9" t="n">
        <v>0.61</v>
      </c>
      <c r="EK9" s="9" t="n">
        <v>38.6</v>
      </c>
      <c r="EL9" s="9" t="n">
        <v>26.81</v>
      </c>
      <c r="EM9" s="9" t="n">
        <v>2.61</v>
      </c>
      <c r="EN9" s="9" t="n">
        <v>9.74</v>
      </c>
      <c r="EO9" s="9" t="n">
        <v>4</v>
      </c>
      <c r="EP9" s="9" t="n">
        <v>1.14</v>
      </c>
      <c r="EQ9" s="9" t="n">
        <v>28.47</v>
      </c>
      <c r="ER9" s="9" t="n">
        <v>2.25</v>
      </c>
      <c r="ES9" s="9" t="n">
        <v>0.42</v>
      </c>
      <c r="ET9" s="9" t="n">
        <v>18.52</v>
      </c>
      <c r="EU9" s="9" t="n">
        <v>0.11</v>
      </c>
      <c r="EV9" s="9" t="n">
        <v>0.06</v>
      </c>
      <c r="EW9" s="9" t="n">
        <v>50</v>
      </c>
      <c r="EX9" s="9" t="n">
        <v>11.36</v>
      </c>
      <c r="EY9" s="9" t="n">
        <v>3.53</v>
      </c>
      <c r="EZ9" s="9" t="n">
        <v>31.05</v>
      </c>
      <c r="FA9" s="9" t="n">
        <v>3.31</v>
      </c>
      <c r="FB9" s="9" t="n">
        <v>4.94</v>
      </c>
      <c r="FC9" s="9" t="n">
        <v>20.17</v>
      </c>
      <c r="FD9" s="9" t="n">
        <v>3.67</v>
      </c>
      <c r="FE9" s="9" t="n">
        <v>6.86</v>
      </c>
      <c r="FF9" s="9" t="n">
        <v>12.86</v>
      </c>
      <c r="FG9" s="9" t="n">
        <v>70.72</v>
      </c>
      <c r="FH9" s="9" t="n">
        <v>25.78</v>
      </c>
      <c r="FI9" s="9" t="n">
        <v>36.45</v>
      </c>
      <c r="FJ9" s="9" t="n">
        <v>1.75</v>
      </c>
      <c r="FK9" s="9" t="n">
        <v>1.42</v>
      </c>
      <c r="FL9" s="9" t="n">
        <v>13.28</v>
      </c>
      <c r="FM9" s="9" t="n">
        <v>4.75</v>
      </c>
      <c r="FN9" s="9" t="n">
        <v>35.77</v>
      </c>
      <c r="FO9" s="9" t="n">
        <v>60.42</v>
      </c>
      <c r="FP9" s="9" t="n">
        <v>33.86</v>
      </c>
      <c r="FQ9" s="9" t="n">
        <v>56.05</v>
      </c>
      <c r="FR9" s="9" t="n">
        <v>35.33</v>
      </c>
      <c r="FS9" s="9" t="n">
        <v>17</v>
      </c>
      <c r="FT9" s="9" t="n">
        <v>48.11</v>
      </c>
      <c r="FU9" s="9" t="n">
        <v>3.67</v>
      </c>
      <c r="FV9" s="9" t="n">
        <v>1.36</v>
      </c>
      <c r="FW9" s="9" t="n">
        <v>37.12</v>
      </c>
      <c r="FX9" s="9" t="n">
        <v>41.39</v>
      </c>
      <c r="FY9" s="9" t="n">
        <v>15.11</v>
      </c>
      <c r="FZ9" s="9" t="n">
        <v>12.86</v>
      </c>
      <c r="GA9" s="9" t="n">
        <v>3.22</v>
      </c>
      <c r="GB9" s="9" t="n">
        <v>0.14</v>
      </c>
      <c r="GC9" s="9" t="n">
        <v>146.61</v>
      </c>
      <c r="GD9" s="9" t="n">
        <v>104.39</v>
      </c>
      <c r="GE9" s="9" t="n">
        <v>71.2</v>
      </c>
      <c r="GF9" s="9" t="n">
        <v>64.06</v>
      </c>
      <c r="GG9" s="9" t="n">
        <v>59.5</v>
      </c>
      <c r="GH9" s="9" t="n">
        <v>92.89</v>
      </c>
      <c r="GI9" s="9" t="n">
        <v>156.5</v>
      </c>
      <c r="GJ9" s="9" t="n">
        <v>140.92</v>
      </c>
      <c r="GK9" s="9" t="n">
        <v>90.04000000000001</v>
      </c>
      <c r="GL9" s="9" t="n">
        <v>47.03</v>
      </c>
      <c r="GM9" s="9" t="n">
        <v>24.14</v>
      </c>
      <c r="GN9" s="9" t="n">
        <v>51.33</v>
      </c>
      <c r="GO9" s="9" t="n">
        <v>53.61</v>
      </c>
      <c r="GP9" s="9" t="n">
        <v>34.67</v>
      </c>
      <c r="GQ9" s="9" t="n">
        <v>64.66</v>
      </c>
      <c r="GR9" s="9" t="n">
        <v>73.19</v>
      </c>
      <c r="GS9" s="9" t="n">
        <v>51.97</v>
      </c>
      <c r="GT9" s="9" t="n">
        <v>71.01000000000001</v>
      </c>
      <c r="GU9" s="9" t="n">
        <v>3.69</v>
      </c>
      <c r="GV9" s="9" t="n">
        <v>1.28</v>
      </c>
      <c r="GW9" s="9" t="n">
        <v>34.59</v>
      </c>
      <c r="GX9" s="9" t="n">
        <v>24</v>
      </c>
      <c r="GY9" s="9" t="n">
        <v>21.5</v>
      </c>
      <c r="GZ9" s="9" t="n">
        <v>89.58</v>
      </c>
      <c r="HA9" s="9" t="n">
        <v>9.5</v>
      </c>
      <c r="HB9" s="9" t="n">
        <v>16.44</v>
      </c>
      <c r="HC9" s="9" t="n">
        <v>3.9</v>
      </c>
      <c r="HD9" s="9" t="n">
        <v>11.61</v>
      </c>
      <c r="HE9" s="9" t="n">
        <v>19.53</v>
      </c>
      <c r="HF9" s="9" t="n">
        <v>20.21</v>
      </c>
      <c r="HG9" s="9" t="n">
        <v>12.84</v>
      </c>
    </row>
    <row r="10">
      <c r="A10" s="12" t="n">
        <v>2022</v>
      </c>
      <c r="B10" s="12" t="n">
        <v>57</v>
      </c>
      <c r="C10" s="5">
        <f>(B10-AVERAGE($B$2:$B$100))/_xlfn.STDEV.P($B$2:$B$100)</f>
        <v/>
      </c>
      <c r="D10" s="12" t="n">
        <v>5</v>
      </c>
      <c r="E10" s="6">
        <f>-D10</f>
        <v/>
      </c>
      <c r="F10" s="7">
        <f>(E10-AVERAGE($E$2:$E$100))/_xlfn.STDEV.P($E$2:$E$100)</f>
        <v/>
      </c>
      <c r="G10" s="7">
        <f>sum(0.5*C10)+(0.5*F10)</f>
        <v/>
      </c>
      <c r="H10" s="12" t="inlineStr">
        <is>
          <t>East</t>
        </is>
      </c>
      <c r="I10" s="8" t="inlineStr">
        <is>
          <t>Pittsburgh Riverhounds</t>
        </is>
      </c>
      <c r="J10" s="9" t="n">
        <v>1.5</v>
      </c>
      <c r="K10" s="9" t="n">
        <v>1.55</v>
      </c>
      <c r="L10" s="9" t="n">
        <v>10.92</v>
      </c>
      <c r="M10" s="9" t="n">
        <v>4.36</v>
      </c>
      <c r="N10" s="9" t="n">
        <v>39.95</v>
      </c>
      <c r="O10" s="9" t="n">
        <v>427.5</v>
      </c>
      <c r="P10" s="9" t="n">
        <v>340.56</v>
      </c>
      <c r="Q10" s="9" t="n">
        <v>79.66</v>
      </c>
      <c r="R10" s="9" t="n">
        <v>50.52</v>
      </c>
      <c r="S10" s="9" t="n">
        <v>117</v>
      </c>
      <c r="T10" s="9" t="n">
        <v>17.31</v>
      </c>
      <c r="U10" s="9" t="n">
        <v>45.89</v>
      </c>
      <c r="V10" s="9" t="n">
        <v>53.81</v>
      </c>
      <c r="W10" s="9" t="n">
        <v>96.39</v>
      </c>
      <c r="X10" s="9" t="n">
        <v>43.19</v>
      </c>
      <c r="Y10" s="9" t="n">
        <v>40.5</v>
      </c>
      <c r="Z10" s="9" t="n">
        <v>12.69</v>
      </c>
      <c r="AA10" s="9" t="n">
        <v>210.06</v>
      </c>
      <c r="AB10" s="9" t="n">
        <v>102.86</v>
      </c>
      <c r="AC10" s="9" t="n">
        <v>48.97</v>
      </c>
      <c r="AD10" s="9" t="n">
        <v>3.22</v>
      </c>
      <c r="AE10" s="9" t="n">
        <v>0.89</v>
      </c>
      <c r="AF10" s="9" t="n">
        <v>27.59</v>
      </c>
      <c r="AG10" s="9" t="n">
        <v>31.33</v>
      </c>
      <c r="AH10" s="9" t="n">
        <v>6.92</v>
      </c>
      <c r="AI10" s="9" t="n">
        <v>22.07</v>
      </c>
      <c r="AJ10" s="9" t="n">
        <v>1.67</v>
      </c>
      <c r="AK10" s="9" t="n">
        <v>0.67</v>
      </c>
      <c r="AL10" s="9" t="n">
        <v>40</v>
      </c>
      <c r="AM10" s="9" t="n">
        <v>21.83</v>
      </c>
      <c r="AN10" s="9" t="n">
        <v>2.97</v>
      </c>
      <c r="AO10" s="9" t="n">
        <v>13.61</v>
      </c>
      <c r="AP10" s="9" t="n">
        <v>4.83</v>
      </c>
      <c r="AQ10" s="9" t="n">
        <v>1.44</v>
      </c>
      <c r="AR10" s="9" t="n">
        <v>29.89</v>
      </c>
      <c r="AS10" s="9" t="n">
        <v>1.92</v>
      </c>
      <c r="AT10" s="9" t="n">
        <v>0.44</v>
      </c>
      <c r="AU10" s="9" t="n">
        <v>23.19</v>
      </c>
      <c r="AV10" s="9" t="n">
        <v>0.03</v>
      </c>
      <c r="AW10" s="9" t="n">
        <v>0</v>
      </c>
      <c r="AX10" s="9" t="n">
        <v>0</v>
      </c>
      <c r="AY10" s="9" t="n">
        <v>15.67</v>
      </c>
      <c r="AZ10" s="9" t="n">
        <v>5.36</v>
      </c>
      <c r="BA10" s="9" t="n">
        <v>34.22</v>
      </c>
      <c r="BB10" s="9" t="n">
        <v>5.14</v>
      </c>
      <c r="BC10" s="9" t="n">
        <v>8.279999999999999</v>
      </c>
      <c r="BD10" s="9" t="n">
        <v>28.19</v>
      </c>
      <c r="BE10" s="9" t="n">
        <v>4.92</v>
      </c>
      <c r="BF10" s="9" t="n">
        <v>8.359999999999999</v>
      </c>
      <c r="BG10" s="9" t="n">
        <v>20.47</v>
      </c>
      <c r="BH10" s="9" t="n">
        <v>59.19</v>
      </c>
      <c r="BI10" s="9" t="n">
        <v>22.94</v>
      </c>
      <c r="BJ10" s="9" t="n">
        <v>38.76</v>
      </c>
      <c r="BK10" s="9" t="n">
        <v>2.86</v>
      </c>
      <c r="BL10" s="9" t="n">
        <v>1.17</v>
      </c>
      <c r="BM10" s="9" t="n">
        <v>8.359999999999999</v>
      </c>
      <c r="BN10" s="9" t="n">
        <v>3.28</v>
      </c>
      <c r="BO10" s="9" t="n">
        <v>39.2</v>
      </c>
      <c r="BP10" s="9" t="n">
        <v>64.92</v>
      </c>
      <c r="BQ10" s="9" t="n">
        <v>40.44</v>
      </c>
      <c r="BR10" s="9" t="n">
        <v>62.3</v>
      </c>
      <c r="BS10" s="9" t="n">
        <v>47.06</v>
      </c>
      <c r="BT10" s="9" t="n">
        <v>23.75</v>
      </c>
      <c r="BU10" s="9" t="n">
        <v>50.47</v>
      </c>
      <c r="BV10" s="9" t="n">
        <v>3.81</v>
      </c>
      <c r="BW10" s="9" t="n">
        <v>1.81</v>
      </c>
      <c r="BX10" s="9" t="n">
        <v>47.45</v>
      </c>
      <c r="BY10" s="9" t="n">
        <v>43.78</v>
      </c>
      <c r="BZ10" s="9" t="n">
        <v>18</v>
      </c>
      <c r="CA10" s="9" t="n">
        <v>14.86</v>
      </c>
      <c r="CB10" s="9" t="n">
        <v>2.08</v>
      </c>
      <c r="CC10" s="9" t="n">
        <v>0.11</v>
      </c>
      <c r="CD10" s="9" t="n">
        <v>150.08</v>
      </c>
      <c r="CE10" s="9" t="n">
        <v>101.42</v>
      </c>
      <c r="CF10" s="9" t="n">
        <v>67.56999999999999</v>
      </c>
      <c r="CG10" s="9" t="n">
        <v>60.86</v>
      </c>
      <c r="CH10" s="9" t="n">
        <v>56.78</v>
      </c>
      <c r="CI10" s="9" t="n">
        <v>93.29000000000001</v>
      </c>
      <c r="CJ10" s="9" t="n">
        <v>159.17</v>
      </c>
      <c r="CK10" s="9" t="n">
        <v>137.56</v>
      </c>
      <c r="CL10" s="9" t="n">
        <v>86.42</v>
      </c>
      <c r="CM10" s="9" t="n">
        <v>56.72</v>
      </c>
      <c r="CN10" s="9" t="n">
        <v>29.28</v>
      </c>
      <c r="CO10" s="9" t="n">
        <v>51.62</v>
      </c>
      <c r="CP10" s="9" t="n">
        <v>59.06</v>
      </c>
      <c r="CQ10" s="9" t="n">
        <v>37.44</v>
      </c>
      <c r="CR10" s="9" t="n">
        <v>63.41</v>
      </c>
      <c r="CS10" s="9" t="n">
        <v>80.47</v>
      </c>
      <c r="CT10" s="9" t="n">
        <v>57.81</v>
      </c>
      <c r="CU10" s="9" t="n">
        <v>71.83</v>
      </c>
      <c r="CV10" s="9" t="n">
        <v>4.53</v>
      </c>
      <c r="CW10" s="9" t="n">
        <v>1.89</v>
      </c>
      <c r="CX10" s="9" t="n">
        <v>41.72</v>
      </c>
      <c r="CY10" s="9" t="n">
        <v>23.97</v>
      </c>
      <c r="CZ10" s="9" t="n">
        <v>20.36</v>
      </c>
      <c r="DA10" s="9" t="n">
        <v>84.94</v>
      </c>
      <c r="DB10" s="9" t="n">
        <v>6.94</v>
      </c>
      <c r="DC10" s="9" t="n">
        <v>16.59</v>
      </c>
      <c r="DD10" s="9" t="n">
        <v>3.82</v>
      </c>
      <c r="DE10" s="9" t="n">
        <v>13.56</v>
      </c>
      <c r="DF10" s="9" t="n">
        <v>16.24</v>
      </c>
      <c r="DG10" s="9" t="n">
        <v>20.59</v>
      </c>
      <c r="DH10" s="9" t="n">
        <v>10.13</v>
      </c>
      <c r="DI10" s="9" t="n">
        <v>1.17</v>
      </c>
      <c r="DJ10" s="9" t="n">
        <v>1.06</v>
      </c>
      <c r="DK10" s="9" t="n">
        <v>8.359999999999999</v>
      </c>
      <c r="DL10" s="9" t="n">
        <v>3.14</v>
      </c>
      <c r="DM10" s="9" t="n">
        <v>37.54</v>
      </c>
      <c r="DN10" s="9" t="n">
        <v>423.08</v>
      </c>
      <c r="DO10" s="9" t="n">
        <v>340.14</v>
      </c>
      <c r="DP10" s="9" t="n">
        <v>80.40000000000001</v>
      </c>
      <c r="DQ10" s="9" t="n">
        <v>49.48</v>
      </c>
      <c r="DR10" s="9" t="n">
        <v>125.53</v>
      </c>
      <c r="DS10" s="9" t="n">
        <v>20.94</v>
      </c>
      <c r="DT10" s="9" t="n">
        <v>48.28</v>
      </c>
      <c r="DU10" s="9" t="n">
        <v>56.31</v>
      </c>
      <c r="DV10" s="9" t="n">
        <v>92.25</v>
      </c>
      <c r="DW10" s="9" t="n">
        <v>40.31</v>
      </c>
      <c r="DX10" s="9" t="n">
        <v>40.92</v>
      </c>
      <c r="DY10" s="9" t="n">
        <v>11.03</v>
      </c>
      <c r="DZ10" s="9" t="n">
        <v>210.06</v>
      </c>
      <c r="EA10" s="9" t="n">
        <v>97.89</v>
      </c>
      <c r="EB10" s="9" t="n">
        <v>46.6</v>
      </c>
      <c r="EC10" s="9" t="n">
        <v>3.28</v>
      </c>
      <c r="ED10" s="9" t="n">
        <v>0.97</v>
      </c>
      <c r="EE10" s="9" t="n">
        <v>29.66</v>
      </c>
      <c r="EF10" s="9" t="n">
        <v>25.17</v>
      </c>
      <c r="EG10" s="9" t="n">
        <v>4.86</v>
      </c>
      <c r="EH10" s="9" t="n">
        <v>19.32</v>
      </c>
      <c r="EI10" s="9" t="n">
        <v>1.03</v>
      </c>
      <c r="EJ10" s="9" t="n">
        <v>0.44</v>
      </c>
      <c r="EK10" s="9" t="n">
        <v>43.24</v>
      </c>
      <c r="EL10" s="9" t="n">
        <v>29.44</v>
      </c>
      <c r="EM10" s="9" t="n">
        <v>2.39</v>
      </c>
      <c r="EN10" s="9" t="n">
        <v>8.109999999999999</v>
      </c>
      <c r="EO10" s="9" t="n">
        <v>4.14</v>
      </c>
      <c r="EP10" s="9" t="n">
        <v>0.75</v>
      </c>
      <c r="EQ10" s="9" t="n">
        <v>18.12</v>
      </c>
      <c r="ER10" s="9" t="n">
        <v>3.22</v>
      </c>
      <c r="ES10" s="9" t="n">
        <v>0.83</v>
      </c>
      <c r="ET10" s="9" t="n">
        <v>25.86</v>
      </c>
      <c r="EU10" s="9" t="n">
        <v>0.17</v>
      </c>
      <c r="EV10" s="9" t="n">
        <v>0.11</v>
      </c>
      <c r="EW10" s="9" t="n">
        <v>66.67</v>
      </c>
      <c r="EX10" s="9" t="n">
        <v>10.53</v>
      </c>
      <c r="EY10" s="9" t="n">
        <v>3</v>
      </c>
      <c r="EZ10" s="9" t="n">
        <v>28.5</v>
      </c>
      <c r="FA10" s="9" t="n">
        <v>3.03</v>
      </c>
      <c r="FB10" s="9" t="n">
        <v>5.03</v>
      </c>
      <c r="FC10" s="9" t="n">
        <v>19.44</v>
      </c>
      <c r="FD10" s="9" t="n">
        <v>2.61</v>
      </c>
      <c r="FE10" s="9" t="n">
        <v>6.67</v>
      </c>
      <c r="FF10" s="9" t="n">
        <v>11.56</v>
      </c>
      <c r="FG10" s="9" t="n">
        <v>64.92</v>
      </c>
      <c r="FH10" s="9" t="n">
        <v>24.47</v>
      </c>
      <c r="FI10" s="9" t="n">
        <v>37.7</v>
      </c>
      <c r="FJ10" s="9" t="n">
        <v>1.28</v>
      </c>
      <c r="FK10" s="9" t="n">
        <v>1.5</v>
      </c>
      <c r="FL10" s="9" t="n">
        <v>10.92</v>
      </c>
      <c r="FM10" s="9" t="n">
        <v>4.44</v>
      </c>
      <c r="FN10" s="9" t="n">
        <v>40.71</v>
      </c>
      <c r="FO10" s="9" t="n">
        <v>59.19</v>
      </c>
      <c r="FP10" s="9" t="n">
        <v>36.25</v>
      </c>
      <c r="FQ10" s="9" t="n">
        <v>61.24</v>
      </c>
      <c r="FR10" s="9" t="n">
        <v>47.06</v>
      </c>
      <c r="FS10" s="9" t="n">
        <v>20.83</v>
      </c>
      <c r="FT10" s="9" t="n">
        <v>44.27</v>
      </c>
      <c r="FU10" s="9" t="n">
        <v>3.22</v>
      </c>
      <c r="FV10" s="9" t="n">
        <v>1.5</v>
      </c>
      <c r="FW10" s="9" t="n">
        <v>46.55</v>
      </c>
      <c r="FX10" s="9" t="n">
        <v>44.03</v>
      </c>
      <c r="FY10" s="9" t="n">
        <v>17.44</v>
      </c>
      <c r="FZ10" s="9" t="n">
        <v>11.31</v>
      </c>
      <c r="GA10" s="9" t="n">
        <v>1.64</v>
      </c>
      <c r="GB10" s="9" t="n">
        <v>0.06</v>
      </c>
      <c r="GC10" s="9" t="n">
        <v>150.08</v>
      </c>
      <c r="GD10" s="9" t="n">
        <v>98.69</v>
      </c>
      <c r="GE10" s="9" t="n">
        <v>65.76000000000001</v>
      </c>
      <c r="GF10" s="9" t="n">
        <v>61.11</v>
      </c>
      <c r="GG10" s="9" t="n">
        <v>57.11</v>
      </c>
      <c r="GH10" s="9" t="n">
        <v>93.45</v>
      </c>
      <c r="GI10" s="9" t="n">
        <v>156.03</v>
      </c>
      <c r="GJ10" s="9" t="n">
        <v>139.64</v>
      </c>
      <c r="GK10" s="9" t="n">
        <v>89.5</v>
      </c>
      <c r="GL10" s="9" t="n">
        <v>57.56</v>
      </c>
      <c r="GM10" s="9" t="n">
        <v>28.72</v>
      </c>
      <c r="GN10" s="9" t="n">
        <v>49.9</v>
      </c>
      <c r="GO10" s="9" t="n">
        <v>58</v>
      </c>
      <c r="GP10" s="9" t="n">
        <v>32.86</v>
      </c>
      <c r="GQ10" s="9" t="n">
        <v>56.66</v>
      </c>
      <c r="GR10" s="9" t="n">
        <v>72.11</v>
      </c>
      <c r="GS10" s="9" t="n">
        <v>48.42</v>
      </c>
      <c r="GT10" s="9" t="n">
        <v>67.14</v>
      </c>
      <c r="GU10" s="9" t="n">
        <v>2.69</v>
      </c>
      <c r="GV10" s="9" t="n">
        <v>1.06</v>
      </c>
      <c r="GW10" s="9" t="n">
        <v>39.18</v>
      </c>
      <c r="GX10" s="9" t="n">
        <v>26.28</v>
      </c>
      <c r="GY10" s="9" t="n">
        <v>22.89</v>
      </c>
      <c r="GZ10" s="9" t="n">
        <v>87.09999999999999</v>
      </c>
      <c r="HA10" s="9" t="n">
        <v>9.19</v>
      </c>
      <c r="HB10" s="9" t="n">
        <v>16.59</v>
      </c>
      <c r="HC10" s="9" t="n">
        <v>3.64</v>
      </c>
      <c r="HD10" s="9" t="n">
        <v>14.4</v>
      </c>
      <c r="HE10" s="9" t="n">
        <v>18.59</v>
      </c>
      <c r="HF10" s="9" t="n">
        <v>20.83</v>
      </c>
      <c r="HG10" s="9" t="n">
        <v>11.95</v>
      </c>
    </row>
    <row r="11">
      <c r="A11" s="12" t="n">
        <v>2022</v>
      </c>
      <c r="B11" s="12" t="n">
        <v>51</v>
      </c>
      <c r="C11" s="5">
        <f>(B11-AVERAGE($B$2:$B$100))/_xlfn.STDEV.P($B$2:$B$100)</f>
        <v/>
      </c>
      <c r="D11" s="12" t="n">
        <v>5</v>
      </c>
      <c r="E11" s="6">
        <f>-D11</f>
        <v/>
      </c>
      <c r="F11" s="7">
        <f>(E11-AVERAGE($E$2:$E$100))/_xlfn.STDEV.P($E$2:$E$100)</f>
        <v/>
      </c>
      <c r="G11" s="7">
        <f>sum(0.5*C11)+(0.5*F11)</f>
        <v/>
      </c>
      <c r="H11" s="12" t="inlineStr">
        <is>
          <t>West</t>
        </is>
      </c>
      <c r="I11" s="8" t="inlineStr">
        <is>
          <t>New Mexico United</t>
        </is>
      </c>
      <c r="J11" s="9" t="n">
        <v>1.4</v>
      </c>
      <c r="K11" s="9" t="n">
        <v>1.39</v>
      </c>
      <c r="L11" s="9" t="n">
        <v>11.49</v>
      </c>
      <c r="M11" s="9" t="n">
        <v>3.89</v>
      </c>
      <c r="N11" s="9" t="n">
        <v>33.83</v>
      </c>
      <c r="O11" s="9" t="n">
        <v>379.4</v>
      </c>
      <c r="P11" s="9" t="n">
        <v>303.03</v>
      </c>
      <c r="Q11" s="9" t="n">
        <v>79.87</v>
      </c>
      <c r="R11" s="9" t="n">
        <v>50.1</v>
      </c>
      <c r="S11" s="9" t="n">
        <v>109.23</v>
      </c>
      <c r="T11" s="9" t="n">
        <v>18.31</v>
      </c>
      <c r="U11" s="9" t="n">
        <v>38.63</v>
      </c>
      <c r="V11" s="9" t="n">
        <v>52.29</v>
      </c>
      <c r="W11" s="9" t="n">
        <v>81.77</v>
      </c>
      <c r="X11" s="9" t="n">
        <v>35.57</v>
      </c>
      <c r="Y11" s="9" t="n">
        <v>34.74</v>
      </c>
      <c r="Z11" s="9" t="n">
        <v>11.46</v>
      </c>
      <c r="AA11" s="9" t="n">
        <v>205.14</v>
      </c>
      <c r="AB11" s="9" t="n">
        <v>100.71</v>
      </c>
      <c r="AC11" s="9" t="n">
        <v>49.09</v>
      </c>
      <c r="AD11" s="9" t="n">
        <v>4.66</v>
      </c>
      <c r="AE11" s="9" t="n">
        <v>1.31</v>
      </c>
      <c r="AF11" s="9" t="n">
        <v>28.22</v>
      </c>
      <c r="AG11" s="9" t="n">
        <v>27.17</v>
      </c>
      <c r="AH11" s="9" t="n">
        <v>6.77</v>
      </c>
      <c r="AI11" s="9" t="n">
        <v>24.92</v>
      </c>
      <c r="AJ11" s="9" t="n">
        <v>1.6</v>
      </c>
      <c r="AK11" s="9" t="n">
        <v>0.66</v>
      </c>
      <c r="AL11" s="9" t="n">
        <v>41.07</v>
      </c>
      <c r="AM11" s="9" t="n">
        <v>28.11</v>
      </c>
      <c r="AN11" s="9" t="n">
        <v>3.29</v>
      </c>
      <c r="AO11" s="9" t="n">
        <v>11.69</v>
      </c>
      <c r="AP11" s="9" t="n">
        <v>4.71</v>
      </c>
      <c r="AQ11" s="9" t="n">
        <v>1.54</v>
      </c>
      <c r="AR11" s="9" t="n">
        <v>32.73</v>
      </c>
      <c r="AS11" s="9" t="n">
        <v>3.26</v>
      </c>
      <c r="AT11" s="9" t="n">
        <v>0.49</v>
      </c>
      <c r="AU11" s="9" t="n">
        <v>14.91</v>
      </c>
      <c r="AV11" s="9" t="n">
        <v>0.26</v>
      </c>
      <c r="AW11" s="9" t="n">
        <v>0.2</v>
      </c>
      <c r="AX11" s="9" t="n">
        <v>77.78</v>
      </c>
      <c r="AY11" s="9" t="n">
        <v>14.03</v>
      </c>
      <c r="AZ11" s="9" t="n">
        <v>4.49</v>
      </c>
      <c r="BA11" s="9" t="n">
        <v>31.98</v>
      </c>
      <c r="BB11" s="9" t="n">
        <v>4.57</v>
      </c>
      <c r="BC11" s="9" t="n">
        <v>6.74</v>
      </c>
      <c r="BD11" s="9" t="n">
        <v>24.17</v>
      </c>
      <c r="BE11" s="9" t="n">
        <v>3.77</v>
      </c>
      <c r="BF11" s="9" t="n">
        <v>8.289999999999999</v>
      </c>
      <c r="BG11" s="9" t="n">
        <v>16.09</v>
      </c>
      <c r="BH11" s="9" t="n">
        <v>61.74</v>
      </c>
      <c r="BI11" s="9" t="n">
        <v>27.29</v>
      </c>
      <c r="BJ11" s="9" t="n">
        <v>44.19</v>
      </c>
      <c r="BK11" s="9" t="n">
        <v>2.2</v>
      </c>
      <c r="BL11" s="9" t="n">
        <v>1.2</v>
      </c>
      <c r="BM11" s="9" t="n">
        <v>9.51</v>
      </c>
      <c r="BN11" s="9" t="n">
        <v>3.83</v>
      </c>
      <c r="BO11" s="9" t="n">
        <v>40.24</v>
      </c>
      <c r="BP11" s="9" t="n">
        <v>69.69</v>
      </c>
      <c r="BQ11" s="9" t="n">
        <v>42.31</v>
      </c>
      <c r="BR11" s="9" t="n">
        <v>60.72</v>
      </c>
      <c r="BS11" s="9" t="n">
        <v>39.29</v>
      </c>
      <c r="BT11" s="9" t="n">
        <v>16.91</v>
      </c>
      <c r="BU11" s="9" t="n">
        <v>43.05</v>
      </c>
      <c r="BV11" s="9" t="n">
        <v>3.66</v>
      </c>
      <c r="BW11" s="9" t="n">
        <v>1.63</v>
      </c>
      <c r="BX11" s="9" t="n">
        <v>44.53</v>
      </c>
      <c r="BY11" s="9" t="n">
        <v>39</v>
      </c>
      <c r="BZ11" s="9" t="n">
        <v>15.63</v>
      </c>
      <c r="CA11" s="9" t="n">
        <v>14.17</v>
      </c>
      <c r="CB11" s="9" t="n">
        <v>2.4</v>
      </c>
      <c r="CC11" s="9" t="n">
        <v>0.03</v>
      </c>
      <c r="CD11" s="9" t="n">
        <v>137.74</v>
      </c>
      <c r="CE11" s="9" t="n">
        <v>93.77</v>
      </c>
      <c r="CF11" s="9" t="n">
        <v>68.08</v>
      </c>
      <c r="CG11" s="9" t="n">
        <v>55.03</v>
      </c>
      <c r="CH11" s="9" t="n">
        <v>50.91</v>
      </c>
      <c r="CI11" s="9" t="n">
        <v>92.52</v>
      </c>
      <c r="CJ11" s="9" t="n">
        <v>138.34</v>
      </c>
      <c r="CK11" s="9" t="n">
        <v>121.71</v>
      </c>
      <c r="CL11" s="9" t="n">
        <v>87.98</v>
      </c>
      <c r="CM11" s="9" t="n">
        <v>48.6</v>
      </c>
      <c r="CN11" s="9" t="n">
        <v>23.97</v>
      </c>
      <c r="CO11" s="9" t="n">
        <v>49.32</v>
      </c>
      <c r="CP11" s="9" t="n">
        <v>54.34</v>
      </c>
      <c r="CQ11" s="9" t="n">
        <v>32.57</v>
      </c>
      <c r="CR11" s="9" t="n">
        <v>59.94</v>
      </c>
      <c r="CS11" s="9" t="n">
        <v>69.66</v>
      </c>
      <c r="CT11" s="9" t="n">
        <v>50.31</v>
      </c>
      <c r="CU11" s="9" t="n">
        <v>72.23</v>
      </c>
      <c r="CV11" s="9" t="n">
        <v>3.54</v>
      </c>
      <c r="CW11" s="9" t="n">
        <v>1.23</v>
      </c>
      <c r="CX11" s="9" t="n">
        <v>34.68</v>
      </c>
      <c r="CY11" s="9" t="n">
        <v>24.03</v>
      </c>
      <c r="CZ11" s="9" t="n">
        <v>20.23</v>
      </c>
      <c r="DA11" s="9" t="n">
        <v>84.19</v>
      </c>
      <c r="DB11" s="9" t="n">
        <v>8.800000000000001</v>
      </c>
      <c r="DC11" s="9" t="n">
        <v>15.95</v>
      </c>
      <c r="DD11" s="9" t="n">
        <v>3.49</v>
      </c>
      <c r="DE11" s="9" t="n">
        <v>13.53</v>
      </c>
      <c r="DF11" s="9" t="n">
        <v>18.5</v>
      </c>
      <c r="DG11" s="9" t="n">
        <v>21.12</v>
      </c>
      <c r="DH11" s="9" t="n">
        <v>9.19</v>
      </c>
      <c r="DI11" s="9" t="n">
        <v>1.2</v>
      </c>
      <c r="DJ11" s="9" t="n">
        <v>1.19</v>
      </c>
      <c r="DK11" s="9" t="n">
        <v>9.51</v>
      </c>
      <c r="DL11" s="9" t="n">
        <v>3.57</v>
      </c>
      <c r="DM11" s="9" t="n">
        <v>37.54</v>
      </c>
      <c r="DN11" s="9" t="n">
        <v>377.66</v>
      </c>
      <c r="DO11" s="9" t="n">
        <v>303.46</v>
      </c>
      <c r="DP11" s="9" t="n">
        <v>80.34999999999999</v>
      </c>
      <c r="DQ11" s="9" t="n">
        <v>49.9</v>
      </c>
      <c r="DR11" s="9" t="n">
        <v>109.49</v>
      </c>
      <c r="DS11" s="9" t="n">
        <v>20.94</v>
      </c>
      <c r="DT11" s="9" t="n">
        <v>40.77</v>
      </c>
      <c r="DU11" s="9" t="n">
        <v>47.77</v>
      </c>
      <c r="DV11" s="9" t="n">
        <v>85.56999999999999</v>
      </c>
      <c r="DW11" s="9" t="n">
        <v>40.71</v>
      </c>
      <c r="DX11" s="9" t="n">
        <v>34.54</v>
      </c>
      <c r="DY11" s="9" t="n">
        <v>10.31</v>
      </c>
      <c r="DZ11" s="9" t="n">
        <v>205.14</v>
      </c>
      <c r="EA11" s="9" t="n">
        <v>95.8</v>
      </c>
      <c r="EB11" s="9" t="n">
        <v>46.7</v>
      </c>
      <c r="EC11" s="9" t="n">
        <v>3.6</v>
      </c>
      <c r="ED11" s="9" t="n">
        <v>1.06</v>
      </c>
      <c r="EE11" s="9" t="n">
        <v>29.37</v>
      </c>
      <c r="EF11" s="9" t="n">
        <v>25.26</v>
      </c>
      <c r="EG11" s="9" t="n">
        <v>4.97</v>
      </c>
      <c r="EH11" s="9" t="n">
        <v>19.68</v>
      </c>
      <c r="EI11" s="9" t="n">
        <v>1.51</v>
      </c>
      <c r="EJ11" s="9" t="n">
        <v>0.66</v>
      </c>
      <c r="EK11" s="9" t="n">
        <v>43.4</v>
      </c>
      <c r="EL11" s="9" t="n">
        <v>27.4</v>
      </c>
      <c r="EM11" s="9" t="n">
        <v>3.54</v>
      </c>
      <c r="EN11" s="9" t="n">
        <v>12.93</v>
      </c>
      <c r="EO11" s="9" t="n">
        <v>4.06</v>
      </c>
      <c r="EP11" s="9" t="n">
        <v>1.49</v>
      </c>
      <c r="EQ11" s="9" t="n">
        <v>36.62</v>
      </c>
      <c r="ER11" s="9" t="n">
        <v>2.46</v>
      </c>
      <c r="ES11" s="9" t="n">
        <v>0.63</v>
      </c>
      <c r="ET11" s="9" t="n">
        <v>25.58</v>
      </c>
      <c r="EU11" s="9" t="n">
        <v>0.14</v>
      </c>
      <c r="EV11" s="9" t="n">
        <v>0.09</v>
      </c>
      <c r="EW11" s="9" t="n">
        <v>60</v>
      </c>
      <c r="EX11" s="9" t="n">
        <v>12.77</v>
      </c>
      <c r="EY11" s="9" t="n">
        <v>4.14</v>
      </c>
      <c r="EZ11" s="9" t="n">
        <v>32.44</v>
      </c>
      <c r="FA11" s="9" t="n">
        <v>4.14</v>
      </c>
      <c r="FB11" s="9" t="n">
        <v>5.4</v>
      </c>
      <c r="FC11" s="9" t="n">
        <v>22.14</v>
      </c>
      <c r="FD11" s="9" t="n">
        <v>3.2</v>
      </c>
      <c r="FE11" s="9" t="n">
        <v>7.83</v>
      </c>
      <c r="FF11" s="9" t="n">
        <v>14.6</v>
      </c>
      <c r="FG11" s="9" t="n">
        <v>69.69</v>
      </c>
      <c r="FH11" s="9" t="n">
        <v>27.34</v>
      </c>
      <c r="FI11" s="9" t="n">
        <v>39.24</v>
      </c>
      <c r="FJ11" s="9" t="n">
        <v>2.09</v>
      </c>
      <c r="FK11" s="9" t="n">
        <v>1.4</v>
      </c>
      <c r="FL11" s="9" t="n">
        <v>11.49</v>
      </c>
      <c r="FM11" s="9" t="n">
        <v>4.2</v>
      </c>
      <c r="FN11" s="9" t="n">
        <v>36.57</v>
      </c>
      <c r="FO11" s="9" t="n">
        <v>61.71</v>
      </c>
      <c r="FP11" s="9" t="n">
        <v>34.43</v>
      </c>
      <c r="FQ11" s="9" t="n">
        <v>55.79</v>
      </c>
      <c r="FR11" s="9" t="n">
        <v>39.31</v>
      </c>
      <c r="FS11" s="9" t="n">
        <v>19.77</v>
      </c>
      <c r="FT11" s="9" t="n">
        <v>50.29</v>
      </c>
      <c r="FU11" s="9" t="n">
        <v>4.31</v>
      </c>
      <c r="FV11" s="9" t="n">
        <v>1.86</v>
      </c>
      <c r="FW11" s="9" t="n">
        <v>43.05</v>
      </c>
      <c r="FX11" s="9" t="n">
        <v>42.83</v>
      </c>
      <c r="FY11" s="9" t="n">
        <v>17.54</v>
      </c>
      <c r="FZ11" s="9" t="n">
        <v>14.54</v>
      </c>
      <c r="GA11" s="9" t="n">
        <v>2.63</v>
      </c>
      <c r="GB11" s="9" t="n">
        <v>0.11</v>
      </c>
      <c r="GC11" s="9" t="n">
        <v>140.2</v>
      </c>
      <c r="GD11" s="9" t="n">
        <v>96.94</v>
      </c>
      <c r="GE11" s="9" t="n">
        <v>69.15000000000001</v>
      </c>
      <c r="GF11" s="9" t="n">
        <v>58.83</v>
      </c>
      <c r="GG11" s="9" t="n">
        <v>55.11</v>
      </c>
      <c r="GH11" s="9" t="n">
        <v>93.69</v>
      </c>
      <c r="GI11" s="9" t="n">
        <v>124.77</v>
      </c>
      <c r="GJ11" s="9" t="n">
        <v>108.54</v>
      </c>
      <c r="GK11" s="9" t="n">
        <v>86.98999999999999</v>
      </c>
      <c r="GL11" s="9" t="n">
        <v>52.09</v>
      </c>
      <c r="GM11" s="9" t="n">
        <v>27.14</v>
      </c>
      <c r="GN11" s="9" t="n">
        <v>52.11</v>
      </c>
      <c r="GO11" s="9" t="n">
        <v>51.66</v>
      </c>
      <c r="GP11" s="9" t="n">
        <v>30.66</v>
      </c>
      <c r="GQ11" s="9" t="n">
        <v>59.35</v>
      </c>
      <c r="GR11" s="9" t="n">
        <v>68.40000000000001</v>
      </c>
      <c r="GS11" s="9" t="n">
        <v>47.14</v>
      </c>
      <c r="GT11" s="9" t="n">
        <v>68.92</v>
      </c>
      <c r="GU11" s="9" t="n">
        <v>3.77</v>
      </c>
      <c r="GV11" s="9" t="n">
        <v>1.4</v>
      </c>
      <c r="GW11" s="9" t="n">
        <v>37.12</v>
      </c>
      <c r="GX11" s="9" t="n">
        <v>20.91</v>
      </c>
      <c r="GY11" s="9" t="n">
        <v>18.57</v>
      </c>
      <c r="GZ11" s="9" t="n">
        <v>88.8</v>
      </c>
      <c r="HA11" s="9" t="n">
        <v>8.83</v>
      </c>
      <c r="HB11" s="9" t="n">
        <v>15.98</v>
      </c>
      <c r="HC11" s="9" t="n">
        <v>3.45</v>
      </c>
      <c r="HD11" s="9" t="n">
        <v>14.1</v>
      </c>
      <c r="HE11" s="9" t="n">
        <v>17.54</v>
      </c>
      <c r="HF11" s="9" t="n">
        <v>20.71</v>
      </c>
      <c r="HG11" s="9" t="n">
        <v>10.5</v>
      </c>
    </row>
    <row r="12">
      <c r="A12" s="12" t="n">
        <v>2022</v>
      </c>
      <c r="B12" s="12" t="n">
        <v>55</v>
      </c>
      <c r="C12" s="5">
        <f>(B12-AVERAGE($B$2:$B$100))/_xlfn.STDEV.P($B$2:$B$100)</f>
        <v/>
      </c>
      <c r="D12" s="12" t="n">
        <v>6</v>
      </c>
      <c r="E12" s="6">
        <f>-D12</f>
        <v/>
      </c>
      <c r="F12" s="7">
        <f>(E12-AVERAGE($E$2:$E$100))/_xlfn.STDEV.P($E$2:$E$100)</f>
        <v/>
      </c>
      <c r="G12" s="7">
        <f>sum(0.5*C12)+(0.5*F12)</f>
        <v/>
      </c>
      <c r="H12" s="12" t="inlineStr">
        <is>
          <t>East</t>
        </is>
      </c>
      <c r="I12" s="8" t="inlineStr">
        <is>
          <t>Miami</t>
        </is>
      </c>
      <c r="J12" s="9" t="n">
        <v>1.37</v>
      </c>
      <c r="K12" s="9" t="n">
        <v>1.35</v>
      </c>
      <c r="L12" s="9" t="n">
        <v>10.63</v>
      </c>
      <c r="M12" s="9" t="n">
        <v>4.26</v>
      </c>
      <c r="N12" s="9" t="n">
        <v>40.05</v>
      </c>
      <c r="O12" s="9" t="n">
        <v>419.6</v>
      </c>
      <c r="P12" s="9" t="n">
        <v>351.37</v>
      </c>
      <c r="Q12" s="9" t="n">
        <v>83.73999999999999</v>
      </c>
      <c r="R12" s="9" t="n">
        <v>49.1</v>
      </c>
      <c r="S12" s="9" t="n">
        <v>101.77</v>
      </c>
      <c r="T12" s="9" t="n">
        <v>19.03</v>
      </c>
      <c r="U12" s="9" t="n">
        <v>35.89</v>
      </c>
      <c r="V12" s="9" t="n">
        <v>46.86</v>
      </c>
      <c r="W12" s="9" t="n">
        <v>78.59999999999999</v>
      </c>
      <c r="X12" s="9" t="n">
        <v>35.63</v>
      </c>
      <c r="Y12" s="9" t="n">
        <v>31.17</v>
      </c>
      <c r="Z12" s="9" t="n">
        <v>11.8</v>
      </c>
      <c r="AA12" s="9" t="n">
        <v>194</v>
      </c>
      <c r="AB12" s="9" t="n">
        <v>90.54000000000001</v>
      </c>
      <c r="AC12" s="9" t="n">
        <v>46.67</v>
      </c>
      <c r="AD12" s="9" t="n">
        <v>3.8</v>
      </c>
      <c r="AE12" s="9" t="n">
        <v>1.11</v>
      </c>
      <c r="AF12" s="9" t="n">
        <v>29.32</v>
      </c>
      <c r="AG12" s="9" t="n">
        <v>25.66</v>
      </c>
      <c r="AH12" s="9" t="n">
        <v>6.26</v>
      </c>
      <c r="AI12" s="9" t="n">
        <v>24.39</v>
      </c>
      <c r="AJ12" s="9" t="n">
        <v>1.34</v>
      </c>
      <c r="AK12" s="9" t="n">
        <v>0.66</v>
      </c>
      <c r="AL12" s="9" t="n">
        <v>48.94</v>
      </c>
      <c r="AM12" s="9" t="n">
        <v>26.71</v>
      </c>
      <c r="AN12" s="9" t="n">
        <v>3.17</v>
      </c>
      <c r="AO12" s="9" t="n">
        <v>11.87</v>
      </c>
      <c r="AP12" s="9" t="n">
        <v>3.83</v>
      </c>
      <c r="AQ12" s="9" t="n">
        <v>1.14</v>
      </c>
      <c r="AR12" s="9" t="n">
        <v>29.85</v>
      </c>
      <c r="AS12" s="9" t="n">
        <v>3.2</v>
      </c>
      <c r="AT12" s="9" t="n">
        <v>0.89</v>
      </c>
      <c r="AU12" s="9" t="n">
        <v>27.68</v>
      </c>
      <c r="AV12" s="9" t="n">
        <v>0.06</v>
      </c>
      <c r="AW12" s="9" t="n">
        <v>0.06</v>
      </c>
      <c r="AX12" s="9" t="n">
        <v>100</v>
      </c>
      <c r="AY12" s="9" t="n">
        <v>11.57</v>
      </c>
      <c r="AZ12" s="9" t="n">
        <v>4</v>
      </c>
      <c r="BA12" s="9" t="n">
        <v>34.57</v>
      </c>
      <c r="BB12" s="9" t="n">
        <v>3.77</v>
      </c>
      <c r="BC12" s="9" t="n">
        <v>6.94</v>
      </c>
      <c r="BD12" s="9" t="n">
        <v>21.4</v>
      </c>
      <c r="BE12" s="9" t="n">
        <v>4.29</v>
      </c>
      <c r="BF12" s="9" t="n">
        <v>6.34</v>
      </c>
      <c r="BG12" s="9" t="n">
        <v>16.34</v>
      </c>
      <c r="BH12" s="9" t="n">
        <v>64.29000000000001</v>
      </c>
      <c r="BI12" s="9" t="n">
        <v>25.49</v>
      </c>
      <c r="BJ12" s="9" t="n">
        <v>39.64</v>
      </c>
      <c r="BK12" s="9" t="n">
        <v>1.77</v>
      </c>
      <c r="BL12" s="9" t="n">
        <v>1</v>
      </c>
      <c r="BM12" s="9" t="n">
        <v>11.31</v>
      </c>
      <c r="BN12" s="9" t="n">
        <v>3.86</v>
      </c>
      <c r="BO12" s="9" t="n">
        <v>34.09</v>
      </c>
      <c r="BP12" s="9" t="n">
        <v>59.66</v>
      </c>
      <c r="BQ12" s="9" t="n">
        <v>34.17</v>
      </c>
      <c r="BR12" s="9" t="n">
        <v>57.28</v>
      </c>
      <c r="BS12" s="9" t="n">
        <v>39.03</v>
      </c>
      <c r="BT12" s="9" t="n">
        <v>18.34</v>
      </c>
      <c r="BU12" s="9" t="n">
        <v>47</v>
      </c>
      <c r="BV12" s="9" t="n">
        <v>3.69</v>
      </c>
      <c r="BW12" s="9" t="n">
        <v>1.71</v>
      </c>
      <c r="BX12" s="9" t="n">
        <v>46.51</v>
      </c>
      <c r="BY12" s="9" t="n">
        <v>38.29</v>
      </c>
      <c r="BZ12" s="9" t="n">
        <v>14.97</v>
      </c>
      <c r="CA12" s="9" t="n">
        <v>12.4</v>
      </c>
      <c r="CB12" s="9" t="n">
        <v>2.26</v>
      </c>
      <c r="CC12" s="9" t="n">
        <v>0</v>
      </c>
      <c r="CD12" s="9" t="n">
        <v>136.51</v>
      </c>
      <c r="CE12" s="9" t="n">
        <v>96.97</v>
      </c>
      <c r="CF12" s="9" t="n">
        <v>71.03</v>
      </c>
      <c r="CG12" s="9" t="n">
        <v>66.43000000000001</v>
      </c>
      <c r="CH12" s="9" t="n">
        <v>62.63</v>
      </c>
      <c r="CI12" s="9" t="n">
        <v>94.28</v>
      </c>
      <c r="CJ12" s="9" t="n">
        <v>158.06</v>
      </c>
      <c r="CK12" s="9" t="n">
        <v>143.83</v>
      </c>
      <c r="CL12" s="9" t="n">
        <v>91</v>
      </c>
      <c r="CM12" s="9" t="n">
        <v>45.66</v>
      </c>
      <c r="CN12" s="9" t="n">
        <v>23.74</v>
      </c>
      <c r="CO12" s="9" t="n">
        <v>52</v>
      </c>
      <c r="CP12" s="9" t="n">
        <v>56.63</v>
      </c>
      <c r="CQ12" s="9" t="n">
        <v>36.6</v>
      </c>
      <c r="CR12" s="9" t="n">
        <v>64.63</v>
      </c>
      <c r="CS12" s="9" t="n">
        <v>69.94</v>
      </c>
      <c r="CT12" s="9" t="n">
        <v>52.51</v>
      </c>
      <c r="CU12" s="9" t="n">
        <v>75.08</v>
      </c>
      <c r="CV12" s="9" t="n">
        <v>3.57</v>
      </c>
      <c r="CW12" s="9" t="n">
        <v>1.34</v>
      </c>
      <c r="CX12" s="9" t="n">
        <v>37.6</v>
      </c>
      <c r="CY12" s="9" t="n">
        <v>20.8</v>
      </c>
      <c r="CZ12" s="9" t="n">
        <v>18.54</v>
      </c>
      <c r="DA12" s="9" t="n">
        <v>89.15000000000001</v>
      </c>
      <c r="DB12" s="9" t="n">
        <v>8.94</v>
      </c>
      <c r="DC12" s="9" t="n">
        <v>16.78</v>
      </c>
      <c r="DD12" s="9" t="n">
        <v>4.11</v>
      </c>
      <c r="DE12" s="9" t="n">
        <v>11.51</v>
      </c>
      <c r="DF12" s="9" t="n">
        <v>17.62</v>
      </c>
      <c r="DG12" s="9" t="n">
        <v>20.12</v>
      </c>
      <c r="DH12" s="9" t="n">
        <v>12.14</v>
      </c>
      <c r="DI12" s="9" t="n">
        <v>1</v>
      </c>
      <c r="DJ12" s="9" t="n">
        <v>1.19</v>
      </c>
      <c r="DK12" s="9" t="n">
        <v>11.31</v>
      </c>
      <c r="DL12" s="9" t="n">
        <v>3.69</v>
      </c>
      <c r="DM12" s="9" t="n">
        <v>32.58</v>
      </c>
      <c r="DN12" s="9" t="n">
        <v>432.63</v>
      </c>
      <c r="DO12" s="9" t="n">
        <v>362.8</v>
      </c>
      <c r="DP12" s="9" t="n">
        <v>83.86</v>
      </c>
      <c r="DQ12" s="9" t="n">
        <v>50.9</v>
      </c>
      <c r="DR12" s="9" t="n">
        <v>101.17</v>
      </c>
      <c r="DS12" s="9" t="n">
        <v>17.51</v>
      </c>
      <c r="DT12" s="9" t="n">
        <v>37.57</v>
      </c>
      <c r="DU12" s="9" t="n">
        <v>46.09</v>
      </c>
      <c r="DV12" s="9" t="n">
        <v>77.26000000000001</v>
      </c>
      <c r="DW12" s="9" t="n">
        <v>36.2</v>
      </c>
      <c r="DX12" s="9" t="n">
        <v>30.03</v>
      </c>
      <c r="DY12" s="9" t="n">
        <v>11.03</v>
      </c>
      <c r="DZ12" s="9" t="n">
        <v>194</v>
      </c>
      <c r="EA12" s="9" t="n">
        <v>94.91</v>
      </c>
      <c r="EB12" s="9" t="n">
        <v>48.92</v>
      </c>
      <c r="EC12" s="9" t="n">
        <v>5.03</v>
      </c>
      <c r="ED12" s="9" t="n">
        <v>1.49</v>
      </c>
      <c r="EE12" s="9" t="n">
        <v>29.55</v>
      </c>
      <c r="EF12" s="9" t="n">
        <v>26.86</v>
      </c>
      <c r="EG12" s="9" t="n">
        <v>6.49</v>
      </c>
      <c r="EH12" s="9" t="n">
        <v>24.15</v>
      </c>
      <c r="EI12" s="9" t="n">
        <v>1.66</v>
      </c>
      <c r="EJ12" s="9" t="n">
        <v>0.6899999999999999</v>
      </c>
      <c r="EK12" s="9" t="n">
        <v>41.38</v>
      </c>
      <c r="EL12" s="9" t="n">
        <v>25.74</v>
      </c>
      <c r="EM12" s="9" t="n">
        <v>3.46</v>
      </c>
      <c r="EN12" s="9" t="n">
        <v>13.43</v>
      </c>
      <c r="EO12" s="9" t="n">
        <v>5.37</v>
      </c>
      <c r="EP12" s="9" t="n">
        <v>1.63</v>
      </c>
      <c r="EQ12" s="9" t="n">
        <v>30.32</v>
      </c>
      <c r="ER12" s="9" t="n">
        <v>2.57</v>
      </c>
      <c r="ES12" s="9" t="n">
        <v>0.51</v>
      </c>
      <c r="ET12" s="9" t="n">
        <v>20</v>
      </c>
      <c r="EU12" s="9" t="n">
        <v>0.11</v>
      </c>
      <c r="EV12" s="9" t="n">
        <v>0.06</v>
      </c>
      <c r="EW12" s="9" t="n">
        <v>50</v>
      </c>
      <c r="EX12" s="9" t="n">
        <v>15.94</v>
      </c>
      <c r="EY12" s="9" t="n">
        <v>5.63</v>
      </c>
      <c r="EZ12" s="9" t="n">
        <v>35.3</v>
      </c>
      <c r="FA12" s="9" t="n">
        <v>6</v>
      </c>
      <c r="FB12" s="9" t="n">
        <v>6.26</v>
      </c>
      <c r="FC12" s="9" t="n">
        <v>24.4</v>
      </c>
      <c r="FD12" s="9" t="n">
        <v>4.4</v>
      </c>
      <c r="FE12" s="9" t="n">
        <v>10.03</v>
      </c>
      <c r="FF12" s="9" t="n">
        <v>16.69</v>
      </c>
      <c r="FG12" s="9" t="n">
        <v>59.63</v>
      </c>
      <c r="FH12" s="9" t="n">
        <v>25.46</v>
      </c>
      <c r="FI12" s="9" t="n">
        <v>42.69</v>
      </c>
      <c r="FJ12" s="9" t="n">
        <v>1.34</v>
      </c>
      <c r="FK12" s="9" t="n">
        <v>1.37</v>
      </c>
      <c r="FL12" s="9" t="n">
        <v>10.63</v>
      </c>
      <c r="FM12" s="9" t="n">
        <v>4.49</v>
      </c>
      <c r="FN12" s="9" t="n">
        <v>42.2</v>
      </c>
      <c r="FO12" s="9" t="n">
        <v>64.31</v>
      </c>
      <c r="FP12" s="9" t="n">
        <v>38.8</v>
      </c>
      <c r="FQ12" s="9" t="n">
        <v>60.33</v>
      </c>
      <c r="FR12" s="9" t="n">
        <v>39.03</v>
      </c>
      <c r="FS12" s="9" t="n">
        <v>17.74</v>
      </c>
      <c r="FT12" s="9" t="n">
        <v>45.46</v>
      </c>
      <c r="FU12" s="9" t="n">
        <v>3.26</v>
      </c>
      <c r="FV12" s="9" t="n">
        <v>1.43</v>
      </c>
      <c r="FW12" s="9" t="n">
        <v>43.86</v>
      </c>
      <c r="FX12" s="9" t="n">
        <v>36.09</v>
      </c>
      <c r="FY12" s="9" t="n">
        <v>13.43</v>
      </c>
      <c r="FZ12" s="9" t="n">
        <v>14.57</v>
      </c>
      <c r="GA12" s="9" t="n">
        <v>2.51</v>
      </c>
      <c r="GB12" s="9" t="n">
        <v>0.14</v>
      </c>
      <c r="GC12" s="9" t="n">
        <v>140.37</v>
      </c>
      <c r="GD12" s="9" t="n">
        <v>104.2</v>
      </c>
      <c r="GE12" s="9" t="n">
        <v>74.23</v>
      </c>
      <c r="GF12" s="9" t="n">
        <v>63.31</v>
      </c>
      <c r="GG12" s="9" t="n">
        <v>59.29</v>
      </c>
      <c r="GH12" s="9" t="n">
        <v>93.64</v>
      </c>
      <c r="GI12" s="9" t="n">
        <v>170.34</v>
      </c>
      <c r="GJ12" s="9" t="n">
        <v>151.66</v>
      </c>
      <c r="GK12" s="9" t="n">
        <v>89.03</v>
      </c>
      <c r="GL12" s="9" t="n">
        <v>44.51</v>
      </c>
      <c r="GM12" s="9" t="n">
        <v>24.57</v>
      </c>
      <c r="GN12" s="9" t="n">
        <v>55.2</v>
      </c>
      <c r="GO12" s="9" t="n">
        <v>51.71</v>
      </c>
      <c r="GP12" s="9" t="n">
        <v>35.63</v>
      </c>
      <c r="GQ12" s="9" t="n">
        <v>68.90000000000001</v>
      </c>
      <c r="GR12" s="9" t="n">
        <v>71.2</v>
      </c>
      <c r="GS12" s="9" t="n">
        <v>52.26</v>
      </c>
      <c r="GT12" s="9" t="n">
        <v>73.39</v>
      </c>
      <c r="GU12" s="9" t="n">
        <v>2.29</v>
      </c>
      <c r="GV12" s="9" t="n">
        <v>1.17</v>
      </c>
      <c r="GW12" s="9" t="n">
        <v>51.25</v>
      </c>
      <c r="GX12" s="9" t="n">
        <v>18.83</v>
      </c>
      <c r="GY12" s="9" t="n">
        <v>16.6</v>
      </c>
      <c r="GZ12" s="9" t="n">
        <v>88.16</v>
      </c>
      <c r="HA12" s="9" t="n">
        <v>7.54</v>
      </c>
      <c r="HB12" s="9" t="n">
        <v>16.73</v>
      </c>
      <c r="HC12" s="9" t="n">
        <v>4.29</v>
      </c>
      <c r="HD12" s="9" t="n">
        <v>10.68</v>
      </c>
      <c r="HE12" s="9" t="n">
        <v>18.7</v>
      </c>
      <c r="HF12" s="9" t="n">
        <v>19.92</v>
      </c>
      <c r="HG12" s="9" t="n">
        <v>12.11</v>
      </c>
    </row>
    <row r="13">
      <c r="A13" s="12" t="n">
        <v>2022</v>
      </c>
      <c r="B13" s="12" t="n">
        <v>49</v>
      </c>
      <c r="C13" s="5">
        <f>(B13-AVERAGE($B$2:$B$100))/_xlfn.STDEV.P($B$2:$B$100)</f>
        <v/>
      </c>
      <c r="D13" s="12" t="n">
        <v>6</v>
      </c>
      <c r="E13" s="6">
        <f>-D13</f>
        <v/>
      </c>
      <c r="F13" s="7">
        <f>(E13-AVERAGE($E$2:$E$100))/_xlfn.STDEV.P($E$2:$E$100)</f>
        <v/>
      </c>
      <c r="G13" s="7">
        <f>sum(0.5*C13)+(0.5*F13)</f>
        <v/>
      </c>
      <c r="H13" s="12" t="inlineStr">
        <is>
          <t>West</t>
        </is>
      </c>
      <c r="I13" s="8" t="inlineStr">
        <is>
          <t>Rio Grande Valley</t>
        </is>
      </c>
      <c r="J13" s="9" t="n">
        <v>1.46</v>
      </c>
      <c r="K13" s="9" t="n">
        <v>1.45</v>
      </c>
      <c r="L13" s="9" t="n">
        <v>13.11</v>
      </c>
      <c r="M13" s="9" t="n">
        <v>4.34</v>
      </c>
      <c r="N13" s="9" t="n">
        <v>33.12</v>
      </c>
      <c r="O13" s="9" t="n">
        <v>401.77</v>
      </c>
      <c r="P13" s="9" t="n">
        <v>328.6</v>
      </c>
      <c r="Q13" s="9" t="n">
        <v>81.79000000000001</v>
      </c>
      <c r="R13" s="9" t="n">
        <v>51.78</v>
      </c>
      <c r="S13" s="9" t="n">
        <v>99.37</v>
      </c>
      <c r="T13" s="9" t="n">
        <v>13.83</v>
      </c>
      <c r="U13" s="9" t="n">
        <v>38.69</v>
      </c>
      <c r="V13" s="9" t="n">
        <v>46.86</v>
      </c>
      <c r="W13" s="9" t="n">
        <v>81.8</v>
      </c>
      <c r="X13" s="9" t="n">
        <v>34.46</v>
      </c>
      <c r="Y13" s="9" t="n">
        <v>33.29</v>
      </c>
      <c r="Z13" s="9" t="n">
        <v>14.06</v>
      </c>
      <c r="AA13" s="9" t="n">
        <v>203.11</v>
      </c>
      <c r="AB13" s="9" t="n">
        <v>97.56999999999999</v>
      </c>
      <c r="AC13" s="9" t="n">
        <v>48.04</v>
      </c>
      <c r="AD13" s="9" t="n">
        <v>5.74</v>
      </c>
      <c r="AE13" s="9" t="n">
        <v>1.4</v>
      </c>
      <c r="AF13" s="9" t="n">
        <v>24.38</v>
      </c>
      <c r="AG13" s="9" t="n">
        <v>30.37</v>
      </c>
      <c r="AH13" s="9" t="n">
        <v>7.83</v>
      </c>
      <c r="AI13" s="9" t="n">
        <v>25.78</v>
      </c>
      <c r="AJ13" s="9" t="n">
        <v>1.69</v>
      </c>
      <c r="AK13" s="9" t="n">
        <v>0.91</v>
      </c>
      <c r="AL13" s="9" t="n">
        <v>54.24</v>
      </c>
      <c r="AM13" s="9" t="n">
        <v>27.83</v>
      </c>
      <c r="AN13" s="9" t="n">
        <v>3.83</v>
      </c>
      <c r="AO13" s="9" t="n">
        <v>13.76</v>
      </c>
      <c r="AP13" s="9" t="n">
        <v>5.31</v>
      </c>
      <c r="AQ13" s="9" t="n">
        <v>2.14</v>
      </c>
      <c r="AR13" s="9" t="n">
        <v>40.32</v>
      </c>
      <c r="AS13" s="9" t="n">
        <v>2.6</v>
      </c>
      <c r="AT13" s="9" t="n">
        <v>0.43</v>
      </c>
      <c r="AU13" s="9" t="n">
        <v>16.48</v>
      </c>
      <c r="AV13" s="9" t="n">
        <v>0.09</v>
      </c>
      <c r="AW13" s="9" t="n">
        <v>0</v>
      </c>
      <c r="AX13" s="9" t="n">
        <v>0</v>
      </c>
      <c r="AY13" s="9" t="n">
        <v>17.6</v>
      </c>
      <c r="AZ13" s="9" t="n">
        <v>5.51</v>
      </c>
      <c r="BA13" s="9" t="n">
        <v>31.33</v>
      </c>
      <c r="BB13" s="9" t="n">
        <v>5.54</v>
      </c>
      <c r="BC13" s="9" t="n">
        <v>6.69</v>
      </c>
      <c r="BD13" s="9" t="n">
        <v>25.09</v>
      </c>
      <c r="BE13" s="9" t="n">
        <v>3.66</v>
      </c>
      <c r="BF13" s="9" t="n">
        <v>10.8</v>
      </c>
      <c r="BG13" s="9" t="n">
        <v>17.29</v>
      </c>
      <c r="BH13" s="9" t="n">
        <v>70.17</v>
      </c>
      <c r="BI13" s="9" t="n">
        <v>27.94</v>
      </c>
      <c r="BJ13" s="9" t="n">
        <v>39.82</v>
      </c>
      <c r="BK13" s="9" t="n">
        <v>1.83</v>
      </c>
      <c r="BL13" s="9" t="n">
        <v>1.23</v>
      </c>
      <c r="BM13" s="9" t="n">
        <v>8.31</v>
      </c>
      <c r="BN13" s="9" t="n">
        <v>3.6</v>
      </c>
      <c r="BO13" s="9" t="n">
        <v>43.3</v>
      </c>
      <c r="BP13" s="9" t="n">
        <v>67.23</v>
      </c>
      <c r="BQ13" s="9" t="n">
        <v>40.63</v>
      </c>
      <c r="BR13" s="9" t="n">
        <v>60.43</v>
      </c>
      <c r="BS13" s="9" t="n">
        <v>35</v>
      </c>
      <c r="BT13" s="9" t="n">
        <v>16</v>
      </c>
      <c r="BU13" s="9" t="n">
        <v>45.71</v>
      </c>
      <c r="BV13" s="9" t="n">
        <v>4.29</v>
      </c>
      <c r="BW13" s="9" t="n">
        <v>2.31</v>
      </c>
      <c r="BX13" s="9" t="n">
        <v>54</v>
      </c>
      <c r="BY13" s="9" t="n">
        <v>36.26</v>
      </c>
      <c r="BZ13" s="9" t="n">
        <v>13.31</v>
      </c>
      <c r="CA13" s="9" t="n">
        <v>14.11</v>
      </c>
      <c r="CB13" s="9" t="n">
        <v>2.51</v>
      </c>
      <c r="CC13" s="9" t="n">
        <v>0.11</v>
      </c>
      <c r="CD13" s="9" t="n">
        <v>139.14</v>
      </c>
      <c r="CE13" s="9" t="n">
        <v>98.89</v>
      </c>
      <c r="CF13" s="9" t="n">
        <v>71.06999999999999</v>
      </c>
      <c r="CG13" s="9" t="n">
        <v>60.34</v>
      </c>
      <c r="CH13" s="9" t="n">
        <v>56.6</v>
      </c>
      <c r="CI13" s="9" t="n">
        <v>93.8</v>
      </c>
      <c r="CJ13" s="9" t="n">
        <v>147.46</v>
      </c>
      <c r="CK13" s="9" t="n">
        <v>129</v>
      </c>
      <c r="CL13" s="9" t="n">
        <v>87.48</v>
      </c>
      <c r="CM13" s="9" t="n">
        <v>51.63</v>
      </c>
      <c r="CN13" s="9" t="n">
        <v>27.23</v>
      </c>
      <c r="CO13" s="9" t="n">
        <v>52.74</v>
      </c>
      <c r="CP13" s="9" t="n">
        <v>53.8</v>
      </c>
      <c r="CQ13" s="9" t="n">
        <v>35.63</v>
      </c>
      <c r="CR13" s="9" t="n">
        <v>66.22</v>
      </c>
      <c r="CS13" s="9" t="n">
        <v>72.37</v>
      </c>
      <c r="CT13" s="9" t="n">
        <v>53.49</v>
      </c>
      <c r="CU13" s="9" t="n">
        <v>73.90000000000001</v>
      </c>
      <c r="CV13" s="9" t="n">
        <v>3.66</v>
      </c>
      <c r="CW13" s="9" t="n">
        <v>1.69</v>
      </c>
      <c r="CX13" s="9" t="n">
        <v>46.09</v>
      </c>
      <c r="CY13" s="9" t="n">
        <v>23.94</v>
      </c>
      <c r="CZ13" s="9" t="n">
        <v>21.86</v>
      </c>
      <c r="DA13" s="9" t="n">
        <v>91.29000000000001</v>
      </c>
      <c r="DB13" s="9" t="n">
        <v>7.77</v>
      </c>
      <c r="DC13" s="9" t="n">
        <v>15.81</v>
      </c>
      <c r="DD13" s="9" t="n">
        <v>3.66</v>
      </c>
      <c r="DE13" s="9" t="n">
        <v>13.79</v>
      </c>
      <c r="DF13" s="9" t="n">
        <v>19.17</v>
      </c>
      <c r="DG13" s="9" t="n">
        <v>21.06</v>
      </c>
      <c r="DH13" s="9" t="n">
        <v>9.75</v>
      </c>
      <c r="DI13" s="9" t="n">
        <v>1.23</v>
      </c>
      <c r="DJ13" s="9" t="n">
        <v>1.05</v>
      </c>
      <c r="DK13" s="9" t="n">
        <v>8.31</v>
      </c>
      <c r="DL13" s="9" t="n">
        <v>3.46</v>
      </c>
      <c r="DM13" s="9" t="n">
        <v>41.58</v>
      </c>
      <c r="DN13" s="9" t="n">
        <v>375.86</v>
      </c>
      <c r="DO13" s="9" t="n">
        <v>306.26</v>
      </c>
      <c r="DP13" s="9" t="n">
        <v>81.48</v>
      </c>
      <c r="DQ13" s="9" t="n">
        <v>48.22</v>
      </c>
      <c r="DR13" s="9" t="n">
        <v>104.6</v>
      </c>
      <c r="DS13" s="9" t="n">
        <v>21.31</v>
      </c>
      <c r="DT13" s="9" t="n">
        <v>38.51</v>
      </c>
      <c r="DU13" s="9" t="n">
        <v>44.77</v>
      </c>
      <c r="DV13" s="9" t="n">
        <v>78.8</v>
      </c>
      <c r="DW13" s="9" t="n">
        <v>38.03</v>
      </c>
      <c r="DX13" s="9" t="n">
        <v>31.69</v>
      </c>
      <c r="DY13" s="9" t="n">
        <v>9.09</v>
      </c>
      <c r="DZ13" s="9" t="n">
        <v>203.11</v>
      </c>
      <c r="EA13" s="9" t="n">
        <v>98.23</v>
      </c>
      <c r="EB13" s="9" t="n">
        <v>48.36</v>
      </c>
      <c r="EC13" s="9" t="n">
        <v>3.57</v>
      </c>
      <c r="ED13" s="9" t="n">
        <v>1.17</v>
      </c>
      <c r="EE13" s="9" t="n">
        <v>32.8</v>
      </c>
      <c r="EF13" s="9" t="n">
        <v>24.6</v>
      </c>
      <c r="EG13" s="9" t="n">
        <v>4.86</v>
      </c>
      <c r="EH13" s="9" t="n">
        <v>19.74</v>
      </c>
      <c r="EI13" s="9" t="n">
        <v>1.23</v>
      </c>
      <c r="EJ13" s="9" t="n">
        <v>0.37</v>
      </c>
      <c r="EK13" s="9" t="n">
        <v>30.23</v>
      </c>
      <c r="EL13" s="9" t="n">
        <v>28.03</v>
      </c>
      <c r="EM13" s="9" t="n">
        <v>2.43</v>
      </c>
      <c r="EN13" s="9" t="n">
        <v>8.66</v>
      </c>
      <c r="EO13" s="9" t="n">
        <v>3.74</v>
      </c>
      <c r="EP13" s="9" t="n">
        <v>0.71</v>
      </c>
      <c r="EQ13" s="9" t="n">
        <v>19.08</v>
      </c>
      <c r="ER13" s="9" t="n">
        <v>3</v>
      </c>
      <c r="ES13" s="9" t="n">
        <v>0.6899999999999999</v>
      </c>
      <c r="ET13" s="9" t="n">
        <v>22.86</v>
      </c>
      <c r="EU13" s="9" t="n">
        <v>0.14</v>
      </c>
      <c r="EV13" s="9" t="n">
        <v>0.09</v>
      </c>
      <c r="EW13" s="9" t="n">
        <v>60</v>
      </c>
      <c r="EX13" s="9" t="n">
        <v>11.49</v>
      </c>
      <c r="EY13" s="9" t="n">
        <v>3.66</v>
      </c>
      <c r="EZ13" s="9" t="n">
        <v>31.84</v>
      </c>
      <c r="FA13" s="9" t="n">
        <v>3.66</v>
      </c>
      <c r="FB13" s="9" t="n">
        <v>4.49</v>
      </c>
      <c r="FC13" s="9" t="n">
        <v>18.34</v>
      </c>
      <c r="FD13" s="9" t="n">
        <v>2.91</v>
      </c>
      <c r="FE13" s="9" t="n">
        <v>6.71</v>
      </c>
      <c r="FF13" s="9" t="n">
        <v>11.66</v>
      </c>
      <c r="FG13" s="9" t="n">
        <v>67.23</v>
      </c>
      <c r="FH13" s="9" t="n">
        <v>26.6</v>
      </c>
      <c r="FI13" s="9" t="n">
        <v>39.57</v>
      </c>
      <c r="FJ13" s="9" t="n">
        <v>1.74</v>
      </c>
      <c r="FK13" s="9" t="n">
        <v>1.46</v>
      </c>
      <c r="FL13" s="9" t="n">
        <v>13.11</v>
      </c>
      <c r="FM13" s="9" t="n">
        <v>4.6</v>
      </c>
      <c r="FN13" s="9" t="n">
        <v>35.08</v>
      </c>
      <c r="FO13" s="9" t="n">
        <v>70.14</v>
      </c>
      <c r="FP13" s="9" t="n">
        <v>42.2</v>
      </c>
      <c r="FQ13" s="9" t="n">
        <v>60.16</v>
      </c>
      <c r="FR13" s="9" t="n">
        <v>35.03</v>
      </c>
      <c r="FS13" s="9" t="n">
        <v>17.03</v>
      </c>
      <c r="FT13" s="9" t="n">
        <v>48.61</v>
      </c>
      <c r="FU13" s="9" t="n">
        <v>4.4</v>
      </c>
      <c r="FV13" s="9" t="n">
        <v>1.97</v>
      </c>
      <c r="FW13" s="9" t="n">
        <v>44.81</v>
      </c>
      <c r="FX13" s="9" t="n">
        <v>40.8</v>
      </c>
      <c r="FY13" s="9" t="n">
        <v>16.51</v>
      </c>
      <c r="FZ13" s="9" t="n">
        <v>14.63</v>
      </c>
      <c r="GA13" s="9" t="n">
        <v>3.31</v>
      </c>
      <c r="GB13" s="9" t="n">
        <v>0.17</v>
      </c>
      <c r="GC13" s="9" t="n">
        <v>136.77</v>
      </c>
      <c r="GD13" s="9" t="n">
        <v>96.91</v>
      </c>
      <c r="GE13" s="9" t="n">
        <v>70.86</v>
      </c>
      <c r="GF13" s="9" t="n">
        <v>57.51</v>
      </c>
      <c r="GG13" s="9" t="n">
        <v>53.54</v>
      </c>
      <c r="GH13" s="9" t="n">
        <v>93.09</v>
      </c>
      <c r="GI13" s="9" t="n">
        <v>127.23</v>
      </c>
      <c r="GJ13" s="9" t="n">
        <v>111.97</v>
      </c>
      <c r="GK13" s="9" t="n">
        <v>88.01000000000001</v>
      </c>
      <c r="GL13" s="9" t="n">
        <v>43.17</v>
      </c>
      <c r="GM13" s="9" t="n">
        <v>22.06</v>
      </c>
      <c r="GN13" s="9" t="n">
        <v>51.09</v>
      </c>
      <c r="GO13" s="9" t="n">
        <v>46.31</v>
      </c>
      <c r="GP13" s="9" t="n">
        <v>28.4</v>
      </c>
      <c r="GQ13" s="9" t="n">
        <v>61.32</v>
      </c>
      <c r="GR13" s="9" t="n">
        <v>63.91</v>
      </c>
      <c r="GS13" s="9" t="n">
        <v>44.49</v>
      </c>
      <c r="GT13" s="9" t="n">
        <v>69.59999999999999</v>
      </c>
      <c r="GU13" s="9" t="n">
        <v>3.77</v>
      </c>
      <c r="GV13" s="9" t="n">
        <v>1.2</v>
      </c>
      <c r="GW13" s="9" t="n">
        <v>31.82</v>
      </c>
      <c r="GX13" s="9" t="n">
        <v>22.09</v>
      </c>
      <c r="GY13" s="9" t="n">
        <v>19.83</v>
      </c>
      <c r="GZ13" s="9" t="n">
        <v>89.78</v>
      </c>
      <c r="HA13" s="9" t="n">
        <v>9.970000000000001</v>
      </c>
      <c r="HB13" s="9" t="n">
        <v>15.87</v>
      </c>
      <c r="HC13" s="9" t="n">
        <v>3.55</v>
      </c>
      <c r="HD13" s="9" t="n">
        <v>12.19</v>
      </c>
      <c r="HE13" s="9" t="n">
        <v>18.11</v>
      </c>
      <c r="HF13" s="9" t="n">
        <v>20.02</v>
      </c>
      <c r="HG13" s="9" t="n">
        <v>11.31</v>
      </c>
    </row>
    <row r="14">
      <c r="A14" s="12" t="n">
        <v>2022</v>
      </c>
      <c r="B14" s="12" t="n">
        <v>54</v>
      </c>
      <c r="C14" s="5">
        <f>(B14-AVERAGE($B$2:$B$100))/_xlfn.STDEV.P($B$2:$B$100)</f>
        <v/>
      </c>
      <c r="D14" s="12" t="n">
        <v>7</v>
      </c>
      <c r="E14" s="6">
        <f>-D14</f>
        <v/>
      </c>
      <c r="F14" s="7">
        <f>(E14-AVERAGE($E$2:$E$100))/_xlfn.STDEV.P($E$2:$E$100)</f>
        <v/>
      </c>
      <c r="G14" s="7">
        <f>sum(0.5*C14)+(0.5*F14)</f>
        <v/>
      </c>
      <c r="H14" s="12" t="inlineStr">
        <is>
          <t>East</t>
        </is>
      </c>
      <c r="I14" s="8" t="inlineStr">
        <is>
          <t>Detroit City</t>
        </is>
      </c>
      <c r="J14" s="9" t="n">
        <v>1.29</v>
      </c>
      <c r="K14" s="9" t="n">
        <v>1.24</v>
      </c>
      <c r="L14" s="9" t="n">
        <v>9.91</v>
      </c>
      <c r="M14" s="9" t="n">
        <v>3.26</v>
      </c>
      <c r="N14" s="9" t="n">
        <v>32.85</v>
      </c>
      <c r="O14" s="9" t="n">
        <v>376.51</v>
      </c>
      <c r="P14" s="9" t="n">
        <v>292.89</v>
      </c>
      <c r="Q14" s="9" t="n">
        <v>77.79000000000001</v>
      </c>
      <c r="R14" s="9" t="n">
        <v>47.25</v>
      </c>
      <c r="S14" s="9" t="n">
        <v>120.83</v>
      </c>
      <c r="T14" s="9" t="n">
        <v>19.51</v>
      </c>
      <c r="U14" s="9" t="n">
        <v>46.23</v>
      </c>
      <c r="V14" s="9" t="n">
        <v>55.09</v>
      </c>
      <c r="W14" s="9" t="n">
        <v>90.70999999999999</v>
      </c>
      <c r="X14" s="9" t="n">
        <v>41.09</v>
      </c>
      <c r="Y14" s="9" t="n">
        <v>36.4</v>
      </c>
      <c r="Z14" s="9" t="n">
        <v>13.23</v>
      </c>
      <c r="AA14" s="9" t="n">
        <v>222.8</v>
      </c>
      <c r="AB14" s="9" t="n">
        <v>109.31</v>
      </c>
      <c r="AC14" s="9" t="n">
        <v>49.06</v>
      </c>
      <c r="AD14" s="9" t="n">
        <v>3.14</v>
      </c>
      <c r="AE14" s="9" t="n">
        <v>0.57</v>
      </c>
      <c r="AF14" s="9" t="n">
        <v>18.18</v>
      </c>
      <c r="AG14" s="9" t="n">
        <v>28.94</v>
      </c>
      <c r="AH14" s="9" t="n">
        <v>5.89</v>
      </c>
      <c r="AI14" s="9" t="n">
        <v>20.34</v>
      </c>
      <c r="AJ14" s="9" t="n">
        <v>1.54</v>
      </c>
      <c r="AK14" s="9" t="n">
        <v>0.6</v>
      </c>
      <c r="AL14" s="9" t="n">
        <v>38.89</v>
      </c>
      <c r="AM14" s="9" t="n">
        <v>26.49</v>
      </c>
      <c r="AN14" s="9" t="n">
        <v>3.09</v>
      </c>
      <c r="AO14" s="9" t="n">
        <v>11.65</v>
      </c>
      <c r="AP14" s="9" t="n">
        <v>5.09</v>
      </c>
      <c r="AQ14" s="9" t="n">
        <v>1.46</v>
      </c>
      <c r="AR14" s="9" t="n">
        <v>28.65</v>
      </c>
      <c r="AS14" s="9" t="n">
        <v>3.63</v>
      </c>
      <c r="AT14" s="9" t="n">
        <v>0.54</v>
      </c>
      <c r="AU14" s="9" t="n">
        <v>14.96</v>
      </c>
      <c r="AV14" s="9" t="n">
        <v>0.06</v>
      </c>
      <c r="AW14" s="9" t="n">
        <v>0.06</v>
      </c>
      <c r="AX14" s="9" t="n">
        <v>100</v>
      </c>
      <c r="AY14" s="9" t="n">
        <v>16</v>
      </c>
      <c r="AZ14" s="9" t="n">
        <v>5.71</v>
      </c>
      <c r="BA14" s="9" t="n">
        <v>35.71</v>
      </c>
      <c r="BB14" s="9" t="n">
        <v>6.14</v>
      </c>
      <c r="BC14" s="9" t="n">
        <v>5.89</v>
      </c>
      <c r="BD14" s="9" t="n">
        <v>24.34</v>
      </c>
      <c r="BE14" s="9" t="n">
        <v>4.03</v>
      </c>
      <c r="BF14" s="9" t="n">
        <v>9.69</v>
      </c>
      <c r="BG14" s="9" t="n">
        <v>20.03</v>
      </c>
      <c r="BH14" s="9" t="n">
        <v>61.31</v>
      </c>
      <c r="BI14" s="9" t="n">
        <v>24.14</v>
      </c>
      <c r="BJ14" s="9" t="n">
        <v>39.38</v>
      </c>
      <c r="BK14" s="9" t="n">
        <v>2.11</v>
      </c>
      <c r="BL14" s="9" t="n">
        <v>0.9399999999999999</v>
      </c>
      <c r="BM14" s="9" t="n">
        <v>11.11</v>
      </c>
      <c r="BN14" s="9" t="n">
        <v>3.77</v>
      </c>
      <c r="BO14" s="9" t="n">
        <v>33.93</v>
      </c>
      <c r="BP14" s="9" t="n">
        <v>70.11</v>
      </c>
      <c r="BQ14" s="9" t="n">
        <v>44.74</v>
      </c>
      <c r="BR14" s="9" t="n">
        <v>63.81</v>
      </c>
      <c r="BS14" s="9" t="n">
        <v>51.37</v>
      </c>
      <c r="BT14" s="9" t="n">
        <v>23.4</v>
      </c>
      <c r="BU14" s="9" t="n">
        <v>45.55</v>
      </c>
      <c r="BV14" s="9" t="n">
        <v>5.11</v>
      </c>
      <c r="BW14" s="9" t="n">
        <v>2.26</v>
      </c>
      <c r="BX14" s="9" t="n">
        <v>44.13</v>
      </c>
      <c r="BY14" s="9" t="n">
        <v>44.26</v>
      </c>
      <c r="BZ14" s="9" t="n">
        <v>14.11</v>
      </c>
      <c r="CA14" s="9" t="n">
        <v>11.89</v>
      </c>
      <c r="CB14" s="9" t="n">
        <v>1.86</v>
      </c>
      <c r="CC14" s="9" t="n">
        <v>0</v>
      </c>
      <c r="CD14" s="9" t="n">
        <v>142.29</v>
      </c>
      <c r="CE14" s="9" t="n">
        <v>95.06</v>
      </c>
      <c r="CF14" s="9" t="n">
        <v>66.81</v>
      </c>
      <c r="CG14" s="9" t="n">
        <v>59.77</v>
      </c>
      <c r="CH14" s="9" t="n">
        <v>54.94</v>
      </c>
      <c r="CI14" s="9" t="n">
        <v>91.92</v>
      </c>
      <c r="CJ14" s="9" t="n">
        <v>123.86</v>
      </c>
      <c r="CK14" s="9" t="n">
        <v>104.17</v>
      </c>
      <c r="CL14" s="9" t="n">
        <v>84.11</v>
      </c>
      <c r="CM14" s="9" t="n">
        <v>58.14</v>
      </c>
      <c r="CN14" s="9" t="n">
        <v>31.83</v>
      </c>
      <c r="CO14" s="9" t="n">
        <v>54.74</v>
      </c>
      <c r="CP14" s="9" t="n">
        <v>54.63</v>
      </c>
      <c r="CQ14" s="9" t="n">
        <v>33.31</v>
      </c>
      <c r="CR14" s="9" t="n">
        <v>60.98</v>
      </c>
      <c r="CS14" s="9" t="n">
        <v>77.11</v>
      </c>
      <c r="CT14" s="9" t="n">
        <v>54.34</v>
      </c>
      <c r="CU14" s="9" t="n">
        <v>70.47</v>
      </c>
      <c r="CV14" s="9" t="n">
        <v>2.83</v>
      </c>
      <c r="CW14" s="9" t="n">
        <v>1.14</v>
      </c>
      <c r="CX14" s="9" t="n">
        <v>40.4</v>
      </c>
      <c r="CY14" s="9" t="n">
        <v>25.69</v>
      </c>
      <c r="CZ14" s="9" t="n">
        <v>22.54</v>
      </c>
      <c r="DA14" s="9" t="n">
        <v>87.76000000000001</v>
      </c>
      <c r="DB14" s="9" t="n">
        <v>8.06</v>
      </c>
      <c r="DC14" s="9" t="n">
        <v>15.96</v>
      </c>
      <c r="DD14" s="9" t="n">
        <v>3.29</v>
      </c>
      <c r="DE14" s="9" t="n">
        <v>15.91</v>
      </c>
      <c r="DF14" s="9" t="n">
        <v>16.84</v>
      </c>
      <c r="DG14" s="9" t="n">
        <v>21.38</v>
      </c>
      <c r="DH14" s="9" t="n">
        <v>9.289999999999999</v>
      </c>
      <c r="DI14" s="9" t="n">
        <v>0.9399999999999999</v>
      </c>
      <c r="DJ14" s="9" t="n">
        <v>1.14</v>
      </c>
      <c r="DK14" s="9" t="n">
        <v>11.11</v>
      </c>
      <c r="DL14" s="9" t="n">
        <v>3.66</v>
      </c>
      <c r="DM14" s="9" t="n">
        <v>32.9</v>
      </c>
      <c r="DN14" s="9" t="n">
        <v>414.6</v>
      </c>
      <c r="DO14" s="9" t="n">
        <v>334.66</v>
      </c>
      <c r="DP14" s="9" t="n">
        <v>80.72</v>
      </c>
      <c r="DQ14" s="9" t="n">
        <v>52.75</v>
      </c>
      <c r="DR14" s="9" t="n">
        <v>118.17</v>
      </c>
      <c r="DS14" s="9" t="n">
        <v>22.06</v>
      </c>
      <c r="DT14" s="9" t="n">
        <v>43.29</v>
      </c>
      <c r="DU14" s="9" t="n">
        <v>52.83</v>
      </c>
      <c r="DV14" s="9" t="n">
        <v>92.56999999999999</v>
      </c>
      <c r="DW14" s="9" t="n">
        <v>40.57</v>
      </c>
      <c r="DX14" s="9" t="n">
        <v>39.2</v>
      </c>
      <c r="DY14" s="9" t="n">
        <v>12.8</v>
      </c>
      <c r="DZ14" s="9" t="n">
        <v>222.8</v>
      </c>
      <c r="EA14" s="9" t="n">
        <v>103</v>
      </c>
      <c r="EB14" s="9" t="n">
        <v>46.23</v>
      </c>
      <c r="EC14" s="9" t="n">
        <v>5.46</v>
      </c>
      <c r="ED14" s="9" t="n">
        <v>1.29</v>
      </c>
      <c r="EE14" s="9" t="n">
        <v>23.56</v>
      </c>
      <c r="EF14" s="9" t="n">
        <v>27.71</v>
      </c>
      <c r="EG14" s="9" t="n">
        <v>6.86</v>
      </c>
      <c r="EH14" s="9" t="n">
        <v>24.74</v>
      </c>
      <c r="EI14" s="9" t="n">
        <v>1.54</v>
      </c>
      <c r="EJ14" s="9" t="n">
        <v>0.63</v>
      </c>
      <c r="EK14" s="9" t="n">
        <v>40.74</v>
      </c>
      <c r="EL14" s="9" t="n">
        <v>25.86</v>
      </c>
      <c r="EM14" s="9" t="n">
        <v>2.97</v>
      </c>
      <c r="EN14" s="9" t="n">
        <v>11.49</v>
      </c>
      <c r="EO14" s="9" t="n">
        <v>3.83</v>
      </c>
      <c r="EP14" s="9" t="n">
        <v>0.97</v>
      </c>
      <c r="EQ14" s="9" t="n">
        <v>25.37</v>
      </c>
      <c r="ER14" s="9" t="n">
        <v>2.11</v>
      </c>
      <c r="ES14" s="9" t="n">
        <v>0.43</v>
      </c>
      <c r="ET14" s="9" t="n">
        <v>20.27</v>
      </c>
      <c r="EU14" s="9" t="n">
        <v>0.06</v>
      </c>
      <c r="EV14" s="9" t="n">
        <v>0.03</v>
      </c>
      <c r="EW14" s="9" t="n">
        <v>50</v>
      </c>
      <c r="EX14" s="9" t="n">
        <v>12.83</v>
      </c>
      <c r="EY14" s="9" t="n">
        <v>3.89</v>
      </c>
      <c r="EZ14" s="9" t="n">
        <v>30.29</v>
      </c>
      <c r="FA14" s="9" t="n">
        <v>4.06</v>
      </c>
      <c r="FB14" s="9" t="n">
        <v>6.46</v>
      </c>
      <c r="FC14" s="9" t="n">
        <v>23.83</v>
      </c>
      <c r="FD14" s="9" t="n">
        <v>3.6</v>
      </c>
      <c r="FE14" s="9" t="n">
        <v>8.26</v>
      </c>
      <c r="FF14" s="9" t="n">
        <v>14.06</v>
      </c>
      <c r="FG14" s="9" t="n">
        <v>70.09</v>
      </c>
      <c r="FH14" s="9" t="n">
        <v>25.31</v>
      </c>
      <c r="FI14" s="9" t="n">
        <v>36.12</v>
      </c>
      <c r="FJ14" s="9" t="n">
        <v>2.03</v>
      </c>
      <c r="FK14" s="9" t="n">
        <v>1.29</v>
      </c>
      <c r="FL14" s="9" t="n">
        <v>9.91</v>
      </c>
      <c r="FM14" s="9" t="n">
        <v>3.4</v>
      </c>
      <c r="FN14" s="9" t="n">
        <v>34.29</v>
      </c>
      <c r="FO14" s="9" t="n">
        <v>61.37</v>
      </c>
      <c r="FP14" s="9" t="n">
        <v>37.17</v>
      </c>
      <c r="FQ14" s="9" t="n">
        <v>60.57</v>
      </c>
      <c r="FR14" s="9" t="n">
        <v>51.34</v>
      </c>
      <c r="FS14" s="9" t="n">
        <v>24.43</v>
      </c>
      <c r="FT14" s="9" t="n">
        <v>47.58</v>
      </c>
      <c r="FU14" s="9" t="n">
        <v>3.14</v>
      </c>
      <c r="FV14" s="9" t="n">
        <v>1.2</v>
      </c>
      <c r="FW14" s="9" t="n">
        <v>38.18</v>
      </c>
      <c r="FX14" s="9" t="n">
        <v>43.37</v>
      </c>
      <c r="FY14" s="9" t="n">
        <v>18.94</v>
      </c>
      <c r="FZ14" s="9" t="n">
        <v>13.54</v>
      </c>
      <c r="GA14" s="9" t="n">
        <v>2.03</v>
      </c>
      <c r="GB14" s="9" t="n">
        <v>0.14</v>
      </c>
      <c r="GC14" s="9" t="n">
        <v>144.86</v>
      </c>
      <c r="GD14" s="9" t="n">
        <v>98.51000000000001</v>
      </c>
      <c r="GE14" s="9" t="n">
        <v>68.01000000000001</v>
      </c>
      <c r="GF14" s="9" t="n">
        <v>58.86</v>
      </c>
      <c r="GG14" s="9" t="n">
        <v>54.97</v>
      </c>
      <c r="GH14" s="9" t="n">
        <v>93.40000000000001</v>
      </c>
      <c r="GI14" s="9" t="n">
        <v>149.31</v>
      </c>
      <c r="GJ14" s="9" t="n">
        <v>130.26</v>
      </c>
      <c r="GK14" s="9" t="n">
        <v>87.23999999999999</v>
      </c>
      <c r="GL14" s="9" t="n">
        <v>51.6</v>
      </c>
      <c r="GM14" s="9" t="n">
        <v>25.57</v>
      </c>
      <c r="GN14" s="9" t="n">
        <v>49.56</v>
      </c>
      <c r="GO14" s="9" t="n">
        <v>58.37</v>
      </c>
      <c r="GP14" s="9" t="n">
        <v>36.11</v>
      </c>
      <c r="GQ14" s="9" t="n">
        <v>61.87</v>
      </c>
      <c r="GR14" s="9" t="n">
        <v>72.89</v>
      </c>
      <c r="GS14" s="9" t="n">
        <v>50.4</v>
      </c>
      <c r="GT14" s="9" t="n">
        <v>69.15000000000001</v>
      </c>
      <c r="GU14" s="9" t="n">
        <v>4.29</v>
      </c>
      <c r="GV14" s="9" t="n">
        <v>1.54</v>
      </c>
      <c r="GW14" s="9" t="n">
        <v>36</v>
      </c>
      <c r="GX14" s="9" t="n">
        <v>22.06</v>
      </c>
      <c r="GY14" s="9" t="n">
        <v>18.26</v>
      </c>
      <c r="GZ14" s="9" t="n">
        <v>82.77</v>
      </c>
      <c r="HA14" s="9" t="n">
        <v>9.57</v>
      </c>
      <c r="HB14" s="9" t="n">
        <v>15.62</v>
      </c>
      <c r="HC14" s="9" t="n">
        <v>3.76</v>
      </c>
      <c r="HD14" s="9" t="n">
        <v>13.1</v>
      </c>
      <c r="HE14" s="9" t="n">
        <v>19.9</v>
      </c>
      <c r="HF14" s="9" t="n">
        <v>19.82</v>
      </c>
      <c r="HG14" s="9" t="n">
        <v>9.94</v>
      </c>
    </row>
    <row r="15">
      <c r="A15" s="12" t="n">
        <v>2022</v>
      </c>
      <c r="B15" s="12" t="n">
        <v>46</v>
      </c>
      <c r="C15" s="5">
        <f>(B15-AVERAGE($B$2:$B$100))/_xlfn.STDEV.P($B$2:$B$100)</f>
        <v/>
      </c>
      <c r="D15" s="12" t="n">
        <v>7</v>
      </c>
      <c r="E15" s="6">
        <f>-D15</f>
        <v/>
      </c>
      <c r="F15" s="7">
        <f>(E15-AVERAGE($E$2:$E$100))/_xlfn.STDEV.P($E$2:$E$100)</f>
        <v/>
      </c>
      <c r="G15" s="7">
        <f>sum(0.5*C15)+(0.5*F15)</f>
        <v/>
      </c>
      <c r="H15" s="12" t="inlineStr">
        <is>
          <t>West</t>
        </is>
      </c>
      <c r="I15" s="8" t="inlineStr">
        <is>
          <t>Oakland Roots</t>
        </is>
      </c>
      <c r="J15" s="9" t="n">
        <v>1.5</v>
      </c>
      <c r="K15" s="9" t="n">
        <v>1.5</v>
      </c>
      <c r="L15" s="9" t="n">
        <v>10.89</v>
      </c>
      <c r="M15" s="9" t="n">
        <v>4.42</v>
      </c>
      <c r="N15" s="9" t="n">
        <v>40.56</v>
      </c>
      <c r="O15" s="9" t="n">
        <v>443.28</v>
      </c>
      <c r="P15" s="9" t="n">
        <v>363.69</v>
      </c>
      <c r="Q15" s="9" t="n">
        <v>82.05</v>
      </c>
      <c r="R15" s="9" t="n">
        <v>52.67</v>
      </c>
      <c r="S15" s="9" t="n">
        <v>110.72</v>
      </c>
      <c r="T15" s="9" t="n">
        <v>21.39</v>
      </c>
      <c r="U15" s="9" t="n">
        <v>40.39</v>
      </c>
      <c r="V15" s="9" t="n">
        <v>48.94</v>
      </c>
      <c r="W15" s="9" t="n">
        <v>86.28</v>
      </c>
      <c r="X15" s="9" t="n">
        <v>40.19</v>
      </c>
      <c r="Y15" s="9" t="n">
        <v>33.5</v>
      </c>
      <c r="Z15" s="9" t="n">
        <v>12.58</v>
      </c>
      <c r="AA15" s="9" t="n">
        <v>210.44</v>
      </c>
      <c r="AB15" s="9" t="n">
        <v>98.69</v>
      </c>
      <c r="AC15" s="9" t="n">
        <v>46.9</v>
      </c>
      <c r="AD15" s="9" t="n">
        <v>3.83</v>
      </c>
      <c r="AE15" s="9" t="n">
        <v>1.19</v>
      </c>
      <c r="AF15" s="9" t="n">
        <v>31.16</v>
      </c>
      <c r="AG15" s="9" t="n">
        <v>28.97</v>
      </c>
      <c r="AH15" s="9" t="n">
        <v>6.83</v>
      </c>
      <c r="AI15" s="9" t="n">
        <v>23.59</v>
      </c>
      <c r="AJ15" s="9" t="n">
        <v>1.61</v>
      </c>
      <c r="AK15" s="9" t="n">
        <v>0.53</v>
      </c>
      <c r="AL15" s="9" t="n">
        <v>32.76</v>
      </c>
      <c r="AM15" s="9" t="n">
        <v>26.39</v>
      </c>
      <c r="AN15" s="9" t="n">
        <v>2.94</v>
      </c>
      <c r="AO15" s="9" t="n">
        <v>11.16</v>
      </c>
      <c r="AP15" s="9" t="n">
        <v>4.92</v>
      </c>
      <c r="AQ15" s="9" t="n">
        <v>1.61</v>
      </c>
      <c r="AR15" s="9" t="n">
        <v>32.77</v>
      </c>
      <c r="AS15" s="9" t="n">
        <v>2.25</v>
      </c>
      <c r="AT15" s="9" t="n">
        <v>0.5</v>
      </c>
      <c r="AU15" s="9" t="n">
        <v>22.22</v>
      </c>
      <c r="AV15" s="9" t="n">
        <v>0.22</v>
      </c>
      <c r="AW15" s="9" t="n">
        <v>0.19</v>
      </c>
      <c r="AX15" s="9" t="n">
        <v>87.5</v>
      </c>
      <c r="AY15" s="9" t="n">
        <v>15</v>
      </c>
      <c r="AZ15" s="9" t="n">
        <v>4.19</v>
      </c>
      <c r="BA15" s="9" t="n">
        <v>27.96</v>
      </c>
      <c r="BB15" s="9" t="n">
        <v>4.19</v>
      </c>
      <c r="BC15" s="9" t="n">
        <v>8.640000000000001</v>
      </c>
      <c r="BD15" s="9" t="n">
        <v>25.19</v>
      </c>
      <c r="BE15" s="9" t="n">
        <v>3.69</v>
      </c>
      <c r="BF15" s="9" t="n">
        <v>8.06</v>
      </c>
      <c r="BG15" s="9" t="n">
        <v>18.67</v>
      </c>
      <c r="BH15" s="9" t="n">
        <v>74.44</v>
      </c>
      <c r="BI15" s="9" t="n">
        <v>28.39</v>
      </c>
      <c r="BJ15" s="9" t="n">
        <v>38.13</v>
      </c>
      <c r="BK15" s="9" t="n">
        <v>1.53</v>
      </c>
      <c r="BL15" s="9" t="n">
        <v>1.36</v>
      </c>
      <c r="BM15" s="9" t="n">
        <v>11.11</v>
      </c>
      <c r="BN15" s="9" t="n">
        <v>4.33</v>
      </c>
      <c r="BO15" s="9" t="n">
        <v>39</v>
      </c>
      <c r="BP15" s="9" t="n">
        <v>66.56</v>
      </c>
      <c r="BQ15" s="9" t="n">
        <v>38.53</v>
      </c>
      <c r="BR15" s="9" t="n">
        <v>57.89</v>
      </c>
      <c r="BS15" s="9" t="n">
        <v>34.11</v>
      </c>
      <c r="BT15" s="9" t="n">
        <v>17.72</v>
      </c>
      <c r="BU15" s="9" t="n">
        <v>51.95</v>
      </c>
      <c r="BV15" s="9" t="n">
        <v>2.44</v>
      </c>
      <c r="BW15" s="9" t="n">
        <v>1.06</v>
      </c>
      <c r="BX15" s="9" t="n">
        <v>43.18</v>
      </c>
      <c r="BY15" s="9" t="n">
        <v>40.86</v>
      </c>
      <c r="BZ15" s="9" t="n">
        <v>13.25</v>
      </c>
      <c r="CA15" s="9" t="n">
        <v>13.36</v>
      </c>
      <c r="CB15" s="9" t="n">
        <v>2.56</v>
      </c>
      <c r="CC15" s="9" t="n">
        <v>0.11</v>
      </c>
      <c r="CD15" s="9" t="n">
        <v>152.39</v>
      </c>
      <c r="CE15" s="9" t="n">
        <v>107.97</v>
      </c>
      <c r="CF15" s="9" t="n">
        <v>70.84999999999999</v>
      </c>
      <c r="CG15" s="9" t="n">
        <v>68.39</v>
      </c>
      <c r="CH15" s="9" t="n">
        <v>64.22</v>
      </c>
      <c r="CI15" s="9" t="n">
        <v>93.91</v>
      </c>
      <c r="CJ15" s="9" t="n">
        <v>162.69</v>
      </c>
      <c r="CK15" s="9" t="n">
        <v>144.19</v>
      </c>
      <c r="CL15" s="9" t="n">
        <v>88.63</v>
      </c>
      <c r="CM15" s="9" t="n">
        <v>54.75</v>
      </c>
      <c r="CN15" s="9" t="n">
        <v>29.28</v>
      </c>
      <c r="CO15" s="9" t="n">
        <v>53.48</v>
      </c>
      <c r="CP15" s="9" t="n">
        <v>52.61</v>
      </c>
      <c r="CQ15" s="9" t="n">
        <v>32.58</v>
      </c>
      <c r="CR15" s="9" t="n">
        <v>61.93</v>
      </c>
      <c r="CS15" s="9" t="n">
        <v>76.53</v>
      </c>
      <c r="CT15" s="9" t="n">
        <v>52.39</v>
      </c>
      <c r="CU15" s="9" t="n">
        <v>68.45999999999999</v>
      </c>
      <c r="CV15" s="9" t="n">
        <v>4.42</v>
      </c>
      <c r="CW15" s="9" t="n">
        <v>2.14</v>
      </c>
      <c r="CX15" s="9" t="n">
        <v>48.43</v>
      </c>
      <c r="CY15" s="9" t="n">
        <v>23</v>
      </c>
      <c r="CZ15" s="9" t="n">
        <v>20.94</v>
      </c>
      <c r="DA15" s="9" t="n">
        <v>91.06</v>
      </c>
      <c r="DB15" s="9" t="n">
        <v>8</v>
      </c>
      <c r="DC15" s="9" t="n">
        <v>16.49</v>
      </c>
      <c r="DD15" s="9" t="n">
        <v>3.92</v>
      </c>
      <c r="DE15" s="9" t="n">
        <v>12.68</v>
      </c>
      <c r="DF15" s="9" t="n">
        <v>17.09</v>
      </c>
      <c r="DG15" s="9" t="n">
        <v>20.72</v>
      </c>
      <c r="DH15" s="9" t="n">
        <v>10.59</v>
      </c>
      <c r="DI15" s="9" t="n">
        <v>1.36</v>
      </c>
      <c r="DJ15" s="9" t="n">
        <v>1.33</v>
      </c>
      <c r="DK15" s="9" t="n">
        <v>11.11</v>
      </c>
      <c r="DL15" s="9" t="n">
        <v>4.14</v>
      </c>
      <c r="DM15" s="9" t="n">
        <v>37.25</v>
      </c>
      <c r="DN15" s="9" t="n">
        <v>384.44</v>
      </c>
      <c r="DO15" s="9" t="n">
        <v>309.11</v>
      </c>
      <c r="DP15" s="9" t="n">
        <v>80.40000000000001</v>
      </c>
      <c r="DQ15" s="9" t="n">
        <v>47.33</v>
      </c>
      <c r="DR15" s="9" t="n">
        <v>107.17</v>
      </c>
      <c r="DS15" s="9" t="n">
        <v>18.69</v>
      </c>
      <c r="DT15" s="9" t="n">
        <v>37.06</v>
      </c>
      <c r="DU15" s="9" t="n">
        <v>51.42</v>
      </c>
      <c r="DV15" s="9" t="n">
        <v>86.72</v>
      </c>
      <c r="DW15" s="9" t="n">
        <v>36.89</v>
      </c>
      <c r="DX15" s="9" t="n">
        <v>35.44</v>
      </c>
      <c r="DY15" s="9" t="n">
        <v>14.39</v>
      </c>
      <c r="DZ15" s="9" t="n">
        <v>210.44</v>
      </c>
      <c r="EA15" s="9" t="n">
        <v>104.31</v>
      </c>
      <c r="EB15" s="9" t="n">
        <v>49.56</v>
      </c>
      <c r="EC15" s="9" t="n">
        <v>4.28</v>
      </c>
      <c r="ED15" s="9" t="n">
        <v>1.17</v>
      </c>
      <c r="EE15" s="9" t="n">
        <v>27.27</v>
      </c>
      <c r="EF15" s="9" t="n">
        <v>28.75</v>
      </c>
      <c r="EG15" s="9" t="n">
        <v>6.67</v>
      </c>
      <c r="EH15" s="9" t="n">
        <v>23.19</v>
      </c>
      <c r="EI15" s="9" t="n">
        <v>1.64</v>
      </c>
      <c r="EJ15" s="9" t="n">
        <v>0.92</v>
      </c>
      <c r="EK15" s="9" t="n">
        <v>55.93</v>
      </c>
      <c r="EL15" s="9" t="n">
        <v>25.42</v>
      </c>
      <c r="EM15" s="9" t="n">
        <v>2.97</v>
      </c>
      <c r="EN15" s="9" t="n">
        <v>11.69</v>
      </c>
      <c r="EO15" s="9" t="n">
        <v>4.58</v>
      </c>
      <c r="EP15" s="9" t="n">
        <v>1.22</v>
      </c>
      <c r="EQ15" s="9" t="n">
        <v>26.67</v>
      </c>
      <c r="ER15" s="9" t="n">
        <v>2.86</v>
      </c>
      <c r="ES15" s="9" t="n">
        <v>0.61</v>
      </c>
      <c r="ET15" s="9" t="n">
        <v>21.36</v>
      </c>
      <c r="EU15" s="9" t="n">
        <v>0.06</v>
      </c>
      <c r="EV15" s="9" t="n">
        <v>0.03</v>
      </c>
      <c r="EW15" s="9" t="n">
        <v>50</v>
      </c>
      <c r="EX15" s="9" t="n">
        <v>13.03</v>
      </c>
      <c r="EY15" s="9" t="n">
        <v>3.89</v>
      </c>
      <c r="EZ15" s="9" t="n">
        <v>29.85</v>
      </c>
      <c r="FA15" s="9" t="n">
        <v>4.22</v>
      </c>
      <c r="FB15" s="9" t="n">
        <v>6.81</v>
      </c>
      <c r="FC15" s="9" t="n">
        <v>23.78</v>
      </c>
      <c r="FD15" s="9" t="n">
        <v>4</v>
      </c>
      <c r="FE15" s="9" t="n">
        <v>7.72</v>
      </c>
      <c r="FF15" s="9" t="n">
        <v>16.36</v>
      </c>
      <c r="FG15" s="9" t="n">
        <v>66.58</v>
      </c>
      <c r="FH15" s="9" t="n">
        <v>28.03</v>
      </c>
      <c r="FI15" s="9" t="n">
        <v>42.09</v>
      </c>
      <c r="FJ15" s="9" t="n">
        <v>1.83</v>
      </c>
      <c r="FK15" s="9" t="n">
        <v>1.5</v>
      </c>
      <c r="FL15" s="9" t="n">
        <v>10.89</v>
      </c>
      <c r="FM15" s="9" t="n">
        <v>4.64</v>
      </c>
      <c r="FN15" s="9" t="n">
        <v>42.6</v>
      </c>
      <c r="FO15" s="9" t="n">
        <v>74.42</v>
      </c>
      <c r="FP15" s="9" t="n">
        <v>46.03</v>
      </c>
      <c r="FQ15" s="9" t="n">
        <v>61.85</v>
      </c>
      <c r="FR15" s="9" t="n">
        <v>34.11</v>
      </c>
      <c r="FS15" s="9" t="n">
        <v>14.53</v>
      </c>
      <c r="FT15" s="9" t="n">
        <v>42.59</v>
      </c>
      <c r="FU15" s="9" t="n">
        <v>4.17</v>
      </c>
      <c r="FV15" s="9" t="n">
        <v>1.94</v>
      </c>
      <c r="FW15" s="9" t="n">
        <v>46.67</v>
      </c>
      <c r="FX15" s="9" t="n">
        <v>44.61</v>
      </c>
      <c r="FY15" s="9" t="n">
        <v>17.47</v>
      </c>
      <c r="FZ15" s="9" t="n">
        <v>13.11</v>
      </c>
      <c r="GA15" s="9" t="n">
        <v>2.44</v>
      </c>
      <c r="GB15" s="9" t="n">
        <v>0.17</v>
      </c>
      <c r="GC15" s="9" t="n">
        <v>137.78</v>
      </c>
      <c r="GD15" s="9" t="n">
        <v>94.42</v>
      </c>
      <c r="GE15" s="9" t="n">
        <v>68.53</v>
      </c>
      <c r="GF15" s="9" t="n">
        <v>56.03</v>
      </c>
      <c r="GG15" s="9" t="n">
        <v>52.72</v>
      </c>
      <c r="GH15" s="9" t="n">
        <v>94.09999999999999</v>
      </c>
      <c r="GI15" s="9" t="n">
        <v>132.89</v>
      </c>
      <c r="GJ15" s="9" t="n">
        <v>115.44</v>
      </c>
      <c r="GK15" s="9" t="n">
        <v>86.87</v>
      </c>
      <c r="GL15" s="9" t="n">
        <v>47.75</v>
      </c>
      <c r="GM15" s="9" t="n">
        <v>23.44</v>
      </c>
      <c r="GN15" s="9" t="n">
        <v>49.1</v>
      </c>
      <c r="GO15" s="9" t="n">
        <v>51.72</v>
      </c>
      <c r="GP15" s="9" t="n">
        <v>32.72</v>
      </c>
      <c r="GQ15" s="9" t="n">
        <v>63.27</v>
      </c>
      <c r="GR15" s="9" t="n">
        <v>68.97</v>
      </c>
      <c r="GS15" s="9" t="n">
        <v>48.97</v>
      </c>
      <c r="GT15" s="9" t="n">
        <v>71</v>
      </c>
      <c r="GU15" s="9" t="n">
        <v>3.64</v>
      </c>
      <c r="GV15" s="9" t="n">
        <v>1.69</v>
      </c>
      <c r="GW15" s="9" t="n">
        <v>46.56</v>
      </c>
      <c r="GX15" s="9" t="n">
        <v>19.47</v>
      </c>
      <c r="GY15" s="9" t="n">
        <v>16.81</v>
      </c>
      <c r="GZ15" s="9" t="n">
        <v>86.31</v>
      </c>
      <c r="HA15" s="9" t="n">
        <v>7.89</v>
      </c>
      <c r="HB15" s="9" t="n">
        <v>15.78</v>
      </c>
      <c r="HC15" s="9" t="n">
        <v>3.54</v>
      </c>
      <c r="HD15" s="9" t="n">
        <v>13.42</v>
      </c>
      <c r="HE15" s="9" t="n">
        <v>18.26</v>
      </c>
      <c r="HF15" s="9" t="n">
        <v>20.17</v>
      </c>
      <c r="HG15" s="9" t="n">
        <v>10.12</v>
      </c>
    </row>
    <row r="16">
      <c r="A16" s="12" t="n">
        <v>2022</v>
      </c>
      <c r="B16" s="12" t="n">
        <v>46</v>
      </c>
      <c r="C16" s="5">
        <f>(B16-AVERAGE($B$2:$B$100))/_xlfn.STDEV.P($B$2:$B$100)</f>
        <v/>
      </c>
      <c r="D16" s="12" t="n">
        <v>8</v>
      </c>
      <c r="E16" s="6">
        <f>-D16</f>
        <v/>
      </c>
      <c r="F16" s="7">
        <f>(E16-AVERAGE($E$2:$E$100))/_xlfn.STDEV.P($E$2:$E$100)</f>
        <v/>
      </c>
      <c r="G16" s="7">
        <f>sum(0.5*C16)+(0.5*F16)</f>
        <v/>
      </c>
      <c r="H16" s="12" t="inlineStr">
        <is>
          <t>West</t>
        </is>
      </c>
      <c r="I16" s="8" t="inlineStr">
        <is>
          <t>El Paso Locomotive</t>
        </is>
      </c>
      <c r="J16" s="9" t="n">
        <v>1.65</v>
      </c>
      <c r="K16" s="9" t="n">
        <v>1.57</v>
      </c>
      <c r="L16" s="9" t="n">
        <v>12.44</v>
      </c>
      <c r="M16" s="9" t="n">
        <v>5.06</v>
      </c>
      <c r="N16" s="9" t="n">
        <v>40.66</v>
      </c>
      <c r="O16" s="9" t="n">
        <v>483.21</v>
      </c>
      <c r="P16" s="9" t="n">
        <v>413.24</v>
      </c>
      <c r="Q16" s="9" t="n">
        <v>85.52</v>
      </c>
      <c r="R16" s="9" t="n">
        <v>59.23</v>
      </c>
      <c r="S16" s="9" t="n">
        <v>96.91</v>
      </c>
      <c r="T16" s="9" t="n">
        <v>16.79</v>
      </c>
      <c r="U16" s="9" t="n">
        <v>36.59</v>
      </c>
      <c r="V16" s="9" t="n">
        <v>43.53</v>
      </c>
      <c r="W16" s="9" t="n">
        <v>75.5</v>
      </c>
      <c r="X16" s="9" t="n">
        <v>34.76</v>
      </c>
      <c r="Y16" s="9" t="n">
        <v>30.97</v>
      </c>
      <c r="Z16" s="9" t="n">
        <v>9.76</v>
      </c>
      <c r="AA16" s="9" t="n">
        <v>191.71</v>
      </c>
      <c r="AB16" s="9" t="n">
        <v>89.41</v>
      </c>
      <c r="AC16" s="9" t="n">
        <v>46.64</v>
      </c>
      <c r="AD16" s="9" t="n">
        <v>5.18</v>
      </c>
      <c r="AE16" s="9" t="n">
        <v>1.56</v>
      </c>
      <c r="AF16" s="9" t="n">
        <v>30.11</v>
      </c>
      <c r="AG16" s="9" t="n">
        <v>30.06</v>
      </c>
      <c r="AH16" s="9" t="n">
        <v>7.24</v>
      </c>
      <c r="AI16" s="9" t="n">
        <v>24.07</v>
      </c>
      <c r="AJ16" s="9" t="n">
        <v>1.09</v>
      </c>
      <c r="AK16" s="9" t="n">
        <v>0.47</v>
      </c>
      <c r="AL16" s="9" t="n">
        <v>43.24</v>
      </c>
      <c r="AM16" s="9" t="n">
        <v>30.65</v>
      </c>
      <c r="AN16" s="9" t="n">
        <v>4</v>
      </c>
      <c r="AO16" s="9" t="n">
        <v>13.05</v>
      </c>
      <c r="AP16" s="9" t="n">
        <v>5.91</v>
      </c>
      <c r="AQ16" s="9" t="n">
        <v>1.76</v>
      </c>
      <c r="AR16" s="9" t="n">
        <v>29.85</v>
      </c>
      <c r="AS16" s="9" t="n">
        <v>2.74</v>
      </c>
      <c r="AT16" s="9" t="n">
        <v>0.41</v>
      </c>
      <c r="AU16" s="9" t="n">
        <v>15.05</v>
      </c>
      <c r="AV16" s="9" t="n">
        <v>0.21</v>
      </c>
      <c r="AW16" s="9" t="n">
        <v>0.09</v>
      </c>
      <c r="AX16" s="9" t="n">
        <v>42.86</v>
      </c>
      <c r="AY16" s="9" t="n">
        <v>14.68</v>
      </c>
      <c r="AZ16" s="9" t="n">
        <v>4.85</v>
      </c>
      <c r="BA16" s="9" t="n">
        <v>33.07</v>
      </c>
      <c r="BB16" s="9" t="n">
        <v>4.79</v>
      </c>
      <c r="BC16" s="9" t="n">
        <v>7.03</v>
      </c>
      <c r="BD16" s="9" t="n">
        <v>24.06</v>
      </c>
      <c r="BE16" s="9" t="n">
        <v>4.82</v>
      </c>
      <c r="BF16" s="9" t="n">
        <v>8.210000000000001</v>
      </c>
      <c r="BG16" s="9" t="n">
        <v>19.12</v>
      </c>
      <c r="BH16" s="9" t="n">
        <v>74.15000000000001</v>
      </c>
      <c r="BI16" s="9" t="n">
        <v>29.68</v>
      </c>
      <c r="BJ16" s="9" t="n">
        <v>40.02</v>
      </c>
      <c r="BK16" s="9" t="n">
        <v>1.88</v>
      </c>
      <c r="BL16" s="9" t="n">
        <v>1.53</v>
      </c>
      <c r="BM16" s="9" t="n">
        <v>11.26</v>
      </c>
      <c r="BN16" s="9" t="n">
        <v>4.5</v>
      </c>
      <c r="BO16" s="9" t="n">
        <v>39.95</v>
      </c>
      <c r="BP16" s="9" t="n">
        <v>60.65</v>
      </c>
      <c r="BQ16" s="9" t="n">
        <v>34.97</v>
      </c>
      <c r="BR16" s="9" t="n">
        <v>57.66</v>
      </c>
      <c r="BS16" s="9" t="n">
        <v>27.71</v>
      </c>
      <c r="BT16" s="9" t="n">
        <v>12.32</v>
      </c>
      <c r="BU16" s="9" t="n">
        <v>44.48</v>
      </c>
      <c r="BV16" s="9" t="n">
        <v>6.62</v>
      </c>
      <c r="BW16" s="9" t="n">
        <v>3.35</v>
      </c>
      <c r="BX16" s="9" t="n">
        <v>50.67</v>
      </c>
      <c r="BY16" s="9" t="n">
        <v>34.56</v>
      </c>
      <c r="BZ16" s="9" t="n">
        <v>13.76</v>
      </c>
      <c r="CA16" s="9" t="n">
        <v>13.18</v>
      </c>
      <c r="CB16" s="9" t="n">
        <v>3.32</v>
      </c>
      <c r="CC16" s="9" t="n">
        <v>0.12</v>
      </c>
      <c r="CD16" s="9" t="n">
        <v>159.79</v>
      </c>
      <c r="CE16" s="9" t="n">
        <v>123.29</v>
      </c>
      <c r="CF16" s="9" t="n">
        <v>77.16</v>
      </c>
      <c r="CG16" s="9" t="n">
        <v>75.73999999999999</v>
      </c>
      <c r="CH16" s="9" t="n">
        <v>71.76000000000001</v>
      </c>
      <c r="CI16" s="9" t="n">
        <v>94.76000000000001</v>
      </c>
      <c r="CJ16" s="9" t="n">
        <v>180.88</v>
      </c>
      <c r="CK16" s="9" t="n">
        <v>163.38</v>
      </c>
      <c r="CL16" s="9" t="n">
        <v>90.33</v>
      </c>
      <c r="CM16" s="9" t="n">
        <v>40.03</v>
      </c>
      <c r="CN16" s="9" t="n">
        <v>22.85</v>
      </c>
      <c r="CO16" s="9" t="n">
        <v>57.09</v>
      </c>
      <c r="CP16" s="9" t="n">
        <v>56.41</v>
      </c>
      <c r="CQ16" s="9" t="n">
        <v>41.15</v>
      </c>
      <c r="CR16" s="9" t="n">
        <v>72.94</v>
      </c>
      <c r="CS16" s="9" t="n">
        <v>78.5</v>
      </c>
      <c r="CT16" s="9" t="n">
        <v>59.09</v>
      </c>
      <c r="CU16" s="9" t="n">
        <v>75.27</v>
      </c>
      <c r="CV16" s="9" t="n">
        <v>4.06</v>
      </c>
      <c r="CW16" s="9" t="n">
        <v>1.74</v>
      </c>
      <c r="CX16" s="9" t="n">
        <v>42.75</v>
      </c>
      <c r="CY16" s="9" t="n">
        <v>23.44</v>
      </c>
      <c r="CZ16" s="9" t="n">
        <v>21.41</v>
      </c>
      <c r="DA16" s="9" t="n">
        <v>91.34</v>
      </c>
      <c r="DB16" s="9" t="n">
        <v>9.91</v>
      </c>
      <c r="DC16" s="9" t="n">
        <v>16.89</v>
      </c>
      <c r="DD16" s="9" t="n">
        <v>4.41</v>
      </c>
      <c r="DE16" s="9" t="n">
        <v>8.44</v>
      </c>
      <c r="DF16" s="9" t="n">
        <v>18.29</v>
      </c>
      <c r="DG16" s="9" t="n">
        <v>19.72</v>
      </c>
      <c r="DH16" s="9" t="n">
        <v>8.99</v>
      </c>
      <c r="DI16" s="9" t="n">
        <v>1.53</v>
      </c>
      <c r="DJ16" s="9" t="n">
        <v>1.48</v>
      </c>
      <c r="DK16" s="9" t="n">
        <v>11.26</v>
      </c>
      <c r="DL16" s="9" t="n">
        <v>4.26</v>
      </c>
      <c r="DM16" s="9" t="n">
        <v>37.86</v>
      </c>
      <c r="DN16" s="9" t="n">
        <v>317.74</v>
      </c>
      <c r="DO16" s="9" t="n">
        <v>249.79</v>
      </c>
      <c r="DP16" s="9" t="n">
        <v>78.62</v>
      </c>
      <c r="DQ16" s="9" t="n">
        <v>40.77</v>
      </c>
      <c r="DR16" s="9" t="n">
        <v>95.70999999999999</v>
      </c>
      <c r="DS16" s="9" t="n">
        <v>17.62</v>
      </c>
      <c r="DT16" s="9" t="n">
        <v>36.47</v>
      </c>
      <c r="DU16" s="9" t="n">
        <v>41.62</v>
      </c>
      <c r="DV16" s="9" t="n">
        <v>73.47</v>
      </c>
      <c r="DW16" s="9" t="n">
        <v>31.91</v>
      </c>
      <c r="DX16" s="9" t="n">
        <v>31.09</v>
      </c>
      <c r="DY16" s="9" t="n">
        <v>10.47</v>
      </c>
      <c r="DZ16" s="9" t="n">
        <v>191.71</v>
      </c>
      <c r="EA16" s="9" t="n">
        <v>95.23999999999999</v>
      </c>
      <c r="EB16" s="9" t="n">
        <v>49.68</v>
      </c>
      <c r="EC16" s="9" t="n">
        <v>4.15</v>
      </c>
      <c r="ED16" s="9" t="n">
        <v>1.15</v>
      </c>
      <c r="EE16" s="9" t="n">
        <v>27.66</v>
      </c>
      <c r="EF16" s="9" t="n">
        <v>24.65</v>
      </c>
      <c r="EG16" s="9" t="n">
        <v>6.56</v>
      </c>
      <c r="EH16" s="9" t="n">
        <v>26.61</v>
      </c>
      <c r="EI16" s="9" t="n">
        <v>1.88</v>
      </c>
      <c r="EJ16" s="9" t="n">
        <v>0.74</v>
      </c>
      <c r="EK16" s="9" t="n">
        <v>39.06</v>
      </c>
      <c r="EL16" s="9" t="n">
        <v>26.26</v>
      </c>
      <c r="EM16" s="9" t="n">
        <v>3.12</v>
      </c>
      <c r="EN16" s="9" t="n">
        <v>11.87</v>
      </c>
      <c r="EO16" s="9" t="n">
        <v>4.32</v>
      </c>
      <c r="EP16" s="9" t="n">
        <v>0.97</v>
      </c>
      <c r="EQ16" s="9" t="n">
        <v>22.45</v>
      </c>
      <c r="ER16" s="9" t="n">
        <v>3.32</v>
      </c>
      <c r="ES16" s="9" t="n">
        <v>0.82</v>
      </c>
      <c r="ET16" s="9" t="n">
        <v>24.78</v>
      </c>
      <c r="EU16" s="9" t="n">
        <v>0.18</v>
      </c>
      <c r="EV16" s="9" t="n">
        <v>0.15</v>
      </c>
      <c r="EW16" s="9" t="n">
        <v>83.33</v>
      </c>
      <c r="EX16" s="9" t="n">
        <v>12.35</v>
      </c>
      <c r="EY16" s="9" t="n">
        <v>4.03</v>
      </c>
      <c r="EZ16" s="9" t="n">
        <v>32.62</v>
      </c>
      <c r="FA16" s="9" t="n">
        <v>4.35</v>
      </c>
      <c r="FB16" s="9" t="n">
        <v>5.62</v>
      </c>
      <c r="FC16" s="9" t="n">
        <v>22.24</v>
      </c>
      <c r="FD16" s="9" t="n">
        <v>4.12</v>
      </c>
      <c r="FE16" s="9" t="n">
        <v>7.59</v>
      </c>
      <c r="FF16" s="9" t="n">
        <v>15.62</v>
      </c>
      <c r="FG16" s="9" t="n">
        <v>60.65</v>
      </c>
      <c r="FH16" s="9" t="n">
        <v>25.68</v>
      </c>
      <c r="FI16" s="9" t="n">
        <v>42.34</v>
      </c>
      <c r="FJ16" s="9" t="n">
        <v>2.56</v>
      </c>
      <c r="FK16" s="9" t="n">
        <v>1.65</v>
      </c>
      <c r="FL16" s="9" t="n">
        <v>12.44</v>
      </c>
      <c r="FM16" s="9" t="n">
        <v>5.26</v>
      </c>
      <c r="FN16" s="9" t="n">
        <v>42.32</v>
      </c>
      <c r="FO16" s="9" t="n">
        <v>74.15000000000001</v>
      </c>
      <c r="FP16" s="9" t="n">
        <v>44.47</v>
      </c>
      <c r="FQ16" s="9" t="n">
        <v>59.98</v>
      </c>
      <c r="FR16" s="9" t="n">
        <v>27.71</v>
      </c>
      <c r="FS16" s="9" t="n">
        <v>13.5</v>
      </c>
      <c r="FT16" s="9" t="n">
        <v>48.73</v>
      </c>
      <c r="FU16" s="9" t="n">
        <v>3.76</v>
      </c>
      <c r="FV16" s="9" t="n">
        <v>1.62</v>
      </c>
      <c r="FW16" s="9" t="n">
        <v>42.97</v>
      </c>
      <c r="FX16" s="9" t="n">
        <v>43.12</v>
      </c>
      <c r="FY16" s="9" t="n">
        <v>16.65</v>
      </c>
      <c r="FZ16" s="9" t="n">
        <v>13.65</v>
      </c>
      <c r="GA16" s="9" t="n">
        <v>2.65</v>
      </c>
      <c r="GB16" s="9" t="n">
        <v>0.21</v>
      </c>
      <c r="GC16" s="9" t="n">
        <v>117.06</v>
      </c>
      <c r="GD16" s="9" t="n">
        <v>78.44</v>
      </c>
      <c r="GE16" s="9" t="n">
        <v>67.01000000000001</v>
      </c>
      <c r="GF16" s="9" t="n">
        <v>47.68</v>
      </c>
      <c r="GG16" s="9" t="n">
        <v>44.26</v>
      </c>
      <c r="GH16" s="9" t="n">
        <v>92.84</v>
      </c>
      <c r="GI16" s="9" t="n">
        <v>108.12</v>
      </c>
      <c r="GJ16" s="9" t="n">
        <v>90.84999999999999</v>
      </c>
      <c r="GK16" s="9" t="n">
        <v>84.03</v>
      </c>
      <c r="GL16" s="9" t="n">
        <v>44.85</v>
      </c>
      <c r="GM16" s="9" t="n">
        <v>21.79</v>
      </c>
      <c r="GN16" s="9" t="n">
        <v>48.59</v>
      </c>
      <c r="GO16" s="9" t="n">
        <v>44.24</v>
      </c>
      <c r="GP16" s="9" t="n">
        <v>26.35</v>
      </c>
      <c r="GQ16" s="9" t="n">
        <v>59.57</v>
      </c>
      <c r="GR16" s="9" t="n">
        <v>62.68</v>
      </c>
      <c r="GS16" s="9" t="n">
        <v>43.15</v>
      </c>
      <c r="GT16" s="9" t="n">
        <v>68.84</v>
      </c>
      <c r="GU16" s="9" t="n">
        <v>3.41</v>
      </c>
      <c r="GV16" s="9" t="n">
        <v>1.35</v>
      </c>
      <c r="GW16" s="9" t="n">
        <v>39.66</v>
      </c>
      <c r="GX16" s="9" t="n">
        <v>21.53</v>
      </c>
      <c r="GY16" s="9" t="n">
        <v>18.29</v>
      </c>
      <c r="GZ16" s="9" t="n">
        <v>84.97</v>
      </c>
      <c r="HA16" s="9" t="n">
        <v>8.74</v>
      </c>
      <c r="HB16" s="9" t="n">
        <v>15.96</v>
      </c>
      <c r="HC16" s="9" t="n">
        <v>3.04</v>
      </c>
      <c r="HD16" s="9" t="n">
        <v>14.82</v>
      </c>
      <c r="HE16" s="9" t="n">
        <v>18</v>
      </c>
      <c r="HF16" s="9" t="n">
        <v>21.38</v>
      </c>
      <c r="HG16" s="9" t="n">
        <v>13.32</v>
      </c>
    </row>
    <row r="17">
      <c r="A17" s="12" t="n">
        <v>2022</v>
      </c>
      <c r="B17" s="12" t="n">
        <v>42</v>
      </c>
      <c r="C17" s="5">
        <f>(B17-AVERAGE($B$2:$B$100))/_xlfn.STDEV.P($B$2:$B$100)</f>
        <v/>
      </c>
      <c r="D17" s="12" t="n">
        <v>8</v>
      </c>
      <c r="E17" s="6">
        <f>-D17</f>
        <v/>
      </c>
      <c r="F17" s="7">
        <f>(E17-AVERAGE($E$2:$E$100))/_xlfn.STDEV.P($E$2:$E$100)</f>
        <v/>
      </c>
      <c r="G17" s="7">
        <f>sum(0.5*C17)+(0.5*F17)</f>
        <v/>
      </c>
      <c r="H17" s="12" t="inlineStr">
        <is>
          <t>East</t>
        </is>
      </c>
      <c r="I17" s="8" t="inlineStr">
        <is>
          <t>FC Tulsa</t>
        </is>
      </c>
      <c r="J17" s="9" t="n">
        <v>1.41</v>
      </c>
      <c r="K17" s="9" t="n">
        <v>1.32</v>
      </c>
      <c r="L17" s="9" t="n">
        <v>11.85</v>
      </c>
      <c r="M17" s="9" t="n">
        <v>4.26</v>
      </c>
      <c r="N17" s="9" t="n">
        <v>35.98</v>
      </c>
      <c r="O17" s="9" t="n">
        <v>412.94</v>
      </c>
      <c r="P17" s="9" t="n">
        <v>338.29</v>
      </c>
      <c r="Q17" s="9" t="n">
        <v>81.92</v>
      </c>
      <c r="R17" s="9" t="n">
        <v>49.49</v>
      </c>
      <c r="S17" s="9" t="n">
        <v>108.29</v>
      </c>
      <c r="T17" s="9" t="n">
        <v>21.94</v>
      </c>
      <c r="U17" s="9" t="n">
        <v>42.09</v>
      </c>
      <c r="V17" s="9" t="n">
        <v>44.26</v>
      </c>
      <c r="W17" s="9" t="n">
        <v>84.18000000000001</v>
      </c>
      <c r="X17" s="9" t="n">
        <v>41.65</v>
      </c>
      <c r="Y17" s="9" t="n">
        <v>33</v>
      </c>
      <c r="Z17" s="9" t="n">
        <v>9.529999999999999</v>
      </c>
      <c r="AA17" s="9" t="n">
        <v>196.59</v>
      </c>
      <c r="AB17" s="9" t="n">
        <v>95.59</v>
      </c>
      <c r="AC17" s="9" t="n">
        <v>48.62</v>
      </c>
      <c r="AD17" s="9" t="n">
        <v>5.06</v>
      </c>
      <c r="AE17" s="9" t="n">
        <v>1.26</v>
      </c>
      <c r="AF17" s="9" t="n">
        <v>25</v>
      </c>
      <c r="AG17" s="9" t="n">
        <v>24.35</v>
      </c>
      <c r="AH17" s="9" t="n">
        <v>6.56</v>
      </c>
      <c r="AI17" s="9" t="n">
        <v>26.93</v>
      </c>
      <c r="AJ17" s="9" t="n">
        <v>1.65</v>
      </c>
      <c r="AK17" s="9" t="n">
        <v>0.82</v>
      </c>
      <c r="AL17" s="9" t="n">
        <v>50</v>
      </c>
      <c r="AM17" s="9" t="n">
        <v>26.94</v>
      </c>
      <c r="AN17" s="9" t="n">
        <v>3.74</v>
      </c>
      <c r="AO17" s="9" t="n">
        <v>13.86</v>
      </c>
      <c r="AP17" s="9" t="n">
        <v>3.29</v>
      </c>
      <c r="AQ17" s="9" t="n">
        <v>1.47</v>
      </c>
      <c r="AR17" s="9" t="n">
        <v>44.64</v>
      </c>
      <c r="AS17" s="9" t="n">
        <v>2.71</v>
      </c>
      <c r="AT17" s="9" t="n">
        <v>0.53</v>
      </c>
      <c r="AU17" s="9" t="n">
        <v>19.57</v>
      </c>
      <c r="AV17" s="9" t="n">
        <v>0.12</v>
      </c>
      <c r="AW17" s="9" t="n">
        <v>0.09</v>
      </c>
      <c r="AX17" s="9" t="n">
        <v>75</v>
      </c>
      <c r="AY17" s="9" t="n">
        <v>12.62</v>
      </c>
      <c r="AZ17" s="9" t="n">
        <v>4.03</v>
      </c>
      <c r="BA17" s="9" t="n">
        <v>31.93</v>
      </c>
      <c r="BB17" s="9" t="n">
        <v>4.09</v>
      </c>
      <c r="BC17" s="9" t="n">
        <v>6.79</v>
      </c>
      <c r="BD17" s="9" t="n">
        <v>22.06</v>
      </c>
      <c r="BE17" s="9" t="n">
        <v>3.03</v>
      </c>
      <c r="BF17" s="9" t="n">
        <v>8</v>
      </c>
      <c r="BG17" s="9" t="n">
        <v>15.24</v>
      </c>
      <c r="BH17" s="9" t="n">
        <v>60.85</v>
      </c>
      <c r="BI17" s="9" t="n">
        <v>24.65</v>
      </c>
      <c r="BJ17" s="9" t="n">
        <v>40.5</v>
      </c>
      <c r="BK17" s="9" t="n">
        <v>2.06</v>
      </c>
      <c r="BL17" s="9" t="n">
        <v>1.71</v>
      </c>
      <c r="BM17" s="9" t="n">
        <v>13.12</v>
      </c>
      <c r="BN17" s="9" t="n">
        <v>5.5</v>
      </c>
      <c r="BO17" s="9" t="n">
        <v>41.93</v>
      </c>
      <c r="BP17" s="9" t="n">
        <v>67</v>
      </c>
      <c r="BQ17" s="9" t="n">
        <v>40.21</v>
      </c>
      <c r="BR17" s="9" t="n">
        <v>60.01</v>
      </c>
      <c r="BS17" s="9" t="n">
        <v>37.09</v>
      </c>
      <c r="BT17" s="9" t="n">
        <v>18.06</v>
      </c>
      <c r="BU17" s="9" t="n">
        <v>48.69</v>
      </c>
      <c r="BV17" s="9" t="n">
        <v>4.62</v>
      </c>
      <c r="BW17" s="9" t="n">
        <v>2.29</v>
      </c>
      <c r="BX17" s="9" t="n">
        <v>49.68</v>
      </c>
      <c r="BY17" s="9" t="n">
        <v>41.62</v>
      </c>
      <c r="BZ17" s="9" t="n">
        <v>17.29</v>
      </c>
      <c r="CA17" s="9" t="n">
        <v>12.71</v>
      </c>
      <c r="CB17" s="9" t="n">
        <v>2.41</v>
      </c>
      <c r="CC17" s="9" t="n">
        <v>0.15</v>
      </c>
      <c r="CD17" s="9" t="n">
        <v>140.62</v>
      </c>
      <c r="CE17" s="9" t="n">
        <v>99.41</v>
      </c>
      <c r="CF17" s="9" t="n">
        <v>70.7</v>
      </c>
      <c r="CG17" s="9" t="n">
        <v>62.85</v>
      </c>
      <c r="CH17" s="9" t="n">
        <v>58.71</v>
      </c>
      <c r="CI17" s="9" t="n">
        <v>93.40000000000001</v>
      </c>
      <c r="CJ17" s="9" t="n">
        <v>154.5</v>
      </c>
      <c r="CK17" s="9" t="n">
        <v>135.62</v>
      </c>
      <c r="CL17" s="9" t="n">
        <v>87.78</v>
      </c>
      <c r="CM17" s="9" t="n">
        <v>53.38</v>
      </c>
      <c r="CN17" s="9" t="n">
        <v>28.53</v>
      </c>
      <c r="CO17" s="9" t="n">
        <v>53.44</v>
      </c>
      <c r="CP17" s="9" t="n">
        <v>52.53</v>
      </c>
      <c r="CQ17" s="9" t="n">
        <v>32.5</v>
      </c>
      <c r="CR17" s="9" t="n">
        <v>61.87</v>
      </c>
      <c r="CS17" s="9" t="n">
        <v>74.62</v>
      </c>
      <c r="CT17" s="9" t="n">
        <v>52.24</v>
      </c>
      <c r="CU17" s="9" t="n">
        <v>70</v>
      </c>
      <c r="CV17" s="9" t="n">
        <v>3.35</v>
      </c>
      <c r="CW17" s="9" t="n">
        <v>1.24</v>
      </c>
      <c r="CX17" s="9" t="n">
        <v>36.84</v>
      </c>
      <c r="CY17" s="9" t="n">
        <v>20.09</v>
      </c>
      <c r="CZ17" s="9" t="n">
        <v>17.5</v>
      </c>
      <c r="DA17" s="9" t="n">
        <v>87.12</v>
      </c>
      <c r="DB17" s="9" t="n">
        <v>10.59</v>
      </c>
      <c r="DC17" s="9" t="n">
        <v>16.99</v>
      </c>
      <c r="DD17" s="9" t="n">
        <v>3.85</v>
      </c>
      <c r="DE17" s="9" t="n">
        <v>13.18</v>
      </c>
      <c r="DF17" s="9" t="n">
        <v>18.46</v>
      </c>
      <c r="DG17" s="9" t="n">
        <v>20.5</v>
      </c>
      <c r="DH17" s="9" t="n">
        <v>11.99</v>
      </c>
      <c r="DI17" s="9" t="n">
        <v>1.71</v>
      </c>
      <c r="DJ17" s="9" t="n">
        <v>1.73</v>
      </c>
      <c r="DK17" s="9" t="n">
        <v>13.12</v>
      </c>
      <c r="DL17" s="9" t="n">
        <v>5.15</v>
      </c>
      <c r="DM17" s="9" t="n">
        <v>39.24</v>
      </c>
      <c r="DN17" s="9" t="n">
        <v>418.91</v>
      </c>
      <c r="DO17" s="9" t="n">
        <v>343.53</v>
      </c>
      <c r="DP17" s="9" t="n">
        <v>82.01000000000001</v>
      </c>
      <c r="DQ17" s="9" t="n">
        <v>50.51</v>
      </c>
      <c r="DR17" s="9" t="n">
        <v>106.15</v>
      </c>
      <c r="DS17" s="9" t="n">
        <v>14.68</v>
      </c>
      <c r="DT17" s="9" t="n">
        <v>37.21</v>
      </c>
      <c r="DU17" s="9" t="n">
        <v>54.26</v>
      </c>
      <c r="DV17" s="9" t="n">
        <v>83.65000000000001</v>
      </c>
      <c r="DW17" s="9" t="n">
        <v>35.38</v>
      </c>
      <c r="DX17" s="9" t="n">
        <v>35.21</v>
      </c>
      <c r="DY17" s="9" t="n">
        <v>13.06</v>
      </c>
      <c r="DZ17" s="9" t="n">
        <v>196.59</v>
      </c>
      <c r="EA17" s="9" t="n">
        <v>92.31999999999999</v>
      </c>
      <c r="EB17" s="9" t="n">
        <v>46.96</v>
      </c>
      <c r="EC17" s="9" t="n">
        <v>4.47</v>
      </c>
      <c r="ED17" s="9" t="n">
        <v>1.35</v>
      </c>
      <c r="EE17" s="9" t="n">
        <v>30.26</v>
      </c>
      <c r="EF17" s="9" t="n">
        <v>32.88</v>
      </c>
      <c r="EG17" s="9" t="n">
        <v>7.91</v>
      </c>
      <c r="EH17" s="9" t="n">
        <v>24.06</v>
      </c>
      <c r="EI17" s="9" t="n">
        <v>1.5</v>
      </c>
      <c r="EJ17" s="9" t="n">
        <v>0.53</v>
      </c>
      <c r="EK17" s="9" t="n">
        <v>35.29</v>
      </c>
      <c r="EL17" s="9" t="n">
        <v>26.94</v>
      </c>
      <c r="EM17" s="9" t="n">
        <v>3.85</v>
      </c>
      <c r="EN17" s="9" t="n">
        <v>14.3</v>
      </c>
      <c r="EO17" s="9" t="n">
        <v>5.68</v>
      </c>
      <c r="EP17" s="9" t="n">
        <v>1.76</v>
      </c>
      <c r="EQ17" s="9" t="n">
        <v>31.09</v>
      </c>
      <c r="ER17" s="9" t="n">
        <v>3.03</v>
      </c>
      <c r="ES17" s="9" t="n">
        <v>0.76</v>
      </c>
      <c r="ET17" s="9" t="n">
        <v>25.24</v>
      </c>
      <c r="EU17" s="9" t="n">
        <v>0.21</v>
      </c>
      <c r="EV17" s="9" t="n">
        <v>0.18</v>
      </c>
      <c r="EW17" s="9" t="n">
        <v>85.70999999999999</v>
      </c>
      <c r="EX17" s="9" t="n">
        <v>15.74</v>
      </c>
      <c r="EY17" s="9" t="n">
        <v>5.38</v>
      </c>
      <c r="EZ17" s="9" t="n">
        <v>34.21</v>
      </c>
      <c r="FA17" s="9" t="n">
        <v>5.41</v>
      </c>
      <c r="FB17" s="9" t="n">
        <v>8.529999999999999</v>
      </c>
      <c r="FC17" s="9" t="n">
        <v>26.29</v>
      </c>
      <c r="FD17" s="9" t="n">
        <v>4.59</v>
      </c>
      <c r="FE17" s="9" t="n">
        <v>8.24</v>
      </c>
      <c r="FF17" s="9" t="n">
        <v>21.26</v>
      </c>
      <c r="FG17" s="9" t="n">
        <v>67</v>
      </c>
      <c r="FH17" s="9" t="n">
        <v>26.79</v>
      </c>
      <c r="FI17" s="9" t="n">
        <v>39.99</v>
      </c>
      <c r="FJ17" s="9" t="n">
        <v>1.97</v>
      </c>
      <c r="FK17" s="9" t="n">
        <v>1.41</v>
      </c>
      <c r="FL17" s="9" t="n">
        <v>11.85</v>
      </c>
      <c r="FM17" s="9" t="n">
        <v>4.53</v>
      </c>
      <c r="FN17" s="9" t="n">
        <v>38.21</v>
      </c>
      <c r="FO17" s="9" t="n">
        <v>60.85</v>
      </c>
      <c r="FP17" s="9" t="n">
        <v>36.21</v>
      </c>
      <c r="FQ17" s="9" t="n">
        <v>59.5</v>
      </c>
      <c r="FR17" s="9" t="n">
        <v>37.09</v>
      </c>
      <c r="FS17" s="9" t="n">
        <v>16.47</v>
      </c>
      <c r="FT17" s="9" t="n">
        <v>44.41</v>
      </c>
      <c r="FU17" s="9" t="n">
        <v>3.29</v>
      </c>
      <c r="FV17" s="9" t="n">
        <v>1.47</v>
      </c>
      <c r="FW17" s="9" t="n">
        <v>44.64</v>
      </c>
      <c r="FX17" s="9" t="n">
        <v>40.68</v>
      </c>
      <c r="FY17" s="9" t="n">
        <v>12.26</v>
      </c>
      <c r="FZ17" s="9" t="n">
        <v>13.15</v>
      </c>
      <c r="GA17" s="9" t="n">
        <v>2.03</v>
      </c>
      <c r="GB17" s="9" t="n">
        <v>0.15</v>
      </c>
      <c r="GC17" s="9" t="n">
        <v>148.82</v>
      </c>
      <c r="GD17" s="9" t="n">
        <v>106.24</v>
      </c>
      <c r="GE17" s="9" t="n">
        <v>71.38</v>
      </c>
      <c r="GF17" s="9" t="n">
        <v>61.06</v>
      </c>
      <c r="GG17" s="9" t="n">
        <v>56.68</v>
      </c>
      <c r="GH17" s="9" t="n">
        <v>92.81999999999999</v>
      </c>
      <c r="GI17" s="9" t="n">
        <v>153</v>
      </c>
      <c r="GJ17" s="9" t="n">
        <v>135.38</v>
      </c>
      <c r="GK17" s="9" t="n">
        <v>88.48999999999999</v>
      </c>
      <c r="GL17" s="9" t="n">
        <v>48.74</v>
      </c>
      <c r="GM17" s="9" t="n">
        <v>24.47</v>
      </c>
      <c r="GN17" s="9" t="n">
        <v>50.21</v>
      </c>
      <c r="GO17" s="9" t="n">
        <v>57.35</v>
      </c>
      <c r="GP17" s="9" t="n">
        <v>36.32</v>
      </c>
      <c r="GQ17" s="9" t="n">
        <v>63.33</v>
      </c>
      <c r="GR17" s="9" t="n">
        <v>73.15000000000001</v>
      </c>
      <c r="GS17" s="9" t="n">
        <v>55.5</v>
      </c>
      <c r="GT17" s="9" t="n">
        <v>75.87</v>
      </c>
      <c r="GU17" s="9" t="n">
        <v>4.59</v>
      </c>
      <c r="GV17" s="9" t="n">
        <v>1.91</v>
      </c>
      <c r="GW17" s="9" t="n">
        <v>41.67</v>
      </c>
      <c r="GX17" s="9" t="n">
        <v>22.29</v>
      </c>
      <c r="GY17" s="9" t="n">
        <v>19.79</v>
      </c>
      <c r="GZ17" s="9" t="n">
        <v>88.79000000000001</v>
      </c>
      <c r="HA17" s="9" t="n">
        <v>8.56</v>
      </c>
      <c r="HB17" s="9" t="n">
        <v>16.8</v>
      </c>
      <c r="HC17" s="9" t="n">
        <v>3.86</v>
      </c>
      <c r="HD17" s="9" t="n">
        <v>12.35</v>
      </c>
      <c r="HE17" s="9" t="n">
        <v>16.9</v>
      </c>
      <c r="HF17" s="9" t="n">
        <v>20.65</v>
      </c>
      <c r="HG17" s="9" t="n">
        <v>10.9</v>
      </c>
    </row>
    <row r="18">
      <c r="A18" s="12" t="n">
        <v>2022</v>
      </c>
      <c r="B18" s="12" t="n">
        <v>45</v>
      </c>
      <c r="C18" s="5">
        <f>(B18-AVERAGE($B$2:$B$100))/_xlfn.STDEV.P($B$2:$B$100)</f>
        <v/>
      </c>
      <c r="D18" s="12" t="n">
        <v>9</v>
      </c>
      <c r="E18" s="6">
        <f>-D18</f>
        <v/>
      </c>
      <c r="F18" s="7">
        <f>(E18-AVERAGE($E$2:$E$100))/_xlfn.STDEV.P($E$2:$E$100)</f>
        <v/>
      </c>
      <c r="G18" s="7">
        <f>sum(0.5*C18)+(0.5*F18)</f>
        <v/>
      </c>
      <c r="H18" s="12" t="inlineStr">
        <is>
          <t>West</t>
        </is>
      </c>
      <c r="I18" s="8" t="inlineStr">
        <is>
          <t>Las Vegas Lights</t>
        </is>
      </c>
      <c r="J18" s="9" t="n">
        <v>1.18</v>
      </c>
      <c r="K18" s="9" t="n">
        <v>1.02</v>
      </c>
      <c r="L18" s="9" t="n">
        <v>9</v>
      </c>
      <c r="M18" s="9" t="n">
        <v>3.42</v>
      </c>
      <c r="N18" s="9" t="n">
        <v>38.05</v>
      </c>
      <c r="O18" s="9" t="n">
        <v>398.73</v>
      </c>
      <c r="P18" s="9" t="n">
        <v>328.21</v>
      </c>
      <c r="Q18" s="9" t="n">
        <v>82.31</v>
      </c>
      <c r="R18" s="9" t="n">
        <v>47.35</v>
      </c>
      <c r="S18" s="9" t="n">
        <v>102.91</v>
      </c>
      <c r="T18" s="9" t="n">
        <v>24.42</v>
      </c>
      <c r="U18" s="9" t="n">
        <v>40.24</v>
      </c>
      <c r="V18" s="9" t="n">
        <v>38.24</v>
      </c>
      <c r="W18" s="9" t="n">
        <v>74.88</v>
      </c>
      <c r="X18" s="9" t="n">
        <v>41</v>
      </c>
      <c r="Y18" s="9" t="n">
        <v>25.67</v>
      </c>
      <c r="Z18" s="9" t="n">
        <v>8.210000000000001</v>
      </c>
      <c r="AA18" s="9" t="n">
        <v>192.58</v>
      </c>
      <c r="AB18" s="9" t="n">
        <v>94.15000000000001</v>
      </c>
      <c r="AC18" s="9" t="n">
        <v>48.89</v>
      </c>
      <c r="AD18" s="9" t="n">
        <v>3.94</v>
      </c>
      <c r="AE18" s="9" t="n">
        <v>1.21</v>
      </c>
      <c r="AF18" s="9" t="n">
        <v>30.77</v>
      </c>
      <c r="AG18" s="9" t="n">
        <v>22.45</v>
      </c>
      <c r="AH18" s="9" t="n">
        <v>4.82</v>
      </c>
      <c r="AI18" s="9" t="n">
        <v>21.46</v>
      </c>
      <c r="AJ18" s="9" t="n">
        <v>1.67</v>
      </c>
      <c r="AK18" s="9" t="n">
        <v>0.88</v>
      </c>
      <c r="AL18" s="9" t="n">
        <v>52.73</v>
      </c>
      <c r="AM18" s="9" t="n">
        <v>27.36</v>
      </c>
      <c r="AN18" s="9" t="n">
        <v>3</v>
      </c>
      <c r="AO18" s="9" t="n">
        <v>10.96</v>
      </c>
      <c r="AP18" s="9" t="n">
        <v>4.03</v>
      </c>
      <c r="AQ18" s="9" t="n">
        <v>1.15</v>
      </c>
      <c r="AR18" s="9" t="n">
        <v>28.57</v>
      </c>
      <c r="AS18" s="9" t="n">
        <v>1.67</v>
      </c>
      <c r="AT18" s="9" t="n">
        <v>0.45</v>
      </c>
      <c r="AU18" s="9" t="n">
        <v>27.27</v>
      </c>
      <c r="AV18" s="9" t="n">
        <v>0.03</v>
      </c>
      <c r="AW18" s="9" t="n">
        <v>0.03</v>
      </c>
      <c r="AX18" s="9" t="n">
        <v>100</v>
      </c>
      <c r="AY18" s="9" t="n">
        <v>9.15</v>
      </c>
      <c r="AZ18" s="9" t="n">
        <v>2.27</v>
      </c>
      <c r="BA18" s="9" t="n">
        <v>24.83</v>
      </c>
      <c r="BB18" s="9" t="n">
        <v>2.3</v>
      </c>
      <c r="BC18" s="9" t="n">
        <v>5.03</v>
      </c>
      <c r="BD18" s="9" t="n">
        <v>18.21</v>
      </c>
      <c r="BE18" s="9" t="n">
        <v>4.15</v>
      </c>
      <c r="BF18" s="9" t="n">
        <v>5.09</v>
      </c>
      <c r="BG18" s="9" t="n">
        <v>12.39</v>
      </c>
      <c r="BH18" s="9" t="n">
        <v>69.09</v>
      </c>
      <c r="BI18" s="9" t="n">
        <v>28.33</v>
      </c>
      <c r="BJ18" s="9" t="n">
        <v>41.01</v>
      </c>
      <c r="BK18" s="9" t="n">
        <v>2.21</v>
      </c>
      <c r="BL18" s="9" t="n">
        <v>1.48</v>
      </c>
      <c r="BM18" s="9" t="n">
        <v>13.82</v>
      </c>
      <c r="BN18" s="9" t="n">
        <v>4.73</v>
      </c>
      <c r="BO18" s="9" t="n">
        <v>34.21</v>
      </c>
      <c r="BP18" s="9" t="n">
        <v>68.20999999999999</v>
      </c>
      <c r="BQ18" s="9" t="n">
        <v>42.12</v>
      </c>
      <c r="BR18" s="9" t="n">
        <v>61.75</v>
      </c>
      <c r="BS18" s="9" t="n">
        <v>29.52</v>
      </c>
      <c r="BT18" s="9" t="n">
        <v>12.33</v>
      </c>
      <c r="BU18" s="9" t="n">
        <v>41.79</v>
      </c>
      <c r="BV18" s="9" t="n">
        <v>4.55</v>
      </c>
      <c r="BW18" s="9" t="n">
        <v>2.52</v>
      </c>
      <c r="BX18" s="9" t="n">
        <v>55.33</v>
      </c>
      <c r="BY18" s="9" t="n">
        <v>42.45</v>
      </c>
      <c r="BZ18" s="9" t="n">
        <v>18.76</v>
      </c>
      <c r="CA18" s="9" t="n">
        <v>10.18</v>
      </c>
      <c r="CB18" s="9" t="n">
        <v>2.15</v>
      </c>
      <c r="CC18" s="9" t="n">
        <v>0.09</v>
      </c>
      <c r="CD18" s="9" t="n">
        <v>133.48</v>
      </c>
      <c r="CE18" s="9" t="n">
        <v>93.09</v>
      </c>
      <c r="CF18" s="9" t="n">
        <v>69.73999999999999</v>
      </c>
      <c r="CG18" s="9" t="n">
        <v>61.58</v>
      </c>
      <c r="CH18" s="9" t="n">
        <v>57.33</v>
      </c>
      <c r="CI18" s="9" t="n">
        <v>93.11</v>
      </c>
      <c r="CJ18" s="9" t="n">
        <v>146.76</v>
      </c>
      <c r="CK18" s="9" t="n">
        <v>130.39</v>
      </c>
      <c r="CL18" s="9" t="n">
        <v>88.84999999999999</v>
      </c>
      <c r="CM18" s="9" t="n">
        <v>45.09</v>
      </c>
      <c r="CN18" s="9" t="n">
        <v>21.61</v>
      </c>
      <c r="CO18" s="9" t="n">
        <v>47.92</v>
      </c>
      <c r="CP18" s="9" t="n">
        <v>45.39</v>
      </c>
      <c r="CQ18" s="9" t="n">
        <v>27.64</v>
      </c>
      <c r="CR18" s="9" t="n">
        <v>60.88</v>
      </c>
      <c r="CS18" s="9" t="n">
        <v>66.27</v>
      </c>
      <c r="CT18" s="9" t="n">
        <v>42.58</v>
      </c>
      <c r="CU18" s="9" t="n">
        <v>64.23999999999999</v>
      </c>
      <c r="CV18" s="9" t="n">
        <v>3.76</v>
      </c>
      <c r="CW18" s="9" t="n">
        <v>1.24</v>
      </c>
      <c r="CX18" s="9" t="n">
        <v>33.06</v>
      </c>
      <c r="CY18" s="9" t="n">
        <v>23.3</v>
      </c>
      <c r="CZ18" s="9" t="n">
        <v>20.09</v>
      </c>
      <c r="DA18" s="9" t="n">
        <v>86.22</v>
      </c>
      <c r="DB18" s="9" t="n">
        <v>11.55</v>
      </c>
      <c r="DC18" s="9" t="n">
        <v>16.13</v>
      </c>
      <c r="DD18" s="9" t="n">
        <v>3.66</v>
      </c>
      <c r="DE18" s="9" t="n">
        <v>11.75</v>
      </c>
      <c r="DF18" s="9" t="n">
        <v>19.4</v>
      </c>
      <c r="DG18" s="9" t="n">
        <v>20.29</v>
      </c>
      <c r="DH18" s="9" t="n">
        <v>18.16</v>
      </c>
      <c r="DI18" s="9" t="n">
        <v>1.48</v>
      </c>
      <c r="DJ18" s="9" t="n">
        <v>1.62</v>
      </c>
      <c r="DK18" s="9" t="n">
        <v>13.82</v>
      </c>
      <c r="DL18" s="9" t="n">
        <v>4.42</v>
      </c>
      <c r="DM18" s="9" t="n">
        <v>32.02</v>
      </c>
      <c r="DN18" s="9" t="n">
        <v>462.48</v>
      </c>
      <c r="DO18" s="9" t="n">
        <v>387.94</v>
      </c>
      <c r="DP18" s="9" t="n">
        <v>83.88</v>
      </c>
      <c r="DQ18" s="9" t="n">
        <v>52.65</v>
      </c>
      <c r="DR18" s="9" t="n">
        <v>99.58</v>
      </c>
      <c r="DS18" s="9" t="n">
        <v>13.27</v>
      </c>
      <c r="DT18" s="9" t="n">
        <v>29.48</v>
      </c>
      <c r="DU18" s="9" t="n">
        <v>56.82</v>
      </c>
      <c r="DV18" s="9" t="n">
        <v>79.52</v>
      </c>
      <c r="DW18" s="9" t="n">
        <v>29.82</v>
      </c>
      <c r="DX18" s="9" t="n">
        <v>35.27</v>
      </c>
      <c r="DY18" s="9" t="n">
        <v>14.42</v>
      </c>
      <c r="DZ18" s="9" t="n">
        <v>192.58</v>
      </c>
      <c r="EA18" s="9" t="n">
        <v>92.33</v>
      </c>
      <c r="EB18" s="9" t="n">
        <v>47.95</v>
      </c>
      <c r="EC18" s="9" t="n">
        <v>5.15</v>
      </c>
      <c r="ED18" s="9" t="n">
        <v>1.24</v>
      </c>
      <c r="EE18" s="9" t="n">
        <v>24.12</v>
      </c>
      <c r="EF18" s="9" t="n">
        <v>37.45</v>
      </c>
      <c r="EG18" s="9" t="n">
        <v>8.609999999999999</v>
      </c>
      <c r="EH18" s="9" t="n">
        <v>22.98</v>
      </c>
      <c r="EI18" s="9" t="n">
        <v>0.91</v>
      </c>
      <c r="EJ18" s="9" t="n">
        <v>0.3</v>
      </c>
      <c r="EK18" s="9" t="n">
        <v>33.33</v>
      </c>
      <c r="EL18" s="9" t="n">
        <v>25.33</v>
      </c>
      <c r="EM18" s="9" t="n">
        <v>4.24</v>
      </c>
      <c r="EN18" s="9" t="n">
        <v>16.75</v>
      </c>
      <c r="EO18" s="9" t="n">
        <v>7.21</v>
      </c>
      <c r="EP18" s="9" t="n">
        <v>2.09</v>
      </c>
      <c r="EQ18" s="9" t="n">
        <v>28.99</v>
      </c>
      <c r="ER18" s="9" t="n">
        <v>2.48</v>
      </c>
      <c r="ES18" s="9" t="n">
        <v>0.76</v>
      </c>
      <c r="ET18" s="9" t="n">
        <v>30.49</v>
      </c>
      <c r="EU18" s="9" t="n">
        <v>0.09</v>
      </c>
      <c r="EV18" s="9" t="n">
        <v>0.06</v>
      </c>
      <c r="EW18" s="9" t="n">
        <v>66.67</v>
      </c>
      <c r="EX18" s="9" t="n">
        <v>19.33</v>
      </c>
      <c r="EY18" s="9" t="n">
        <v>6.27</v>
      </c>
      <c r="EZ18" s="9" t="n">
        <v>32.45</v>
      </c>
      <c r="FA18" s="9" t="n">
        <v>6.06</v>
      </c>
      <c r="FB18" s="9" t="n">
        <v>8.52</v>
      </c>
      <c r="FC18" s="9" t="n">
        <v>29.91</v>
      </c>
      <c r="FD18" s="9" t="n">
        <v>4.58</v>
      </c>
      <c r="FE18" s="9" t="n">
        <v>11.42</v>
      </c>
      <c r="FF18" s="9" t="n">
        <v>21.73</v>
      </c>
      <c r="FG18" s="9" t="n">
        <v>68.23999999999999</v>
      </c>
      <c r="FH18" s="9" t="n">
        <v>26.09</v>
      </c>
      <c r="FI18" s="9" t="n">
        <v>38.23</v>
      </c>
      <c r="FJ18" s="9" t="n">
        <v>1.18</v>
      </c>
      <c r="FK18" s="9" t="n">
        <v>1.18</v>
      </c>
      <c r="FL18" s="9" t="n">
        <v>9</v>
      </c>
      <c r="FM18" s="9" t="n">
        <v>3.67</v>
      </c>
      <c r="FN18" s="9" t="n">
        <v>40.74</v>
      </c>
      <c r="FO18" s="9" t="n">
        <v>69.06</v>
      </c>
      <c r="FP18" s="9" t="n">
        <v>40.73</v>
      </c>
      <c r="FQ18" s="9" t="n">
        <v>58.97</v>
      </c>
      <c r="FR18" s="9" t="n">
        <v>29.52</v>
      </c>
      <c r="FS18" s="9" t="n">
        <v>15.36</v>
      </c>
      <c r="FT18" s="9" t="n">
        <v>52.05</v>
      </c>
      <c r="FU18" s="9" t="n">
        <v>4.36</v>
      </c>
      <c r="FV18" s="9" t="n">
        <v>2.39</v>
      </c>
      <c r="FW18" s="9" t="n">
        <v>54.86</v>
      </c>
      <c r="FX18" s="9" t="n">
        <v>33.18</v>
      </c>
      <c r="FY18" s="9" t="n">
        <v>11.42</v>
      </c>
      <c r="FZ18" s="9" t="n">
        <v>12.39</v>
      </c>
      <c r="GA18" s="9" t="n">
        <v>2.12</v>
      </c>
      <c r="GB18" s="9" t="n">
        <v>0.09</v>
      </c>
      <c r="GC18" s="9" t="n">
        <v>154.33</v>
      </c>
      <c r="GD18" s="9" t="n">
        <v>116.42</v>
      </c>
      <c r="GE18" s="9" t="n">
        <v>75.44</v>
      </c>
      <c r="GF18" s="9" t="n">
        <v>70</v>
      </c>
      <c r="GG18" s="9" t="n">
        <v>65.45</v>
      </c>
      <c r="GH18" s="9" t="n">
        <v>93.51000000000001</v>
      </c>
      <c r="GI18" s="9" t="n">
        <v>176.88</v>
      </c>
      <c r="GJ18" s="9" t="n">
        <v>156.73</v>
      </c>
      <c r="GK18" s="9" t="n">
        <v>88.61</v>
      </c>
      <c r="GL18" s="9" t="n">
        <v>44.94</v>
      </c>
      <c r="GM18" s="9" t="n">
        <v>24.3</v>
      </c>
      <c r="GN18" s="9" t="n">
        <v>54.08</v>
      </c>
      <c r="GO18" s="9" t="n">
        <v>64.20999999999999</v>
      </c>
      <c r="GP18" s="9" t="n">
        <v>45.82</v>
      </c>
      <c r="GQ18" s="9" t="n">
        <v>71.34999999999999</v>
      </c>
      <c r="GR18" s="9" t="n">
        <v>81.03</v>
      </c>
      <c r="GS18" s="9" t="n">
        <v>65.3</v>
      </c>
      <c r="GT18" s="9" t="n">
        <v>80.59</v>
      </c>
      <c r="GU18" s="9" t="n">
        <v>4.27</v>
      </c>
      <c r="GV18" s="9" t="n">
        <v>1.73</v>
      </c>
      <c r="GW18" s="9" t="n">
        <v>40.43</v>
      </c>
      <c r="GX18" s="9" t="n">
        <v>25.48</v>
      </c>
      <c r="GY18" s="9" t="n">
        <v>23.42</v>
      </c>
      <c r="GZ18" s="9" t="n">
        <v>91.91</v>
      </c>
      <c r="HA18" s="9" t="n">
        <v>6.79</v>
      </c>
      <c r="HB18" s="9" t="n">
        <v>16.63</v>
      </c>
      <c r="HC18" s="9" t="n">
        <v>4.18</v>
      </c>
      <c r="HD18" s="9" t="n">
        <v>10.42</v>
      </c>
      <c r="HE18" s="9" t="n">
        <v>18.05</v>
      </c>
      <c r="HF18" s="9" t="n">
        <v>20.43</v>
      </c>
      <c r="HG18" s="9" t="n">
        <v>10.16</v>
      </c>
    </row>
    <row r="19">
      <c r="A19" s="12" t="n">
        <v>2022</v>
      </c>
      <c r="B19" s="12" t="n">
        <v>41</v>
      </c>
      <c r="C19" s="5">
        <f>(B19-AVERAGE($B$2:$B$100))/_xlfn.STDEV.P($B$2:$B$100)</f>
        <v/>
      </c>
      <c r="D19" s="12" t="n">
        <v>9</v>
      </c>
      <c r="E19" s="6">
        <f>-D19</f>
        <v/>
      </c>
      <c r="F19" s="7">
        <f>(E19-AVERAGE($E$2:$E$100))/_xlfn.STDEV.P($E$2:$E$100)</f>
        <v/>
      </c>
      <c r="G19" s="7">
        <f>sum(0.5*C19)+(0.5*F19)</f>
        <v/>
      </c>
      <c r="H19" s="12" t="inlineStr">
        <is>
          <t>East</t>
        </is>
      </c>
      <c r="I19" s="8" t="inlineStr">
        <is>
          <t>Indy Eleven</t>
        </is>
      </c>
      <c r="J19" s="9" t="n">
        <v>1.21</v>
      </c>
      <c r="K19" s="9" t="n">
        <v>1.06</v>
      </c>
      <c r="L19" s="9" t="n">
        <v>8.94</v>
      </c>
      <c r="M19" s="9" t="n">
        <v>3.79</v>
      </c>
      <c r="N19" s="9" t="n">
        <v>42.43</v>
      </c>
      <c r="O19" s="9" t="n">
        <v>386.53</v>
      </c>
      <c r="P19" s="9" t="n">
        <v>317.5</v>
      </c>
      <c r="Q19" s="9" t="n">
        <v>82.14</v>
      </c>
      <c r="R19" s="9" t="n">
        <v>46.6</v>
      </c>
      <c r="S19" s="9" t="n">
        <v>106.21</v>
      </c>
      <c r="T19" s="9" t="n">
        <v>20.26</v>
      </c>
      <c r="U19" s="9" t="n">
        <v>40.91</v>
      </c>
      <c r="V19" s="9" t="n">
        <v>45.03</v>
      </c>
      <c r="W19" s="9" t="n">
        <v>81.41</v>
      </c>
      <c r="X19" s="9" t="n">
        <v>39.09</v>
      </c>
      <c r="Y19" s="9" t="n">
        <v>30.94</v>
      </c>
      <c r="Z19" s="9" t="n">
        <v>11.38</v>
      </c>
      <c r="AA19" s="9" t="n">
        <v>199.79</v>
      </c>
      <c r="AB19" s="9" t="n">
        <v>90.5</v>
      </c>
      <c r="AC19" s="9" t="n">
        <v>45.3</v>
      </c>
      <c r="AD19" s="9" t="n">
        <v>3.32</v>
      </c>
      <c r="AE19" s="9" t="n">
        <v>1.09</v>
      </c>
      <c r="AF19" s="9" t="n">
        <v>32.74</v>
      </c>
      <c r="AG19" s="9" t="n">
        <v>25.65</v>
      </c>
      <c r="AH19" s="9" t="n">
        <v>5.74</v>
      </c>
      <c r="AI19" s="9" t="n">
        <v>22.36</v>
      </c>
      <c r="AJ19" s="9" t="n">
        <v>1</v>
      </c>
      <c r="AK19" s="9" t="n">
        <v>0.35</v>
      </c>
      <c r="AL19" s="9" t="n">
        <v>35.29</v>
      </c>
      <c r="AM19" s="9" t="n">
        <v>27.56</v>
      </c>
      <c r="AN19" s="9" t="n">
        <v>2.32</v>
      </c>
      <c r="AO19" s="9" t="n">
        <v>8.43</v>
      </c>
      <c r="AP19" s="9" t="n">
        <v>3.68</v>
      </c>
      <c r="AQ19" s="9" t="n">
        <v>1.26</v>
      </c>
      <c r="AR19" s="9" t="n">
        <v>34.4</v>
      </c>
      <c r="AS19" s="9" t="n">
        <v>2.29</v>
      </c>
      <c r="AT19" s="9" t="n">
        <v>0.41</v>
      </c>
      <c r="AU19" s="9" t="n">
        <v>17.95</v>
      </c>
      <c r="AV19" s="9" t="n">
        <v>0.12</v>
      </c>
      <c r="AW19" s="9" t="n">
        <v>0.12</v>
      </c>
      <c r="AX19" s="9" t="n">
        <v>100</v>
      </c>
      <c r="AY19" s="9" t="n">
        <v>11</v>
      </c>
      <c r="AZ19" s="9" t="n">
        <v>4.15</v>
      </c>
      <c r="BA19" s="9" t="n">
        <v>37.7</v>
      </c>
      <c r="BB19" s="9" t="n">
        <v>4.29</v>
      </c>
      <c r="BC19" s="9" t="n">
        <v>5.62</v>
      </c>
      <c r="BD19" s="9" t="n">
        <v>18.97</v>
      </c>
      <c r="BE19" s="9" t="n">
        <v>2.74</v>
      </c>
      <c r="BF19" s="9" t="n">
        <v>7.29</v>
      </c>
      <c r="BG19" s="9" t="n">
        <v>12.85</v>
      </c>
      <c r="BH19" s="9" t="n">
        <v>67.03</v>
      </c>
      <c r="BI19" s="9" t="n">
        <v>25.18</v>
      </c>
      <c r="BJ19" s="9" t="n">
        <v>37.56</v>
      </c>
      <c r="BK19" s="9" t="n">
        <v>1.26</v>
      </c>
      <c r="BL19" s="9" t="n">
        <v>1.62</v>
      </c>
      <c r="BM19" s="9" t="n">
        <v>11.76</v>
      </c>
      <c r="BN19" s="9" t="n">
        <v>4.85</v>
      </c>
      <c r="BO19" s="9" t="n">
        <v>41.25</v>
      </c>
      <c r="BP19" s="9" t="n">
        <v>62.71</v>
      </c>
      <c r="BQ19" s="9" t="n">
        <v>35.53</v>
      </c>
      <c r="BR19" s="9" t="n">
        <v>56.66</v>
      </c>
      <c r="BS19" s="9" t="n">
        <v>38.56</v>
      </c>
      <c r="BT19" s="9" t="n">
        <v>17.32</v>
      </c>
      <c r="BU19" s="9" t="n">
        <v>44.93</v>
      </c>
      <c r="BV19" s="9" t="n">
        <v>3.15</v>
      </c>
      <c r="BW19" s="9" t="n">
        <v>1</v>
      </c>
      <c r="BX19" s="9" t="n">
        <v>31.78</v>
      </c>
      <c r="BY19" s="9" t="n">
        <v>40.35</v>
      </c>
      <c r="BZ19" s="9" t="n">
        <v>14</v>
      </c>
      <c r="CA19" s="9" t="n">
        <v>13.91</v>
      </c>
      <c r="CB19" s="9" t="n">
        <v>2.76</v>
      </c>
      <c r="CC19" s="9" t="n">
        <v>0.12</v>
      </c>
      <c r="CD19" s="9" t="n">
        <v>136.03</v>
      </c>
      <c r="CE19" s="9" t="n">
        <v>96.81999999999999</v>
      </c>
      <c r="CF19" s="9" t="n">
        <v>71.18000000000001</v>
      </c>
      <c r="CG19" s="9" t="n">
        <v>59.18</v>
      </c>
      <c r="CH19" s="9" t="n">
        <v>54.88</v>
      </c>
      <c r="CI19" s="9" t="n">
        <v>92.73999999999999</v>
      </c>
      <c r="CJ19" s="9" t="n">
        <v>138.06</v>
      </c>
      <c r="CK19" s="9" t="n">
        <v>122.53</v>
      </c>
      <c r="CL19" s="9" t="n">
        <v>88.75</v>
      </c>
      <c r="CM19" s="9" t="n">
        <v>49.56</v>
      </c>
      <c r="CN19" s="9" t="n">
        <v>27.24</v>
      </c>
      <c r="CO19" s="9" t="n">
        <v>54.96</v>
      </c>
      <c r="CP19" s="9" t="n">
        <v>46</v>
      </c>
      <c r="CQ19" s="9" t="n">
        <v>29.68</v>
      </c>
      <c r="CR19" s="9" t="n">
        <v>64.51000000000001</v>
      </c>
      <c r="CS19" s="9" t="n">
        <v>68.03</v>
      </c>
      <c r="CT19" s="9" t="n">
        <v>46.47</v>
      </c>
      <c r="CU19" s="9" t="n">
        <v>68.31</v>
      </c>
      <c r="CV19" s="9" t="n">
        <v>2.97</v>
      </c>
      <c r="CW19" s="9" t="n">
        <v>1.38</v>
      </c>
      <c r="CX19" s="9" t="n">
        <v>46.53</v>
      </c>
      <c r="CY19" s="9" t="n">
        <v>22.35</v>
      </c>
      <c r="CZ19" s="9" t="n">
        <v>19.68</v>
      </c>
      <c r="DA19" s="9" t="n">
        <v>88.03</v>
      </c>
      <c r="DB19" s="9" t="n">
        <v>8.970000000000001</v>
      </c>
      <c r="DC19" s="9" t="n">
        <v>16.89</v>
      </c>
      <c r="DD19" s="9" t="n">
        <v>3.68</v>
      </c>
      <c r="DE19" s="9" t="n">
        <v>13.15</v>
      </c>
      <c r="DF19" s="9" t="n">
        <v>18.08</v>
      </c>
      <c r="DG19" s="9" t="n">
        <v>19.98</v>
      </c>
      <c r="DH19" s="9" t="n">
        <v>11.97</v>
      </c>
      <c r="DI19" s="9" t="n">
        <v>1.62</v>
      </c>
      <c r="DJ19" s="9" t="n">
        <v>1.57</v>
      </c>
      <c r="DK19" s="9" t="n">
        <v>11.76</v>
      </c>
      <c r="DL19" s="9" t="n">
        <v>4.65</v>
      </c>
      <c r="DM19" s="9" t="n">
        <v>39.5</v>
      </c>
      <c r="DN19" s="9" t="n">
        <v>439.18</v>
      </c>
      <c r="DO19" s="9" t="n">
        <v>364.65</v>
      </c>
      <c r="DP19" s="9" t="n">
        <v>83.03</v>
      </c>
      <c r="DQ19" s="9" t="n">
        <v>53.4</v>
      </c>
      <c r="DR19" s="9" t="n">
        <v>104.15</v>
      </c>
      <c r="DS19" s="9" t="n">
        <v>17.71</v>
      </c>
      <c r="DT19" s="9" t="n">
        <v>36.53</v>
      </c>
      <c r="DU19" s="9" t="n">
        <v>49.91</v>
      </c>
      <c r="DV19" s="9" t="n">
        <v>84.06</v>
      </c>
      <c r="DW19" s="9" t="n">
        <v>35.09</v>
      </c>
      <c r="DX19" s="9" t="n">
        <v>36.09</v>
      </c>
      <c r="DY19" s="9" t="n">
        <v>12.88</v>
      </c>
      <c r="DZ19" s="9" t="n">
        <v>199.79</v>
      </c>
      <c r="EA19" s="9" t="n">
        <v>101.35</v>
      </c>
      <c r="EB19" s="9" t="n">
        <v>50.73</v>
      </c>
      <c r="EC19" s="9" t="n">
        <v>4.68</v>
      </c>
      <c r="ED19" s="9" t="n">
        <v>1.53</v>
      </c>
      <c r="EE19" s="9" t="n">
        <v>32.7</v>
      </c>
      <c r="EF19" s="9" t="n">
        <v>29.56</v>
      </c>
      <c r="EG19" s="9" t="n">
        <v>7.32</v>
      </c>
      <c r="EH19" s="9" t="n">
        <v>24.78</v>
      </c>
      <c r="EI19" s="9" t="n">
        <v>1.56</v>
      </c>
      <c r="EJ19" s="9" t="n">
        <v>0.62</v>
      </c>
      <c r="EK19" s="9" t="n">
        <v>39.62</v>
      </c>
      <c r="EL19" s="9" t="n">
        <v>25.21</v>
      </c>
      <c r="EM19" s="9" t="n">
        <v>3.29</v>
      </c>
      <c r="EN19" s="9" t="n">
        <v>13.07</v>
      </c>
      <c r="EO19" s="9" t="n">
        <v>4.91</v>
      </c>
      <c r="EP19" s="9" t="n">
        <v>1.38</v>
      </c>
      <c r="EQ19" s="9" t="n">
        <v>28.14</v>
      </c>
      <c r="ER19" s="9" t="n">
        <v>2.24</v>
      </c>
      <c r="ES19" s="9" t="n">
        <v>0.41</v>
      </c>
      <c r="ET19" s="9" t="n">
        <v>18.42</v>
      </c>
      <c r="EU19" s="9" t="n">
        <v>0.24</v>
      </c>
      <c r="EV19" s="9" t="n">
        <v>0.15</v>
      </c>
      <c r="EW19" s="9" t="n">
        <v>62.5</v>
      </c>
      <c r="EX19" s="9" t="n">
        <v>16.09</v>
      </c>
      <c r="EY19" s="9" t="n">
        <v>4.79</v>
      </c>
      <c r="EZ19" s="9" t="n">
        <v>29.8</v>
      </c>
      <c r="FA19" s="9" t="n">
        <v>5.15</v>
      </c>
      <c r="FB19" s="9" t="n">
        <v>7.47</v>
      </c>
      <c r="FC19" s="9" t="n">
        <v>27.15</v>
      </c>
      <c r="FD19" s="9" t="n">
        <v>4.62</v>
      </c>
      <c r="FE19" s="9" t="n">
        <v>9.94</v>
      </c>
      <c r="FF19" s="9" t="n">
        <v>18.15</v>
      </c>
      <c r="FG19" s="9" t="n">
        <v>62.74</v>
      </c>
      <c r="FH19" s="9" t="n">
        <v>27.18</v>
      </c>
      <c r="FI19" s="9" t="n">
        <v>43.32</v>
      </c>
      <c r="FJ19" s="9" t="n">
        <v>2.74</v>
      </c>
      <c r="FK19" s="9" t="n">
        <v>1.21</v>
      </c>
      <c r="FL19" s="9" t="n">
        <v>8.94</v>
      </c>
      <c r="FM19" s="9" t="n">
        <v>3.97</v>
      </c>
      <c r="FN19" s="9" t="n">
        <v>44.41</v>
      </c>
      <c r="FO19" s="9" t="n">
        <v>67.03</v>
      </c>
      <c r="FP19" s="9" t="n">
        <v>41.85</v>
      </c>
      <c r="FQ19" s="9" t="n">
        <v>62.44</v>
      </c>
      <c r="FR19" s="9" t="n">
        <v>38.53</v>
      </c>
      <c r="FS19" s="9" t="n">
        <v>19.03</v>
      </c>
      <c r="FT19" s="9" t="n">
        <v>49.39</v>
      </c>
      <c r="FU19" s="9" t="n">
        <v>3.26</v>
      </c>
      <c r="FV19" s="9" t="n">
        <v>1.65</v>
      </c>
      <c r="FW19" s="9" t="n">
        <v>50.45</v>
      </c>
      <c r="FX19" s="9" t="n">
        <v>37.29</v>
      </c>
      <c r="FY19" s="9" t="n">
        <v>15.62</v>
      </c>
      <c r="FZ19" s="9" t="n">
        <v>14.62</v>
      </c>
      <c r="GA19" s="9" t="n">
        <v>2.56</v>
      </c>
      <c r="GB19" s="9" t="n">
        <v>0.03</v>
      </c>
      <c r="GC19" s="9" t="n">
        <v>148.76</v>
      </c>
      <c r="GD19" s="9" t="n">
        <v>108.68</v>
      </c>
      <c r="GE19" s="9" t="n">
        <v>73.05</v>
      </c>
      <c r="GF19" s="9" t="n">
        <v>64.62</v>
      </c>
      <c r="GG19" s="9" t="n">
        <v>61.12</v>
      </c>
      <c r="GH19" s="9" t="n">
        <v>94.58</v>
      </c>
      <c r="GI19" s="9" t="n">
        <v>165.74</v>
      </c>
      <c r="GJ19" s="9" t="n">
        <v>146.15</v>
      </c>
      <c r="GK19" s="9" t="n">
        <v>88.18000000000001</v>
      </c>
      <c r="GL19" s="9" t="n">
        <v>49.24</v>
      </c>
      <c r="GM19" s="9" t="n">
        <v>27.5</v>
      </c>
      <c r="GN19" s="9" t="n">
        <v>55.85</v>
      </c>
      <c r="GO19" s="9" t="n">
        <v>56.47</v>
      </c>
      <c r="GP19" s="9" t="n">
        <v>38.38</v>
      </c>
      <c r="GQ19" s="9" t="n">
        <v>67.97</v>
      </c>
      <c r="GR19" s="9" t="n">
        <v>76.81999999999999</v>
      </c>
      <c r="GS19" s="9" t="n">
        <v>58</v>
      </c>
      <c r="GT19" s="9" t="n">
        <v>75.5</v>
      </c>
      <c r="GU19" s="9" t="n">
        <v>4.68</v>
      </c>
      <c r="GV19" s="9" t="n">
        <v>1.79</v>
      </c>
      <c r="GW19" s="9" t="n">
        <v>38.36</v>
      </c>
      <c r="GX19" s="9" t="n">
        <v>19.91</v>
      </c>
      <c r="GY19" s="9" t="n">
        <v>18.29</v>
      </c>
      <c r="GZ19" s="9" t="n">
        <v>91.88</v>
      </c>
      <c r="HA19" s="9" t="n">
        <v>6.5</v>
      </c>
      <c r="HB19" s="9" t="n">
        <v>16.69</v>
      </c>
      <c r="HC19" s="9" t="n">
        <v>4.22</v>
      </c>
      <c r="HD19" s="9" t="n">
        <v>11.47</v>
      </c>
      <c r="HE19" s="9" t="n">
        <v>17.63</v>
      </c>
      <c r="HF19" s="9" t="n">
        <v>20.17</v>
      </c>
      <c r="HG19" s="9" t="n">
        <v>9.09</v>
      </c>
    </row>
    <row r="20">
      <c r="A20" s="12" t="n">
        <v>2022</v>
      </c>
      <c r="B20" s="12" t="n">
        <v>42</v>
      </c>
      <c r="C20" s="5">
        <f>(B20-AVERAGE($B$2:$B$100))/_xlfn.STDEV.P($B$2:$B$100)</f>
        <v/>
      </c>
      <c r="D20" s="12" t="n">
        <v>10</v>
      </c>
      <c r="E20" s="6">
        <f>-D20</f>
        <v/>
      </c>
      <c r="F20" s="7">
        <f>(E20-AVERAGE($E$2:$E$100))/_xlfn.STDEV.P($E$2:$E$100)</f>
        <v/>
      </c>
      <c r="G20" s="7">
        <f>sum(0.5*C20)+(0.5*F20)</f>
        <v/>
      </c>
      <c r="H20" s="12" t="inlineStr">
        <is>
          <t>West</t>
        </is>
      </c>
      <c r="I20" s="8" t="inlineStr">
        <is>
          <t>Phoenix Rising</t>
        </is>
      </c>
      <c r="J20" s="9" t="n">
        <v>1.47</v>
      </c>
      <c r="K20" s="9" t="n">
        <v>1.51</v>
      </c>
      <c r="L20" s="9" t="n">
        <v>14.85</v>
      </c>
      <c r="M20" s="9" t="n">
        <v>4.76</v>
      </c>
      <c r="N20" s="9" t="n">
        <v>32.08</v>
      </c>
      <c r="O20" s="9" t="n">
        <v>384.53</v>
      </c>
      <c r="P20" s="9" t="n">
        <v>312.59</v>
      </c>
      <c r="Q20" s="9" t="n">
        <v>81.29000000000001</v>
      </c>
      <c r="R20" s="9" t="n">
        <v>48.75</v>
      </c>
      <c r="S20" s="9" t="n">
        <v>100</v>
      </c>
      <c r="T20" s="9" t="n">
        <v>16.91</v>
      </c>
      <c r="U20" s="9" t="n">
        <v>33.68</v>
      </c>
      <c r="V20" s="9" t="n">
        <v>49.41</v>
      </c>
      <c r="W20" s="9" t="n">
        <v>79.73999999999999</v>
      </c>
      <c r="X20" s="9" t="n">
        <v>33.41</v>
      </c>
      <c r="Y20" s="9" t="n">
        <v>33.24</v>
      </c>
      <c r="Z20" s="9" t="n">
        <v>13.09</v>
      </c>
      <c r="AA20" s="9" t="n">
        <v>190.53</v>
      </c>
      <c r="AB20" s="9" t="n">
        <v>92.12</v>
      </c>
      <c r="AC20" s="9" t="n">
        <v>48.35</v>
      </c>
      <c r="AD20" s="9" t="n">
        <v>6.65</v>
      </c>
      <c r="AE20" s="9" t="n">
        <v>1.76</v>
      </c>
      <c r="AF20" s="9" t="n">
        <v>26.55</v>
      </c>
      <c r="AG20" s="9" t="n">
        <v>30.71</v>
      </c>
      <c r="AH20" s="9" t="n">
        <v>9.32</v>
      </c>
      <c r="AI20" s="9" t="n">
        <v>30.36</v>
      </c>
      <c r="AJ20" s="9" t="n">
        <v>1.76</v>
      </c>
      <c r="AK20" s="9" t="n">
        <v>0.88</v>
      </c>
      <c r="AL20" s="9" t="n">
        <v>50</v>
      </c>
      <c r="AM20" s="9" t="n">
        <v>27.85</v>
      </c>
      <c r="AN20" s="9" t="n">
        <v>4.21</v>
      </c>
      <c r="AO20" s="9" t="n">
        <v>15.1</v>
      </c>
      <c r="AP20" s="9" t="n">
        <v>5.35</v>
      </c>
      <c r="AQ20" s="9" t="n">
        <v>1.65</v>
      </c>
      <c r="AR20" s="9" t="n">
        <v>30.77</v>
      </c>
      <c r="AS20" s="9" t="n">
        <v>2.38</v>
      </c>
      <c r="AT20" s="9" t="n">
        <v>0.59</v>
      </c>
      <c r="AU20" s="9" t="n">
        <v>24.69</v>
      </c>
      <c r="AV20" s="9" t="n">
        <v>0.12</v>
      </c>
      <c r="AW20" s="9" t="n">
        <v>0.09</v>
      </c>
      <c r="AX20" s="9" t="n">
        <v>75</v>
      </c>
      <c r="AY20" s="9" t="n">
        <v>16.76</v>
      </c>
      <c r="AZ20" s="9" t="n">
        <v>6.06</v>
      </c>
      <c r="BA20" s="9" t="n">
        <v>36.14</v>
      </c>
      <c r="BB20" s="9" t="n">
        <v>6.06</v>
      </c>
      <c r="BC20" s="9" t="n">
        <v>6.53</v>
      </c>
      <c r="BD20" s="9" t="n">
        <v>26.32</v>
      </c>
      <c r="BE20" s="9" t="n">
        <v>4.68</v>
      </c>
      <c r="BF20" s="9" t="n">
        <v>10.68</v>
      </c>
      <c r="BG20" s="9" t="n">
        <v>18.85</v>
      </c>
      <c r="BH20" s="9" t="n">
        <v>63.91</v>
      </c>
      <c r="BI20" s="9" t="n">
        <v>26.85</v>
      </c>
      <c r="BJ20" s="9" t="n">
        <v>42.02</v>
      </c>
      <c r="BK20" s="9" t="n">
        <v>1.65</v>
      </c>
      <c r="BL20" s="9" t="n">
        <v>1.71</v>
      </c>
      <c r="BM20" s="9" t="n">
        <v>13.94</v>
      </c>
      <c r="BN20" s="9" t="n">
        <v>5.32</v>
      </c>
      <c r="BO20" s="9" t="n">
        <v>38.19</v>
      </c>
      <c r="BP20" s="9" t="n">
        <v>62.68</v>
      </c>
      <c r="BQ20" s="9" t="n">
        <v>36.21</v>
      </c>
      <c r="BR20" s="9" t="n">
        <v>57.77</v>
      </c>
      <c r="BS20" s="9" t="n">
        <v>32.85</v>
      </c>
      <c r="BT20" s="9" t="n">
        <v>16.53</v>
      </c>
      <c r="BU20" s="9" t="n">
        <v>50.31</v>
      </c>
      <c r="BV20" s="9" t="n">
        <v>3.53</v>
      </c>
      <c r="BW20" s="9" t="n">
        <v>1.74</v>
      </c>
      <c r="BX20" s="9" t="n">
        <v>49.17</v>
      </c>
      <c r="BY20" s="9" t="n">
        <v>37.53</v>
      </c>
      <c r="BZ20" s="9" t="n">
        <v>14.65</v>
      </c>
      <c r="CA20" s="9" t="n">
        <v>12.12</v>
      </c>
      <c r="CB20" s="9" t="n">
        <v>2.74</v>
      </c>
      <c r="CC20" s="9" t="n">
        <v>0.26</v>
      </c>
      <c r="CD20" s="9" t="n">
        <v>138.59</v>
      </c>
      <c r="CE20" s="9" t="n">
        <v>100.41</v>
      </c>
      <c r="CF20" s="9" t="n">
        <v>72.45</v>
      </c>
      <c r="CG20" s="9" t="n">
        <v>55.32</v>
      </c>
      <c r="CH20" s="9" t="n">
        <v>51.62</v>
      </c>
      <c r="CI20" s="9" t="n">
        <v>93.3</v>
      </c>
      <c r="CJ20" s="9" t="n">
        <v>138.82</v>
      </c>
      <c r="CK20" s="9" t="n">
        <v>119.38</v>
      </c>
      <c r="CL20" s="9" t="n">
        <v>86</v>
      </c>
      <c r="CM20" s="9" t="n">
        <v>46.88</v>
      </c>
      <c r="CN20" s="9" t="n">
        <v>25.68</v>
      </c>
      <c r="CO20" s="9" t="n">
        <v>54.77</v>
      </c>
      <c r="CP20" s="9" t="n">
        <v>56.38</v>
      </c>
      <c r="CQ20" s="9" t="n">
        <v>38.06</v>
      </c>
      <c r="CR20" s="9" t="n">
        <v>67.5</v>
      </c>
      <c r="CS20" s="9" t="n">
        <v>73.73999999999999</v>
      </c>
      <c r="CT20" s="9" t="n">
        <v>56.65</v>
      </c>
      <c r="CU20" s="9" t="n">
        <v>76.81999999999999</v>
      </c>
      <c r="CV20" s="9" t="n">
        <v>3.35</v>
      </c>
      <c r="CW20" s="9" t="n">
        <v>1.21</v>
      </c>
      <c r="CX20" s="9" t="n">
        <v>35.96</v>
      </c>
      <c r="CY20" s="9" t="n">
        <v>20.18</v>
      </c>
      <c r="CZ20" s="9" t="n">
        <v>18.35</v>
      </c>
      <c r="DA20" s="9" t="n">
        <v>90.95999999999999</v>
      </c>
      <c r="DB20" s="9" t="n">
        <v>9.35</v>
      </c>
      <c r="DC20" s="9" t="n">
        <v>16.04</v>
      </c>
      <c r="DD20" s="9" t="n">
        <v>3.58</v>
      </c>
      <c r="DE20" s="9" t="n">
        <v>12.87</v>
      </c>
      <c r="DF20" s="9" t="n">
        <v>18.96</v>
      </c>
      <c r="DG20" s="9" t="n">
        <v>21.1</v>
      </c>
      <c r="DH20" s="9" t="n">
        <v>11.17</v>
      </c>
      <c r="DI20" s="9" t="n">
        <v>1.71</v>
      </c>
      <c r="DJ20" s="9" t="n">
        <v>1.7</v>
      </c>
      <c r="DK20" s="9" t="n">
        <v>13.94</v>
      </c>
      <c r="DL20" s="9" t="n">
        <v>5.03</v>
      </c>
      <c r="DM20" s="9" t="n">
        <v>36.08</v>
      </c>
      <c r="DN20" s="9" t="n">
        <v>404.94</v>
      </c>
      <c r="DO20" s="9" t="n">
        <v>336.44</v>
      </c>
      <c r="DP20" s="9" t="n">
        <v>83.08</v>
      </c>
      <c r="DQ20" s="9" t="n">
        <v>51.25</v>
      </c>
      <c r="DR20" s="9" t="n">
        <v>100.41</v>
      </c>
      <c r="DS20" s="9" t="n">
        <v>20.79</v>
      </c>
      <c r="DT20" s="9" t="n">
        <v>37.24</v>
      </c>
      <c r="DU20" s="9" t="n">
        <v>42.38</v>
      </c>
      <c r="DV20" s="9" t="n">
        <v>78.26000000000001</v>
      </c>
      <c r="DW20" s="9" t="n">
        <v>37.76</v>
      </c>
      <c r="DX20" s="9" t="n">
        <v>29.74</v>
      </c>
      <c r="DY20" s="9" t="n">
        <v>10.76</v>
      </c>
      <c r="DZ20" s="9" t="n">
        <v>190.53</v>
      </c>
      <c r="EA20" s="9" t="n">
        <v>91.12</v>
      </c>
      <c r="EB20" s="9" t="n">
        <v>47.82</v>
      </c>
      <c r="EC20" s="9" t="n">
        <v>5.44</v>
      </c>
      <c r="ED20" s="9" t="n">
        <v>1.26</v>
      </c>
      <c r="EE20" s="9" t="n">
        <v>23.24</v>
      </c>
      <c r="EF20" s="9" t="n">
        <v>26.71</v>
      </c>
      <c r="EG20" s="9" t="n">
        <v>7.88</v>
      </c>
      <c r="EH20" s="9" t="n">
        <v>29.52</v>
      </c>
      <c r="EI20" s="9" t="n">
        <v>2.29</v>
      </c>
      <c r="EJ20" s="9" t="n">
        <v>0.85</v>
      </c>
      <c r="EK20" s="9" t="n">
        <v>37.18</v>
      </c>
      <c r="EL20" s="9" t="n">
        <v>27.5</v>
      </c>
      <c r="EM20" s="9" t="n">
        <v>4.56</v>
      </c>
      <c r="EN20" s="9" t="n">
        <v>16.58</v>
      </c>
      <c r="EO20" s="9" t="n">
        <v>5.74</v>
      </c>
      <c r="EP20" s="9" t="n">
        <v>2.18</v>
      </c>
      <c r="EQ20" s="9" t="n">
        <v>37.95</v>
      </c>
      <c r="ER20" s="9" t="n">
        <v>2.41</v>
      </c>
      <c r="ES20" s="9" t="n">
        <v>0.88</v>
      </c>
      <c r="ET20" s="9" t="n">
        <v>36.59</v>
      </c>
      <c r="EU20" s="9" t="n">
        <v>0.18</v>
      </c>
      <c r="EV20" s="9" t="n">
        <v>0.09</v>
      </c>
      <c r="EW20" s="9" t="n">
        <v>50</v>
      </c>
      <c r="EX20" s="9" t="n">
        <v>13.5</v>
      </c>
      <c r="EY20" s="9" t="n">
        <v>4.41</v>
      </c>
      <c r="EZ20" s="9" t="n">
        <v>32.68</v>
      </c>
      <c r="FA20" s="9" t="n">
        <v>4.5</v>
      </c>
      <c r="FB20" s="9" t="n">
        <v>7.82</v>
      </c>
      <c r="FC20" s="9" t="n">
        <v>23.44</v>
      </c>
      <c r="FD20" s="9" t="n">
        <v>4.41</v>
      </c>
      <c r="FE20" s="9" t="n">
        <v>7.74</v>
      </c>
      <c r="FF20" s="9" t="n">
        <v>19.56</v>
      </c>
      <c r="FG20" s="9" t="n">
        <v>62.68</v>
      </c>
      <c r="FH20" s="9" t="n">
        <v>26.47</v>
      </c>
      <c r="FI20" s="9" t="n">
        <v>42.23</v>
      </c>
      <c r="FJ20" s="9" t="n">
        <v>2.18</v>
      </c>
      <c r="FK20" s="9" t="n">
        <v>1.47</v>
      </c>
      <c r="FL20" s="9" t="n">
        <v>14.85</v>
      </c>
      <c r="FM20" s="9" t="n">
        <v>5.21</v>
      </c>
      <c r="FN20" s="9" t="n">
        <v>35.05</v>
      </c>
      <c r="FO20" s="9" t="n">
        <v>63.91</v>
      </c>
      <c r="FP20" s="9" t="n">
        <v>37.06</v>
      </c>
      <c r="FQ20" s="9" t="n">
        <v>57.98</v>
      </c>
      <c r="FR20" s="9" t="n">
        <v>32.85</v>
      </c>
      <c r="FS20" s="9" t="n">
        <v>14.18</v>
      </c>
      <c r="FT20" s="9" t="n">
        <v>43.15</v>
      </c>
      <c r="FU20" s="9" t="n">
        <v>3.88</v>
      </c>
      <c r="FV20" s="9" t="n">
        <v>1.82</v>
      </c>
      <c r="FW20" s="9" t="n">
        <v>46.97</v>
      </c>
      <c r="FX20" s="9" t="n">
        <v>43.68</v>
      </c>
      <c r="FY20" s="9" t="n">
        <v>17.09</v>
      </c>
      <c r="FZ20" s="9" t="n">
        <v>12.21</v>
      </c>
      <c r="GA20" s="9" t="n">
        <v>2.26</v>
      </c>
      <c r="GB20" s="9" t="n">
        <v>0.09</v>
      </c>
      <c r="GC20" s="9" t="n">
        <v>139.26</v>
      </c>
      <c r="GD20" s="9" t="n">
        <v>101.74</v>
      </c>
      <c r="GE20" s="9" t="n">
        <v>73.05</v>
      </c>
      <c r="GF20" s="9" t="n">
        <v>59.21</v>
      </c>
      <c r="GG20" s="9" t="n">
        <v>55.53</v>
      </c>
      <c r="GH20" s="9" t="n">
        <v>93.79000000000001</v>
      </c>
      <c r="GI20" s="9" t="n">
        <v>146.62</v>
      </c>
      <c r="GJ20" s="9" t="n">
        <v>129.38</v>
      </c>
      <c r="GK20" s="9" t="n">
        <v>88.23999999999999</v>
      </c>
      <c r="GL20" s="9" t="n">
        <v>45.38</v>
      </c>
      <c r="GM20" s="9" t="n">
        <v>24.97</v>
      </c>
      <c r="GN20" s="9" t="n">
        <v>55.02</v>
      </c>
      <c r="GO20" s="9" t="n">
        <v>50.26</v>
      </c>
      <c r="GP20" s="9" t="n">
        <v>34.12</v>
      </c>
      <c r="GQ20" s="9" t="n">
        <v>67.88</v>
      </c>
      <c r="GR20" s="9" t="n">
        <v>73.03</v>
      </c>
      <c r="GS20" s="9" t="n">
        <v>52.06</v>
      </c>
      <c r="GT20" s="9" t="n">
        <v>71.28</v>
      </c>
      <c r="GU20" s="9" t="n">
        <v>5.97</v>
      </c>
      <c r="GV20" s="9" t="n">
        <v>2.56</v>
      </c>
      <c r="GW20" s="9" t="n">
        <v>42.86</v>
      </c>
      <c r="GX20" s="9" t="n">
        <v>21.41</v>
      </c>
      <c r="GY20" s="9" t="n">
        <v>19.29</v>
      </c>
      <c r="GZ20" s="9" t="n">
        <v>90.11</v>
      </c>
      <c r="HA20" s="9" t="n">
        <v>10.65</v>
      </c>
      <c r="HB20" s="9" t="n">
        <v>16.08</v>
      </c>
      <c r="HC20" s="9" t="n">
        <v>3.72</v>
      </c>
      <c r="HD20" s="9" t="n">
        <v>11.82</v>
      </c>
      <c r="HE20" s="9" t="n">
        <v>18.03</v>
      </c>
      <c r="HF20" s="9" t="n">
        <v>20.26</v>
      </c>
      <c r="HG20" s="9" t="n">
        <v>10.27</v>
      </c>
    </row>
    <row r="21">
      <c r="A21" s="12" t="n">
        <v>2022</v>
      </c>
      <c r="B21" s="12" t="n">
        <v>36</v>
      </c>
      <c r="C21" s="5">
        <f>(B21-AVERAGE($B$2:$B$100))/_xlfn.STDEV.P($B$2:$B$100)</f>
        <v/>
      </c>
      <c r="D21" s="12" t="n">
        <v>10</v>
      </c>
      <c r="E21" s="6">
        <f>-D21</f>
        <v/>
      </c>
      <c r="F21" s="7">
        <f>(E21-AVERAGE($E$2:$E$100))/_xlfn.STDEV.P($E$2:$E$100)</f>
        <v/>
      </c>
      <c r="G21" s="7">
        <f>sum(0.5*C21)+(0.5*F21)</f>
        <v/>
      </c>
      <c r="H21" s="12" t="inlineStr">
        <is>
          <t>East</t>
        </is>
      </c>
      <c r="I21" s="8" t="inlineStr">
        <is>
          <t>Hartford Athletic</t>
        </is>
      </c>
      <c r="J21" s="9" t="n">
        <v>1.38</v>
      </c>
      <c r="K21" s="9" t="n">
        <v>1.32</v>
      </c>
      <c r="L21" s="9" t="n">
        <v>10.15</v>
      </c>
      <c r="M21" s="9" t="n">
        <v>3.97</v>
      </c>
      <c r="N21" s="9" t="n">
        <v>39.13</v>
      </c>
      <c r="O21" s="9" t="n">
        <v>430.12</v>
      </c>
      <c r="P21" s="9" t="n">
        <v>361.24</v>
      </c>
      <c r="Q21" s="9" t="n">
        <v>83.98999999999999</v>
      </c>
      <c r="R21" s="9" t="n">
        <v>48.3</v>
      </c>
      <c r="S21" s="9" t="n">
        <v>98.84999999999999</v>
      </c>
      <c r="T21" s="9" t="n">
        <v>22</v>
      </c>
      <c r="U21" s="9" t="n">
        <v>34.38</v>
      </c>
      <c r="V21" s="9" t="n">
        <v>42.47</v>
      </c>
      <c r="W21" s="9" t="n">
        <v>75.18000000000001</v>
      </c>
      <c r="X21" s="9" t="n">
        <v>38.03</v>
      </c>
      <c r="Y21" s="9" t="n">
        <v>27.5</v>
      </c>
      <c r="Z21" s="9" t="n">
        <v>9.65</v>
      </c>
      <c r="AA21" s="9" t="n">
        <v>188.29</v>
      </c>
      <c r="AB21" s="9" t="n">
        <v>89.44</v>
      </c>
      <c r="AC21" s="9" t="n">
        <v>47.5</v>
      </c>
      <c r="AD21" s="9" t="n">
        <v>3.59</v>
      </c>
      <c r="AE21" s="9" t="n">
        <v>0.91</v>
      </c>
      <c r="AF21" s="9" t="n">
        <v>25.41</v>
      </c>
      <c r="AG21" s="9" t="n">
        <v>24.62</v>
      </c>
      <c r="AH21" s="9" t="n">
        <v>5.94</v>
      </c>
      <c r="AI21" s="9" t="n">
        <v>24.13</v>
      </c>
      <c r="AJ21" s="9" t="n">
        <v>1.38</v>
      </c>
      <c r="AK21" s="9" t="n">
        <v>0.62</v>
      </c>
      <c r="AL21" s="9" t="n">
        <v>44.68</v>
      </c>
      <c r="AM21" s="9" t="n">
        <v>25.79</v>
      </c>
      <c r="AN21" s="9" t="n">
        <v>3.26</v>
      </c>
      <c r="AO21" s="9" t="n">
        <v>12.66</v>
      </c>
      <c r="AP21" s="9" t="n">
        <v>4.62</v>
      </c>
      <c r="AQ21" s="9" t="n">
        <v>1.59</v>
      </c>
      <c r="AR21" s="9" t="n">
        <v>34.39</v>
      </c>
      <c r="AS21" s="9" t="n">
        <v>2.12</v>
      </c>
      <c r="AT21" s="9" t="n">
        <v>0.44</v>
      </c>
      <c r="AU21" s="9" t="n">
        <v>20.83</v>
      </c>
      <c r="AV21" s="9" t="n">
        <v>0.09</v>
      </c>
      <c r="AW21" s="9" t="n">
        <v>0.06</v>
      </c>
      <c r="AX21" s="9" t="n">
        <v>66.67</v>
      </c>
      <c r="AY21" s="9" t="n">
        <v>13.76</v>
      </c>
      <c r="AZ21" s="9" t="n">
        <v>5.12</v>
      </c>
      <c r="BA21" s="9" t="n">
        <v>37.18</v>
      </c>
      <c r="BB21" s="9" t="n">
        <v>5.03</v>
      </c>
      <c r="BC21" s="9" t="n">
        <v>6.97</v>
      </c>
      <c r="BD21" s="9" t="n">
        <v>23.21</v>
      </c>
      <c r="BE21" s="9" t="n">
        <v>4.03</v>
      </c>
      <c r="BF21" s="9" t="n">
        <v>8.210000000000001</v>
      </c>
      <c r="BG21" s="9" t="n">
        <v>16.62</v>
      </c>
      <c r="BH21" s="9" t="n">
        <v>63.15</v>
      </c>
      <c r="BI21" s="9" t="n">
        <v>25.24</v>
      </c>
      <c r="BJ21" s="9" t="n">
        <v>39.96</v>
      </c>
      <c r="BK21" s="9" t="n">
        <v>3.29</v>
      </c>
      <c r="BL21" s="9" t="n">
        <v>1.68</v>
      </c>
      <c r="BM21" s="9" t="n">
        <v>14.74</v>
      </c>
      <c r="BN21" s="9" t="n">
        <v>5.32</v>
      </c>
      <c r="BO21" s="9" t="n">
        <v>36.13</v>
      </c>
      <c r="BP21" s="9" t="n">
        <v>62.56</v>
      </c>
      <c r="BQ21" s="9" t="n">
        <v>37.79</v>
      </c>
      <c r="BR21" s="9" t="n">
        <v>60.41</v>
      </c>
      <c r="BS21" s="9" t="n">
        <v>33.56</v>
      </c>
      <c r="BT21" s="9" t="n">
        <v>14.18</v>
      </c>
      <c r="BU21" s="9" t="n">
        <v>42.24</v>
      </c>
      <c r="BV21" s="9" t="n">
        <v>3.82</v>
      </c>
      <c r="BW21" s="9" t="n">
        <v>1.91</v>
      </c>
      <c r="BX21" s="9" t="n">
        <v>50</v>
      </c>
      <c r="BY21" s="9" t="n">
        <v>38.12</v>
      </c>
      <c r="BZ21" s="9" t="n">
        <v>16.32</v>
      </c>
      <c r="CA21" s="9" t="n">
        <v>11.44</v>
      </c>
      <c r="CB21" s="9" t="n">
        <v>2.53</v>
      </c>
      <c r="CC21" s="9" t="n">
        <v>0.03</v>
      </c>
      <c r="CD21" s="9" t="n">
        <v>144.59</v>
      </c>
      <c r="CE21" s="9" t="n">
        <v>106.76</v>
      </c>
      <c r="CF21" s="9" t="n">
        <v>73.84</v>
      </c>
      <c r="CG21" s="9" t="n">
        <v>67.29000000000001</v>
      </c>
      <c r="CH21" s="9" t="n">
        <v>63.56</v>
      </c>
      <c r="CI21" s="9" t="n">
        <v>94.45</v>
      </c>
      <c r="CJ21" s="9" t="n">
        <v>157.41</v>
      </c>
      <c r="CK21" s="9" t="n">
        <v>139.76</v>
      </c>
      <c r="CL21" s="9" t="n">
        <v>88.79000000000001</v>
      </c>
      <c r="CM21" s="9" t="n">
        <v>51.59</v>
      </c>
      <c r="CN21" s="9" t="n">
        <v>27.21</v>
      </c>
      <c r="CO21" s="9" t="n">
        <v>52.74</v>
      </c>
      <c r="CP21" s="9" t="n">
        <v>52.32</v>
      </c>
      <c r="CQ21" s="9" t="n">
        <v>35.06</v>
      </c>
      <c r="CR21" s="9" t="n">
        <v>67</v>
      </c>
      <c r="CS21" s="9" t="n">
        <v>73.5</v>
      </c>
      <c r="CT21" s="9" t="n">
        <v>52.21</v>
      </c>
      <c r="CU21" s="9" t="n">
        <v>71.03</v>
      </c>
      <c r="CV21" s="9" t="n">
        <v>3.24</v>
      </c>
      <c r="CW21" s="9" t="n">
        <v>1.15</v>
      </c>
      <c r="CX21" s="9" t="n">
        <v>35.45</v>
      </c>
      <c r="CY21" s="9" t="n">
        <v>18.76</v>
      </c>
      <c r="CZ21" s="9" t="n">
        <v>17.12</v>
      </c>
      <c r="DA21" s="9" t="n">
        <v>91.22</v>
      </c>
      <c r="DB21" s="9" t="n">
        <v>10.18</v>
      </c>
      <c r="DC21" s="9" t="n">
        <v>17.12</v>
      </c>
      <c r="DD21" s="9" t="n">
        <v>4.23</v>
      </c>
      <c r="DE21" s="9" t="n">
        <v>12.32</v>
      </c>
      <c r="DF21" s="9" t="n">
        <v>17.82</v>
      </c>
      <c r="DG21" s="9" t="n">
        <v>19.8</v>
      </c>
      <c r="DH21" s="9" t="n">
        <v>14.33</v>
      </c>
      <c r="DI21" s="9" t="n">
        <v>1.68</v>
      </c>
      <c r="DJ21" s="9" t="n">
        <v>1.73</v>
      </c>
      <c r="DK21" s="9" t="n">
        <v>14.74</v>
      </c>
      <c r="DL21" s="9" t="n">
        <v>5.24</v>
      </c>
      <c r="DM21" s="9" t="n">
        <v>35.53</v>
      </c>
      <c r="DN21" s="9" t="n">
        <v>439.15</v>
      </c>
      <c r="DO21" s="9" t="n">
        <v>371.26</v>
      </c>
      <c r="DP21" s="9" t="n">
        <v>84.54000000000001</v>
      </c>
      <c r="DQ21" s="9" t="n">
        <v>51.7</v>
      </c>
      <c r="DR21" s="9" t="n">
        <v>94.5</v>
      </c>
      <c r="DS21" s="9" t="n">
        <v>15.97</v>
      </c>
      <c r="DT21" s="9" t="n">
        <v>29.74</v>
      </c>
      <c r="DU21" s="9" t="n">
        <v>48.79</v>
      </c>
      <c r="DV21" s="9" t="n">
        <v>77</v>
      </c>
      <c r="DW21" s="9" t="n">
        <v>32.12</v>
      </c>
      <c r="DX21" s="9" t="n">
        <v>31.44</v>
      </c>
      <c r="DY21" s="9" t="n">
        <v>13.44</v>
      </c>
      <c r="DZ21" s="9" t="n">
        <v>188.29</v>
      </c>
      <c r="EA21" s="9" t="n">
        <v>91.59</v>
      </c>
      <c r="EB21" s="9" t="n">
        <v>48.64</v>
      </c>
      <c r="EC21" s="9" t="n">
        <v>6.06</v>
      </c>
      <c r="ED21" s="9" t="n">
        <v>1.59</v>
      </c>
      <c r="EE21" s="9" t="n">
        <v>26.21</v>
      </c>
      <c r="EF21" s="9" t="n">
        <v>32.44</v>
      </c>
      <c r="EG21" s="9" t="n">
        <v>9.119999999999999</v>
      </c>
      <c r="EH21" s="9" t="n">
        <v>28.11</v>
      </c>
      <c r="EI21" s="9" t="n">
        <v>1.41</v>
      </c>
      <c r="EJ21" s="9" t="n">
        <v>0.62</v>
      </c>
      <c r="EK21" s="9" t="n">
        <v>43.75</v>
      </c>
      <c r="EL21" s="9" t="n">
        <v>25.82</v>
      </c>
      <c r="EM21" s="9" t="n">
        <v>4.35</v>
      </c>
      <c r="EN21" s="9" t="n">
        <v>16.86</v>
      </c>
      <c r="EO21" s="9" t="n">
        <v>5</v>
      </c>
      <c r="EP21" s="9" t="n">
        <v>1.88</v>
      </c>
      <c r="EQ21" s="9" t="n">
        <v>37.65</v>
      </c>
      <c r="ER21" s="9" t="n">
        <v>2.35</v>
      </c>
      <c r="ES21" s="9" t="n">
        <v>0.62</v>
      </c>
      <c r="ET21" s="9" t="n">
        <v>26.25</v>
      </c>
      <c r="EU21" s="9" t="n">
        <v>0.21</v>
      </c>
      <c r="EV21" s="9" t="n">
        <v>0.21</v>
      </c>
      <c r="EW21" s="9" t="n">
        <v>100</v>
      </c>
      <c r="EX21" s="9" t="n">
        <v>17.41</v>
      </c>
      <c r="EY21" s="9" t="n">
        <v>6.47</v>
      </c>
      <c r="EZ21" s="9" t="n">
        <v>37.16</v>
      </c>
      <c r="FA21" s="9" t="n">
        <v>6.32</v>
      </c>
      <c r="FB21" s="9" t="n">
        <v>8.35</v>
      </c>
      <c r="FC21" s="9" t="n">
        <v>28.38</v>
      </c>
      <c r="FD21" s="9" t="n">
        <v>4.53</v>
      </c>
      <c r="FE21" s="9" t="n">
        <v>11</v>
      </c>
      <c r="FF21" s="9" t="n">
        <v>21.79</v>
      </c>
      <c r="FG21" s="9" t="n">
        <v>62.56</v>
      </c>
      <c r="FH21" s="9" t="n">
        <v>24.76</v>
      </c>
      <c r="FI21" s="9" t="n">
        <v>39.59</v>
      </c>
      <c r="FJ21" s="9" t="n">
        <v>1.35</v>
      </c>
      <c r="FK21" s="9" t="n">
        <v>1.38</v>
      </c>
      <c r="FL21" s="9" t="n">
        <v>10.15</v>
      </c>
      <c r="FM21" s="9" t="n">
        <v>4.32</v>
      </c>
      <c r="FN21" s="9" t="n">
        <v>42.61</v>
      </c>
      <c r="FO21" s="9" t="n">
        <v>63.15</v>
      </c>
      <c r="FP21" s="9" t="n">
        <v>37.91</v>
      </c>
      <c r="FQ21" s="9" t="n">
        <v>60.04</v>
      </c>
      <c r="FR21" s="9" t="n">
        <v>33.56</v>
      </c>
      <c r="FS21" s="9" t="n">
        <v>16.79</v>
      </c>
      <c r="FT21" s="9" t="n">
        <v>50.04</v>
      </c>
      <c r="FU21" s="9" t="n">
        <v>3.65</v>
      </c>
      <c r="FV21" s="9" t="n">
        <v>1.76</v>
      </c>
      <c r="FW21" s="9" t="n">
        <v>48.39</v>
      </c>
      <c r="FX21" s="9" t="n">
        <v>38.62</v>
      </c>
      <c r="FY21" s="9" t="n">
        <v>14.44</v>
      </c>
      <c r="FZ21" s="9" t="n">
        <v>11.59</v>
      </c>
      <c r="GA21" s="9" t="n">
        <v>2.26</v>
      </c>
      <c r="GB21" s="9" t="n">
        <v>0.09</v>
      </c>
      <c r="GC21" s="9" t="n">
        <v>144.74</v>
      </c>
      <c r="GD21" s="9" t="n">
        <v>108.15</v>
      </c>
      <c r="GE21" s="9" t="n">
        <v>74.72</v>
      </c>
      <c r="GF21" s="9" t="n">
        <v>69.53</v>
      </c>
      <c r="GG21" s="9" t="n">
        <v>66.41</v>
      </c>
      <c r="GH21" s="9" t="n">
        <v>95.52</v>
      </c>
      <c r="GI21" s="9" t="n">
        <v>162.76</v>
      </c>
      <c r="GJ21" s="9" t="n">
        <v>144.15</v>
      </c>
      <c r="GK21" s="9" t="n">
        <v>88.56</v>
      </c>
      <c r="GL21" s="9" t="n">
        <v>46.18</v>
      </c>
      <c r="GM21" s="9" t="n">
        <v>26.47</v>
      </c>
      <c r="GN21" s="9" t="n">
        <v>57.32</v>
      </c>
      <c r="GO21" s="9" t="n">
        <v>57.82</v>
      </c>
      <c r="GP21" s="9" t="n">
        <v>40.82</v>
      </c>
      <c r="GQ21" s="9" t="n">
        <v>70.59999999999999</v>
      </c>
      <c r="GR21" s="9" t="n">
        <v>76.53</v>
      </c>
      <c r="GS21" s="9" t="n">
        <v>59.53</v>
      </c>
      <c r="GT21" s="9" t="n">
        <v>77.79000000000001</v>
      </c>
      <c r="GU21" s="9" t="n">
        <v>4.85</v>
      </c>
      <c r="GV21" s="9" t="n">
        <v>2</v>
      </c>
      <c r="GW21" s="9" t="n">
        <v>41.21</v>
      </c>
      <c r="GX21" s="9" t="n">
        <v>19</v>
      </c>
      <c r="GY21" s="9" t="n">
        <v>17.5</v>
      </c>
      <c r="GZ21" s="9" t="n">
        <v>92.11</v>
      </c>
      <c r="HA21" s="9" t="n">
        <v>7.21</v>
      </c>
      <c r="HB21" s="9" t="n">
        <v>16.18</v>
      </c>
      <c r="HC21" s="9" t="n">
        <v>4.22</v>
      </c>
      <c r="HD21" s="9" t="n">
        <v>10.79</v>
      </c>
      <c r="HE21" s="9" t="n">
        <v>18.12</v>
      </c>
      <c r="HF21" s="9" t="n">
        <v>20.04</v>
      </c>
      <c r="HG21" s="9" t="n">
        <v>11.59</v>
      </c>
    </row>
    <row r="22">
      <c r="A22" s="12" t="n">
        <v>2022</v>
      </c>
      <c r="B22" s="12" t="n">
        <v>40</v>
      </c>
      <c r="C22" s="5">
        <f>(B22-AVERAGE($B$2:$B$100))/_xlfn.STDEV.P($B$2:$B$100)</f>
        <v/>
      </c>
      <c r="D22" s="12" t="n">
        <v>11</v>
      </c>
      <c r="E22" s="6">
        <f>-D22</f>
        <v/>
      </c>
      <c r="F22" s="7">
        <f>(E22-AVERAGE($E$2:$E$100))/_xlfn.STDEV.P($E$2:$E$100)</f>
        <v/>
      </c>
      <c r="G22" s="7">
        <f>sum(0.5*C22)+(0.5*F22)</f>
        <v/>
      </c>
      <c r="H22" s="12" t="inlineStr">
        <is>
          <t>West</t>
        </is>
      </c>
      <c r="I22" s="8" t="inlineStr">
        <is>
          <t>LA Galaxy II</t>
        </is>
      </c>
      <c r="J22" s="9" t="n">
        <v>1.56</v>
      </c>
      <c r="K22" s="9" t="n">
        <v>1.59</v>
      </c>
      <c r="L22" s="9" t="n">
        <v>11.59</v>
      </c>
      <c r="M22" s="9" t="n">
        <v>4.44</v>
      </c>
      <c r="N22" s="9" t="n">
        <v>38.32</v>
      </c>
      <c r="O22" s="9" t="n">
        <v>445.38</v>
      </c>
      <c r="P22" s="9" t="n">
        <v>379.65</v>
      </c>
      <c r="Q22" s="9" t="n">
        <v>85.23999999999999</v>
      </c>
      <c r="R22" s="9" t="n">
        <v>52.24</v>
      </c>
      <c r="S22" s="9" t="n">
        <v>91.38</v>
      </c>
      <c r="T22" s="9" t="n">
        <v>20.35</v>
      </c>
      <c r="U22" s="9" t="n">
        <v>35.32</v>
      </c>
      <c r="V22" s="9" t="n">
        <v>35.71</v>
      </c>
      <c r="W22" s="9" t="n">
        <v>69.97</v>
      </c>
      <c r="X22" s="9" t="n">
        <v>35.32</v>
      </c>
      <c r="Y22" s="9" t="n">
        <v>25.82</v>
      </c>
      <c r="Z22" s="9" t="n">
        <v>8.82</v>
      </c>
      <c r="AA22" s="9" t="n">
        <v>177.71</v>
      </c>
      <c r="AB22" s="9" t="n">
        <v>87.06</v>
      </c>
      <c r="AC22" s="9" t="n">
        <v>48.99</v>
      </c>
      <c r="AD22" s="9" t="n">
        <v>4.29</v>
      </c>
      <c r="AE22" s="9" t="n">
        <v>1.21</v>
      </c>
      <c r="AF22" s="9" t="n">
        <v>28.08</v>
      </c>
      <c r="AG22" s="9" t="n">
        <v>22.74</v>
      </c>
      <c r="AH22" s="9" t="n">
        <v>6.26</v>
      </c>
      <c r="AI22" s="9" t="n">
        <v>27.55</v>
      </c>
      <c r="AJ22" s="9" t="n">
        <v>2.41</v>
      </c>
      <c r="AK22" s="9" t="n">
        <v>1.12</v>
      </c>
      <c r="AL22" s="9" t="n">
        <v>46.34</v>
      </c>
      <c r="AM22" s="9" t="n">
        <v>27.68</v>
      </c>
      <c r="AN22" s="9" t="n">
        <v>3.38</v>
      </c>
      <c r="AO22" s="9" t="n">
        <v>12.22</v>
      </c>
      <c r="AP22" s="9" t="n">
        <v>4.35</v>
      </c>
      <c r="AQ22" s="9" t="n">
        <v>1.21</v>
      </c>
      <c r="AR22" s="9" t="n">
        <v>27.7</v>
      </c>
      <c r="AS22" s="9" t="n">
        <v>1.76</v>
      </c>
      <c r="AT22" s="9" t="n">
        <v>0.24</v>
      </c>
      <c r="AU22" s="9" t="n">
        <v>13.33</v>
      </c>
      <c r="AV22" s="9" t="n">
        <v>0.18</v>
      </c>
      <c r="AW22" s="9" t="n">
        <v>0.15</v>
      </c>
      <c r="AX22" s="9" t="n">
        <v>83.33</v>
      </c>
      <c r="AY22" s="9" t="n">
        <v>12.21</v>
      </c>
      <c r="AZ22" s="9" t="n">
        <v>3.79</v>
      </c>
      <c r="BA22" s="9" t="n">
        <v>31.08</v>
      </c>
      <c r="BB22" s="9" t="n">
        <v>3.82</v>
      </c>
      <c r="BC22" s="9" t="n">
        <v>6.71</v>
      </c>
      <c r="BD22" s="9" t="n">
        <v>21.26</v>
      </c>
      <c r="BE22" s="9" t="n">
        <v>4</v>
      </c>
      <c r="BF22" s="9" t="n">
        <v>7.29</v>
      </c>
      <c r="BG22" s="9" t="n">
        <v>15.88</v>
      </c>
      <c r="BH22" s="9" t="n">
        <v>61.12</v>
      </c>
      <c r="BI22" s="9" t="n">
        <v>27.56</v>
      </c>
      <c r="BJ22" s="9" t="n">
        <v>45.09</v>
      </c>
      <c r="BK22" s="9" t="n">
        <v>1.62</v>
      </c>
      <c r="BL22" s="9" t="n">
        <v>1.85</v>
      </c>
      <c r="BM22" s="9" t="n">
        <v>13.53</v>
      </c>
      <c r="BN22" s="9" t="n">
        <v>5.44</v>
      </c>
      <c r="BO22" s="9" t="n">
        <v>40.22</v>
      </c>
      <c r="BP22" s="9" t="n">
        <v>66.12</v>
      </c>
      <c r="BQ22" s="9" t="n">
        <v>37.12</v>
      </c>
      <c r="BR22" s="9" t="n">
        <v>56.14</v>
      </c>
      <c r="BS22" s="9" t="n">
        <v>22.29</v>
      </c>
      <c r="BT22" s="9" t="n">
        <v>10.44</v>
      </c>
      <c r="BU22" s="9" t="n">
        <v>46.83</v>
      </c>
      <c r="BV22" s="9" t="n">
        <v>2.74</v>
      </c>
      <c r="BW22" s="9" t="n">
        <v>0.9399999999999999</v>
      </c>
      <c r="BX22" s="9" t="n">
        <v>34.41</v>
      </c>
      <c r="BY22" s="9" t="n">
        <v>39.5</v>
      </c>
      <c r="BZ22" s="9" t="n">
        <v>16.97</v>
      </c>
      <c r="CA22" s="9" t="n">
        <v>12.59</v>
      </c>
      <c r="CB22" s="9" t="n">
        <v>2.85</v>
      </c>
      <c r="CC22" s="9" t="n">
        <v>0.24</v>
      </c>
      <c r="CD22" s="9" t="n">
        <v>139.79</v>
      </c>
      <c r="CE22" s="9" t="n">
        <v>102.47</v>
      </c>
      <c r="CF22" s="9" t="n">
        <v>73.3</v>
      </c>
      <c r="CG22" s="9" t="n">
        <v>65.97</v>
      </c>
      <c r="CH22" s="9" t="n">
        <v>62</v>
      </c>
      <c r="CI22" s="9" t="n">
        <v>93.98</v>
      </c>
      <c r="CJ22" s="9" t="n">
        <v>184</v>
      </c>
      <c r="CK22" s="9" t="n">
        <v>168.41</v>
      </c>
      <c r="CL22" s="9" t="n">
        <v>91.53</v>
      </c>
      <c r="CM22" s="9" t="n">
        <v>40.38</v>
      </c>
      <c r="CN22" s="9" t="n">
        <v>21.18</v>
      </c>
      <c r="CO22" s="9" t="n">
        <v>52.44</v>
      </c>
      <c r="CP22" s="9" t="n">
        <v>45.91</v>
      </c>
      <c r="CQ22" s="9" t="n">
        <v>31.12</v>
      </c>
      <c r="CR22" s="9" t="n">
        <v>67.78</v>
      </c>
      <c r="CS22" s="9" t="n">
        <v>69.91</v>
      </c>
      <c r="CT22" s="9" t="n">
        <v>48.5</v>
      </c>
      <c r="CU22" s="9" t="n">
        <v>69.37</v>
      </c>
      <c r="CV22" s="9" t="n">
        <v>4.09</v>
      </c>
      <c r="CW22" s="9" t="n">
        <v>1.82</v>
      </c>
      <c r="CX22" s="9" t="n">
        <v>44.6</v>
      </c>
      <c r="CY22" s="9" t="n">
        <v>18.32</v>
      </c>
      <c r="CZ22" s="9" t="n">
        <v>16.71</v>
      </c>
      <c r="DA22" s="9" t="n">
        <v>91.17</v>
      </c>
      <c r="DB22" s="9" t="n">
        <v>8.65</v>
      </c>
      <c r="DC22" s="9" t="n">
        <v>16.5</v>
      </c>
      <c r="DD22" s="9" t="n">
        <v>4.44</v>
      </c>
      <c r="DE22" s="9" t="n">
        <v>9.460000000000001</v>
      </c>
      <c r="DF22" s="9" t="n">
        <v>17.79</v>
      </c>
      <c r="DG22" s="9" t="n">
        <v>20.13</v>
      </c>
      <c r="DH22" s="9" t="n">
        <v>12.73</v>
      </c>
      <c r="DI22" s="9" t="n">
        <v>1.85</v>
      </c>
      <c r="DJ22" s="9" t="n">
        <v>1.7</v>
      </c>
      <c r="DK22" s="9" t="n">
        <v>13.53</v>
      </c>
      <c r="DL22" s="9" t="n">
        <v>5.12</v>
      </c>
      <c r="DM22" s="9" t="n">
        <v>37.83</v>
      </c>
      <c r="DN22" s="9" t="n">
        <v>405.18</v>
      </c>
      <c r="DO22" s="9" t="n">
        <v>340.47</v>
      </c>
      <c r="DP22" s="9" t="n">
        <v>84.03</v>
      </c>
      <c r="DQ22" s="9" t="n">
        <v>47.76</v>
      </c>
      <c r="DR22" s="9" t="n">
        <v>90.12</v>
      </c>
      <c r="DS22" s="9" t="n">
        <v>14.12</v>
      </c>
      <c r="DT22" s="9" t="n">
        <v>30.12</v>
      </c>
      <c r="DU22" s="9" t="n">
        <v>45.88</v>
      </c>
      <c r="DV22" s="9" t="n">
        <v>71.06</v>
      </c>
      <c r="DW22" s="9" t="n">
        <v>28.82</v>
      </c>
      <c r="DX22" s="9" t="n">
        <v>28.94</v>
      </c>
      <c r="DY22" s="9" t="n">
        <v>13.29</v>
      </c>
      <c r="DZ22" s="9" t="n">
        <v>177.71</v>
      </c>
      <c r="EA22" s="9" t="n">
        <v>84.31999999999999</v>
      </c>
      <c r="EB22" s="9" t="n">
        <v>47.45</v>
      </c>
      <c r="EC22" s="9" t="n">
        <v>5.15</v>
      </c>
      <c r="ED22" s="9" t="n">
        <v>1.65</v>
      </c>
      <c r="EE22" s="9" t="n">
        <v>32</v>
      </c>
      <c r="EF22" s="9" t="n">
        <v>30.65</v>
      </c>
      <c r="EG22" s="9" t="n">
        <v>8.15</v>
      </c>
      <c r="EH22" s="9" t="n">
        <v>26.58</v>
      </c>
      <c r="EI22" s="9" t="n">
        <v>1.29</v>
      </c>
      <c r="EJ22" s="9" t="n">
        <v>0.68</v>
      </c>
      <c r="EK22" s="9" t="n">
        <v>52.27</v>
      </c>
      <c r="EL22" s="9" t="n">
        <v>25.94</v>
      </c>
      <c r="EM22" s="9" t="n">
        <v>4.09</v>
      </c>
      <c r="EN22" s="9" t="n">
        <v>15.76</v>
      </c>
      <c r="EO22" s="9" t="n">
        <v>5.74</v>
      </c>
      <c r="EP22" s="9" t="n">
        <v>1.94</v>
      </c>
      <c r="EQ22" s="9" t="n">
        <v>33.85</v>
      </c>
      <c r="ER22" s="9" t="n">
        <v>2.53</v>
      </c>
      <c r="ES22" s="9" t="n">
        <v>0.5</v>
      </c>
      <c r="ET22" s="9" t="n">
        <v>19.77</v>
      </c>
      <c r="EU22" s="9" t="n">
        <v>0.18</v>
      </c>
      <c r="EV22" s="9" t="n">
        <v>0.12</v>
      </c>
      <c r="EW22" s="9" t="n">
        <v>66.67</v>
      </c>
      <c r="EX22" s="9" t="n">
        <v>15.82</v>
      </c>
      <c r="EY22" s="9" t="n">
        <v>5.56</v>
      </c>
      <c r="EZ22" s="9" t="n">
        <v>35.13</v>
      </c>
      <c r="FA22" s="9" t="n">
        <v>5.38</v>
      </c>
      <c r="FB22" s="9" t="n">
        <v>7.18</v>
      </c>
      <c r="FC22" s="9" t="n">
        <v>24.44</v>
      </c>
      <c r="FD22" s="9" t="n">
        <v>4.18</v>
      </c>
      <c r="FE22" s="9" t="n">
        <v>9.91</v>
      </c>
      <c r="FF22" s="9" t="n">
        <v>20.15</v>
      </c>
      <c r="FG22" s="9" t="n">
        <v>66.12</v>
      </c>
      <c r="FH22" s="9" t="n">
        <v>29</v>
      </c>
      <c r="FI22" s="9" t="n">
        <v>43.86</v>
      </c>
      <c r="FJ22" s="9" t="n">
        <v>2.38</v>
      </c>
      <c r="FK22" s="9" t="n">
        <v>1.56</v>
      </c>
      <c r="FL22" s="9" t="n">
        <v>11.59</v>
      </c>
      <c r="FM22" s="9" t="n">
        <v>4.65</v>
      </c>
      <c r="FN22" s="9" t="n">
        <v>40.1</v>
      </c>
      <c r="FO22" s="9" t="n">
        <v>61.12</v>
      </c>
      <c r="FP22" s="9" t="n">
        <v>33.56</v>
      </c>
      <c r="FQ22" s="9" t="n">
        <v>54.91</v>
      </c>
      <c r="FR22" s="9" t="n">
        <v>22.29</v>
      </c>
      <c r="FS22" s="9" t="n">
        <v>10</v>
      </c>
      <c r="FT22" s="9" t="n">
        <v>44.85</v>
      </c>
      <c r="FU22" s="9" t="n">
        <v>4.18</v>
      </c>
      <c r="FV22" s="9" t="n">
        <v>1.41</v>
      </c>
      <c r="FW22" s="9" t="n">
        <v>33.8</v>
      </c>
      <c r="FX22" s="9" t="n">
        <v>35.32</v>
      </c>
      <c r="FY22" s="9" t="n">
        <v>12.65</v>
      </c>
      <c r="FZ22" s="9" t="n">
        <v>13.24</v>
      </c>
      <c r="GA22" s="9" t="n">
        <v>2.68</v>
      </c>
      <c r="GB22" s="9" t="n">
        <v>0.24</v>
      </c>
      <c r="GC22" s="9" t="n">
        <v>132.29</v>
      </c>
      <c r="GD22" s="9" t="n">
        <v>98.81999999999999</v>
      </c>
      <c r="GE22" s="9" t="n">
        <v>74.7</v>
      </c>
      <c r="GF22" s="9" t="n">
        <v>61.35</v>
      </c>
      <c r="GG22" s="9" t="n">
        <v>57.62</v>
      </c>
      <c r="GH22" s="9" t="n">
        <v>93.91</v>
      </c>
      <c r="GI22" s="9" t="n">
        <v>155.24</v>
      </c>
      <c r="GJ22" s="9" t="n">
        <v>137.53</v>
      </c>
      <c r="GK22" s="9" t="n">
        <v>88.59</v>
      </c>
      <c r="GL22" s="9" t="n">
        <v>40.79</v>
      </c>
      <c r="GM22" s="9" t="n">
        <v>22.53</v>
      </c>
      <c r="GN22" s="9" t="n">
        <v>55.23</v>
      </c>
      <c r="GO22" s="9" t="n">
        <v>52.68</v>
      </c>
      <c r="GP22" s="9" t="n">
        <v>36.29</v>
      </c>
      <c r="GQ22" s="9" t="n">
        <v>68.90000000000001</v>
      </c>
      <c r="GR22" s="9" t="n">
        <v>66.76000000000001</v>
      </c>
      <c r="GS22" s="9" t="n">
        <v>50.88</v>
      </c>
      <c r="GT22" s="9" t="n">
        <v>76.20999999999999</v>
      </c>
      <c r="GU22" s="9" t="n">
        <v>4.18</v>
      </c>
      <c r="GV22" s="9" t="n">
        <v>1.59</v>
      </c>
      <c r="GW22" s="9" t="n">
        <v>38.03</v>
      </c>
      <c r="GX22" s="9" t="n">
        <v>21.71</v>
      </c>
      <c r="GY22" s="9" t="n">
        <v>19.91</v>
      </c>
      <c r="GZ22" s="9" t="n">
        <v>91.73</v>
      </c>
      <c r="HA22" s="9" t="n">
        <v>7.97</v>
      </c>
      <c r="HB22" s="9" t="n">
        <v>16.57</v>
      </c>
      <c r="HC22" s="9" t="n">
        <v>4</v>
      </c>
      <c r="HD22" s="9" t="n">
        <v>10.27</v>
      </c>
      <c r="HE22" s="9" t="n">
        <v>17.46</v>
      </c>
      <c r="HF22" s="9" t="n">
        <v>19.96</v>
      </c>
      <c r="HG22" s="9" t="n">
        <v>12.41</v>
      </c>
    </row>
    <row r="23">
      <c r="A23" s="12" t="n">
        <v>2022</v>
      </c>
      <c r="B23" s="12" t="n">
        <v>28</v>
      </c>
      <c r="C23" s="5">
        <f>(B23-AVERAGE($B$2:$B$100))/_xlfn.STDEV.P($B$2:$B$100)</f>
        <v/>
      </c>
      <c r="D23" s="12" t="n">
        <v>11</v>
      </c>
      <c r="E23" s="6">
        <f>-D23</f>
        <v/>
      </c>
      <c r="F23" s="7">
        <f>(E23-AVERAGE($E$2:$E$100))/_xlfn.STDEV.P($E$2:$E$100)</f>
        <v/>
      </c>
      <c r="G23" s="7">
        <f>sum(0.5*C23)+(0.5*F23)</f>
        <v/>
      </c>
      <c r="H23" s="12" t="inlineStr">
        <is>
          <t>East</t>
        </is>
      </c>
      <c r="I23" s="8" t="inlineStr">
        <is>
          <t>Loudoun United</t>
        </is>
      </c>
      <c r="J23" s="9" t="n">
        <v>1.06</v>
      </c>
      <c r="K23" s="9" t="n">
        <v>1.24</v>
      </c>
      <c r="L23" s="9" t="n">
        <v>10.18</v>
      </c>
      <c r="M23" s="9" t="n">
        <v>4.03</v>
      </c>
      <c r="N23" s="9" t="n">
        <v>39.6</v>
      </c>
      <c r="O23" s="9" t="n">
        <v>437.21</v>
      </c>
      <c r="P23" s="9" t="n">
        <v>365.06</v>
      </c>
      <c r="Q23" s="9" t="n">
        <v>83.5</v>
      </c>
      <c r="R23" s="9" t="n">
        <v>50.78</v>
      </c>
      <c r="S23" s="9" t="n">
        <v>100.24</v>
      </c>
      <c r="T23" s="9" t="n">
        <v>20.91</v>
      </c>
      <c r="U23" s="9" t="n">
        <v>38.21</v>
      </c>
      <c r="V23" s="9" t="n">
        <v>41.12</v>
      </c>
      <c r="W23" s="9" t="n">
        <v>79.91</v>
      </c>
      <c r="X23" s="9" t="n">
        <v>41.26</v>
      </c>
      <c r="Y23" s="9" t="n">
        <v>28.32</v>
      </c>
      <c r="Z23" s="9" t="n">
        <v>10.32</v>
      </c>
      <c r="AA23" s="9" t="n">
        <v>204.76</v>
      </c>
      <c r="AB23" s="9" t="n">
        <v>98</v>
      </c>
      <c r="AC23" s="9" t="n">
        <v>47.86</v>
      </c>
      <c r="AD23" s="9" t="n">
        <v>4.35</v>
      </c>
      <c r="AE23" s="9" t="n">
        <v>1.29</v>
      </c>
      <c r="AF23" s="9" t="n">
        <v>29.73</v>
      </c>
      <c r="AG23" s="9" t="n">
        <v>24.06</v>
      </c>
      <c r="AH23" s="9" t="n">
        <v>5.68</v>
      </c>
      <c r="AI23" s="9" t="n">
        <v>23.59</v>
      </c>
      <c r="AJ23" s="9" t="n">
        <v>2.38</v>
      </c>
      <c r="AK23" s="9" t="n">
        <v>1.06</v>
      </c>
      <c r="AL23" s="9" t="n">
        <v>44.44</v>
      </c>
      <c r="AM23" s="9" t="n">
        <v>26.21</v>
      </c>
      <c r="AN23" s="9" t="n">
        <v>2.88</v>
      </c>
      <c r="AO23" s="9" t="n">
        <v>11</v>
      </c>
      <c r="AP23" s="9" t="n">
        <v>3.44</v>
      </c>
      <c r="AQ23" s="9" t="n">
        <v>1.06</v>
      </c>
      <c r="AR23" s="9" t="n">
        <v>30.77</v>
      </c>
      <c r="AS23" s="9" t="n">
        <v>1.94</v>
      </c>
      <c r="AT23" s="9" t="n">
        <v>0.38</v>
      </c>
      <c r="AU23" s="9" t="n">
        <v>19.7</v>
      </c>
      <c r="AV23" s="9" t="n">
        <v>0.18</v>
      </c>
      <c r="AW23" s="9" t="n">
        <v>0.09</v>
      </c>
      <c r="AX23" s="9" t="n">
        <v>50</v>
      </c>
      <c r="AY23" s="9" t="n">
        <v>9.06</v>
      </c>
      <c r="AZ23" s="9" t="n">
        <v>2.59</v>
      </c>
      <c r="BA23" s="9" t="n">
        <v>28.57</v>
      </c>
      <c r="BB23" s="9" t="n">
        <v>2.56</v>
      </c>
      <c r="BC23" s="9" t="n">
        <v>6.21</v>
      </c>
      <c r="BD23" s="9" t="n">
        <v>19.53</v>
      </c>
      <c r="BE23" s="9" t="n">
        <v>3.85</v>
      </c>
      <c r="BF23" s="9" t="n">
        <v>5.12</v>
      </c>
      <c r="BG23" s="9" t="n">
        <v>13.62</v>
      </c>
      <c r="BH23" s="9" t="n">
        <v>73.65000000000001</v>
      </c>
      <c r="BI23" s="9" t="n">
        <v>29.03</v>
      </c>
      <c r="BJ23" s="9" t="n">
        <v>39.42</v>
      </c>
      <c r="BK23" s="9" t="n">
        <v>1.82</v>
      </c>
      <c r="BL23" s="9" t="n">
        <v>2.18</v>
      </c>
      <c r="BM23" s="9" t="n">
        <v>14.29</v>
      </c>
      <c r="BN23" s="9" t="n">
        <v>6.09</v>
      </c>
      <c r="BO23" s="9" t="n">
        <v>42.59</v>
      </c>
      <c r="BP23" s="9" t="n">
        <v>72.88</v>
      </c>
      <c r="BQ23" s="9" t="n">
        <v>43.47</v>
      </c>
      <c r="BR23" s="9" t="n">
        <v>59.64</v>
      </c>
      <c r="BS23" s="9" t="n">
        <v>28.82</v>
      </c>
      <c r="BT23" s="9" t="n">
        <v>13.5</v>
      </c>
      <c r="BU23" s="9" t="n">
        <v>46.84</v>
      </c>
      <c r="BV23" s="9" t="n">
        <v>4.18</v>
      </c>
      <c r="BW23" s="9" t="n">
        <v>1.85</v>
      </c>
      <c r="BX23" s="9" t="n">
        <v>44.37</v>
      </c>
      <c r="BY23" s="9" t="n">
        <v>44.74</v>
      </c>
      <c r="BZ23" s="9" t="n">
        <v>17.09</v>
      </c>
      <c r="CA23" s="9" t="n">
        <v>12.09</v>
      </c>
      <c r="CB23" s="9" t="n">
        <v>2.47</v>
      </c>
      <c r="CC23" s="9" t="n">
        <v>0.15</v>
      </c>
      <c r="CD23" s="9" t="n">
        <v>146.47</v>
      </c>
      <c r="CE23" s="9" t="n">
        <v>105.38</v>
      </c>
      <c r="CF23" s="9" t="n">
        <v>71.95</v>
      </c>
      <c r="CG23" s="9" t="n">
        <v>68.68000000000001</v>
      </c>
      <c r="CH23" s="9" t="n">
        <v>64.29000000000001</v>
      </c>
      <c r="CI23" s="9" t="n">
        <v>93.62</v>
      </c>
      <c r="CJ23" s="9" t="n">
        <v>160.18</v>
      </c>
      <c r="CK23" s="9" t="n">
        <v>143.35</v>
      </c>
      <c r="CL23" s="9" t="n">
        <v>89.5</v>
      </c>
      <c r="CM23" s="9" t="n">
        <v>51.24</v>
      </c>
      <c r="CN23" s="9" t="n">
        <v>27.88</v>
      </c>
      <c r="CO23" s="9" t="n">
        <v>54.42</v>
      </c>
      <c r="CP23" s="9" t="n">
        <v>51.65</v>
      </c>
      <c r="CQ23" s="9" t="n">
        <v>33.71</v>
      </c>
      <c r="CR23" s="9" t="n">
        <v>65.26000000000001</v>
      </c>
      <c r="CS23" s="9" t="n">
        <v>73.97</v>
      </c>
      <c r="CT23" s="9" t="n">
        <v>50.12</v>
      </c>
      <c r="CU23" s="9" t="n">
        <v>67.75</v>
      </c>
      <c r="CV23" s="9" t="n">
        <v>5.91</v>
      </c>
      <c r="CW23" s="9" t="n">
        <v>2.32</v>
      </c>
      <c r="CX23" s="9" t="n">
        <v>39.3</v>
      </c>
      <c r="CY23" s="9" t="n">
        <v>18.62</v>
      </c>
      <c r="CZ23" s="9" t="n">
        <v>16.91</v>
      </c>
      <c r="DA23" s="9" t="n">
        <v>90.84</v>
      </c>
      <c r="DB23" s="9" t="n">
        <v>9.09</v>
      </c>
      <c r="DC23" s="9" t="n">
        <v>16.21</v>
      </c>
      <c r="DD23" s="9" t="n">
        <v>4.09</v>
      </c>
      <c r="DE23" s="9" t="n">
        <v>12.18</v>
      </c>
      <c r="DF23" s="9" t="n">
        <v>18.09</v>
      </c>
      <c r="DG23" s="9" t="n">
        <v>20.08</v>
      </c>
      <c r="DH23" s="9" t="n">
        <v>12.33</v>
      </c>
      <c r="DI23" s="9" t="n">
        <v>2.18</v>
      </c>
      <c r="DJ23" s="9" t="n">
        <v>1.94</v>
      </c>
      <c r="DK23" s="9" t="n">
        <v>14.29</v>
      </c>
      <c r="DL23" s="9" t="n">
        <v>5.85</v>
      </c>
      <c r="DM23" s="9" t="n">
        <v>40.95</v>
      </c>
      <c r="DN23" s="9" t="n">
        <v>427.21</v>
      </c>
      <c r="DO23" s="9" t="n">
        <v>353.44</v>
      </c>
      <c r="DP23" s="9" t="n">
        <v>82.73</v>
      </c>
      <c r="DQ23" s="9" t="n">
        <v>49.22</v>
      </c>
      <c r="DR23" s="9" t="n">
        <v>101.21</v>
      </c>
      <c r="DS23" s="9" t="n">
        <v>14.94</v>
      </c>
      <c r="DT23" s="9" t="n">
        <v>32.32</v>
      </c>
      <c r="DU23" s="9" t="n">
        <v>53.94</v>
      </c>
      <c r="DV23" s="9" t="n">
        <v>80.56</v>
      </c>
      <c r="DW23" s="9" t="n">
        <v>32.91</v>
      </c>
      <c r="DX23" s="9" t="n">
        <v>33.38</v>
      </c>
      <c r="DY23" s="9" t="n">
        <v>14.26</v>
      </c>
      <c r="DZ23" s="9" t="n">
        <v>204.76</v>
      </c>
      <c r="EA23" s="9" t="n">
        <v>100.41</v>
      </c>
      <c r="EB23" s="9" t="n">
        <v>49.04</v>
      </c>
      <c r="EC23" s="9" t="n">
        <v>5.21</v>
      </c>
      <c r="ED23" s="9" t="n">
        <v>1.44</v>
      </c>
      <c r="EE23" s="9" t="n">
        <v>27.68</v>
      </c>
      <c r="EF23" s="9" t="n">
        <v>35.82</v>
      </c>
      <c r="EG23" s="9" t="n">
        <v>9.26</v>
      </c>
      <c r="EH23" s="9" t="n">
        <v>25.86</v>
      </c>
      <c r="EI23" s="9" t="n">
        <v>2</v>
      </c>
      <c r="EJ23" s="9" t="n">
        <v>0.88</v>
      </c>
      <c r="EK23" s="9" t="n">
        <v>44.12</v>
      </c>
      <c r="EL23" s="9" t="n">
        <v>24.26</v>
      </c>
      <c r="EM23" s="9" t="n">
        <v>3.35</v>
      </c>
      <c r="EN23" s="9" t="n">
        <v>13.82</v>
      </c>
      <c r="EO23" s="9" t="n">
        <v>5.09</v>
      </c>
      <c r="EP23" s="9" t="n">
        <v>1.71</v>
      </c>
      <c r="EQ23" s="9" t="n">
        <v>33.53</v>
      </c>
      <c r="ER23" s="9" t="n">
        <v>2.71</v>
      </c>
      <c r="ES23" s="9" t="n">
        <v>0.76</v>
      </c>
      <c r="ET23" s="9" t="n">
        <v>28.26</v>
      </c>
      <c r="EU23" s="9" t="n">
        <v>0.35</v>
      </c>
      <c r="EV23" s="9" t="n">
        <v>0.26</v>
      </c>
      <c r="EW23" s="9" t="n">
        <v>75</v>
      </c>
      <c r="EX23" s="9" t="n">
        <v>17.03</v>
      </c>
      <c r="EY23" s="9" t="n">
        <v>6.47</v>
      </c>
      <c r="EZ23" s="9" t="n">
        <v>38</v>
      </c>
      <c r="FA23" s="9" t="n">
        <v>5.85</v>
      </c>
      <c r="FB23" s="9" t="n">
        <v>8.880000000000001</v>
      </c>
      <c r="FC23" s="9" t="n">
        <v>28</v>
      </c>
      <c r="FD23" s="9" t="n">
        <v>6.32</v>
      </c>
      <c r="FE23" s="9" t="n">
        <v>8.970000000000001</v>
      </c>
      <c r="FF23" s="9" t="n">
        <v>22.97</v>
      </c>
      <c r="FG23" s="9" t="n">
        <v>72.88</v>
      </c>
      <c r="FH23" s="9" t="n">
        <v>29.41</v>
      </c>
      <c r="FI23" s="9" t="n">
        <v>40.36</v>
      </c>
      <c r="FJ23" s="9" t="n">
        <v>2.26</v>
      </c>
      <c r="FK23" s="9" t="n">
        <v>1.06</v>
      </c>
      <c r="FL23" s="9" t="n">
        <v>10.18</v>
      </c>
      <c r="FM23" s="9" t="n">
        <v>4.18</v>
      </c>
      <c r="FN23" s="9" t="n">
        <v>41.04</v>
      </c>
      <c r="FO23" s="9" t="n">
        <v>73.65000000000001</v>
      </c>
      <c r="FP23" s="9" t="n">
        <v>44.62</v>
      </c>
      <c r="FQ23" s="9" t="n">
        <v>60.58</v>
      </c>
      <c r="FR23" s="9" t="n">
        <v>28.82</v>
      </c>
      <c r="FS23" s="9" t="n">
        <v>13.41</v>
      </c>
      <c r="FT23" s="9" t="n">
        <v>46.53</v>
      </c>
      <c r="FU23" s="9" t="n">
        <v>3.82</v>
      </c>
      <c r="FV23" s="9" t="n">
        <v>1.65</v>
      </c>
      <c r="FW23" s="9" t="n">
        <v>43.08</v>
      </c>
      <c r="FX23" s="9" t="n">
        <v>36.59</v>
      </c>
      <c r="FY23" s="9" t="n">
        <v>11.41</v>
      </c>
      <c r="FZ23" s="9" t="n">
        <v>12.71</v>
      </c>
      <c r="GA23" s="9" t="n">
        <v>2.18</v>
      </c>
      <c r="GB23" s="9" t="n">
        <v>0.15</v>
      </c>
      <c r="GC23" s="9" t="n">
        <v>145.12</v>
      </c>
      <c r="GD23" s="9" t="n">
        <v>106.88</v>
      </c>
      <c r="GE23" s="9" t="n">
        <v>73.65000000000001</v>
      </c>
      <c r="GF23" s="9" t="n">
        <v>64.29000000000001</v>
      </c>
      <c r="GG23" s="9" t="n">
        <v>59.47</v>
      </c>
      <c r="GH23" s="9" t="n">
        <v>92.5</v>
      </c>
      <c r="GI23" s="9" t="n">
        <v>156.09</v>
      </c>
      <c r="GJ23" s="9" t="n">
        <v>138.06</v>
      </c>
      <c r="GK23" s="9" t="n">
        <v>88.45</v>
      </c>
      <c r="GL23" s="9" t="n">
        <v>46.15</v>
      </c>
      <c r="GM23" s="9" t="n">
        <v>24.76</v>
      </c>
      <c r="GN23" s="9" t="n">
        <v>53.66</v>
      </c>
      <c r="GO23" s="9" t="n">
        <v>59.41</v>
      </c>
      <c r="GP23" s="9" t="n">
        <v>40.85</v>
      </c>
      <c r="GQ23" s="9" t="n">
        <v>68.76000000000001</v>
      </c>
      <c r="GR23" s="9" t="n">
        <v>76.18000000000001</v>
      </c>
      <c r="GS23" s="9" t="n">
        <v>58.91</v>
      </c>
      <c r="GT23" s="9" t="n">
        <v>77.34</v>
      </c>
      <c r="GU23" s="9" t="n">
        <v>4.44</v>
      </c>
      <c r="GV23" s="9" t="n">
        <v>1.74</v>
      </c>
      <c r="GW23" s="9" t="n">
        <v>39.07</v>
      </c>
      <c r="GX23" s="9" t="n">
        <v>24.15</v>
      </c>
      <c r="GY23" s="9" t="n">
        <v>21.97</v>
      </c>
      <c r="GZ23" s="9" t="n">
        <v>90.98999999999999</v>
      </c>
      <c r="HA23" s="9" t="n">
        <v>6.76</v>
      </c>
      <c r="HB23" s="9" t="n">
        <v>16.46</v>
      </c>
      <c r="HC23" s="9" t="n">
        <v>3.9</v>
      </c>
      <c r="HD23" s="9" t="n">
        <v>11.16</v>
      </c>
      <c r="HE23" s="9" t="n">
        <v>17.44</v>
      </c>
      <c r="HF23" s="9" t="n">
        <v>19.93</v>
      </c>
      <c r="HG23" s="9" t="n">
        <v>10.6</v>
      </c>
    </row>
    <row r="24">
      <c r="A24" s="12" t="n">
        <v>2022</v>
      </c>
      <c r="B24" s="12" t="n">
        <v>40</v>
      </c>
      <c r="C24" s="5">
        <f>(B24-AVERAGE($B$2:$B$100))/_xlfn.STDEV.P($B$2:$B$100)</f>
        <v/>
      </c>
      <c r="D24" s="12" t="n">
        <v>12</v>
      </c>
      <c r="E24" s="6">
        <f>-D24</f>
        <v/>
      </c>
      <c r="F24" s="7">
        <f>(E24-AVERAGE($E$2:$E$100))/_xlfn.STDEV.P($E$2:$E$100)</f>
        <v/>
      </c>
      <c r="G24" s="7">
        <f>sum(0.5*C24)+(0.5*F24)</f>
        <v/>
      </c>
      <c r="H24" s="12" t="inlineStr">
        <is>
          <t>West</t>
        </is>
      </c>
      <c r="I24" s="8" t="inlineStr">
        <is>
          <t>Monterey Bay FC</t>
        </is>
      </c>
      <c r="J24" s="9" t="n">
        <v>1.24</v>
      </c>
      <c r="K24" s="9" t="n">
        <v>1.27</v>
      </c>
      <c r="L24" s="9" t="n">
        <v>9.789999999999999</v>
      </c>
      <c r="M24" s="9" t="n">
        <v>3.56</v>
      </c>
      <c r="N24" s="9" t="n">
        <v>36.34</v>
      </c>
      <c r="O24" s="9" t="n">
        <v>372.79</v>
      </c>
      <c r="P24" s="9" t="n">
        <v>298.85</v>
      </c>
      <c r="Q24" s="9" t="n">
        <v>80.17</v>
      </c>
      <c r="R24" s="9" t="n">
        <v>43.94</v>
      </c>
      <c r="S24" s="9" t="n">
        <v>108.59</v>
      </c>
      <c r="T24" s="9" t="n">
        <v>19.68</v>
      </c>
      <c r="U24" s="9" t="n">
        <v>41.06</v>
      </c>
      <c r="V24" s="9" t="n">
        <v>47.85</v>
      </c>
      <c r="W24" s="9" t="n">
        <v>81.34999999999999</v>
      </c>
      <c r="X24" s="9" t="n">
        <v>39.18</v>
      </c>
      <c r="Y24" s="9" t="n">
        <v>31.29</v>
      </c>
      <c r="Z24" s="9" t="n">
        <v>10.88</v>
      </c>
      <c r="AA24" s="9" t="n">
        <v>206.24</v>
      </c>
      <c r="AB24" s="9" t="n">
        <v>97.23999999999999</v>
      </c>
      <c r="AC24" s="9" t="n">
        <v>47.15</v>
      </c>
      <c r="AD24" s="9" t="n">
        <v>3.74</v>
      </c>
      <c r="AE24" s="9" t="n">
        <v>0.76</v>
      </c>
      <c r="AF24" s="9" t="n">
        <v>20.47</v>
      </c>
      <c r="AG24" s="9" t="n">
        <v>28.53</v>
      </c>
      <c r="AH24" s="9" t="n">
        <v>5.82</v>
      </c>
      <c r="AI24" s="9" t="n">
        <v>20.41</v>
      </c>
      <c r="AJ24" s="9" t="n">
        <v>1.44</v>
      </c>
      <c r="AK24" s="9" t="n">
        <v>0.65</v>
      </c>
      <c r="AL24" s="9" t="n">
        <v>44.9</v>
      </c>
      <c r="AM24" s="9" t="n">
        <v>25.35</v>
      </c>
      <c r="AN24" s="9" t="n">
        <v>2.82</v>
      </c>
      <c r="AO24" s="9" t="n">
        <v>11.14</v>
      </c>
      <c r="AP24" s="9" t="n">
        <v>4.94</v>
      </c>
      <c r="AQ24" s="9" t="n">
        <v>1.32</v>
      </c>
      <c r="AR24" s="9" t="n">
        <v>26.79</v>
      </c>
      <c r="AS24" s="9" t="n">
        <v>2.71</v>
      </c>
      <c r="AT24" s="9" t="n">
        <v>0.65</v>
      </c>
      <c r="AU24" s="9" t="n">
        <v>23.91</v>
      </c>
      <c r="AV24" s="9" t="n">
        <v>0.03</v>
      </c>
      <c r="AW24" s="9" t="n">
        <v>0</v>
      </c>
      <c r="AX24" s="9" t="n">
        <v>0</v>
      </c>
      <c r="AY24" s="9" t="n">
        <v>14.29</v>
      </c>
      <c r="AZ24" s="9" t="n">
        <v>3.97</v>
      </c>
      <c r="BA24" s="9" t="n">
        <v>27.78</v>
      </c>
      <c r="BB24" s="9" t="n">
        <v>3.85</v>
      </c>
      <c r="BC24" s="9" t="n">
        <v>4.88</v>
      </c>
      <c r="BD24" s="9" t="n">
        <v>20.82</v>
      </c>
      <c r="BE24" s="9" t="n">
        <v>3.91</v>
      </c>
      <c r="BF24" s="9" t="n">
        <v>9.09</v>
      </c>
      <c r="BG24" s="9" t="n">
        <v>14.32</v>
      </c>
      <c r="BH24" s="9" t="n">
        <v>66.47</v>
      </c>
      <c r="BI24" s="9" t="n">
        <v>25.35</v>
      </c>
      <c r="BJ24" s="9" t="n">
        <v>38.14</v>
      </c>
      <c r="BK24" s="9" t="n">
        <v>1.35</v>
      </c>
      <c r="BL24" s="9" t="n">
        <v>1.74</v>
      </c>
      <c r="BM24" s="9" t="n">
        <v>11.59</v>
      </c>
      <c r="BN24" s="9" t="n">
        <v>4.79</v>
      </c>
      <c r="BO24" s="9" t="n">
        <v>41.37</v>
      </c>
      <c r="BP24" s="9" t="n">
        <v>70.76000000000001</v>
      </c>
      <c r="BQ24" s="9" t="n">
        <v>41.76</v>
      </c>
      <c r="BR24" s="9" t="n">
        <v>59.02</v>
      </c>
      <c r="BS24" s="9" t="n">
        <v>36.94</v>
      </c>
      <c r="BT24" s="9" t="n">
        <v>17.38</v>
      </c>
      <c r="BU24" s="9" t="n">
        <v>47.05</v>
      </c>
      <c r="BV24" s="9" t="n">
        <v>4.62</v>
      </c>
      <c r="BW24" s="9" t="n">
        <v>1.91</v>
      </c>
      <c r="BX24" s="9" t="n">
        <v>41.4</v>
      </c>
      <c r="BY24" s="9" t="n">
        <v>43.09</v>
      </c>
      <c r="BZ24" s="9" t="n">
        <v>15.79</v>
      </c>
      <c r="CA24" s="9" t="n">
        <v>13.15</v>
      </c>
      <c r="CB24" s="9" t="n">
        <v>2.18</v>
      </c>
      <c r="CC24" s="9" t="n">
        <v>0.21</v>
      </c>
      <c r="CD24" s="9" t="n">
        <v>134.32</v>
      </c>
      <c r="CE24" s="9" t="n">
        <v>93.79000000000001</v>
      </c>
      <c r="CF24" s="9" t="n">
        <v>69.83</v>
      </c>
      <c r="CG24" s="9" t="n">
        <v>57.53</v>
      </c>
      <c r="CH24" s="9" t="n">
        <v>53.62</v>
      </c>
      <c r="CI24" s="9" t="n">
        <v>93.2</v>
      </c>
      <c r="CJ24" s="9" t="n">
        <v>128.18</v>
      </c>
      <c r="CK24" s="9" t="n">
        <v>109.71</v>
      </c>
      <c r="CL24" s="9" t="n">
        <v>85.59</v>
      </c>
      <c r="CM24" s="9" t="n">
        <v>47.24</v>
      </c>
      <c r="CN24" s="9" t="n">
        <v>24.74</v>
      </c>
      <c r="CO24" s="9" t="n">
        <v>52.37</v>
      </c>
      <c r="CP24" s="9" t="n">
        <v>47.71</v>
      </c>
      <c r="CQ24" s="9" t="n">
        <v>30.76</v>
      </c>
      <c r="CR24" s="9" t="n">
        <v>64.48999999999999</v>
      </c>
      <c r="CS24" s="9" t="n">
        <v>66.94</v>
      </c>
      <c r="CT24" s="9" t="n">
        <v>46.29</v>
      </c>
      <c r="CU24" s="9" t="n">
        <v>69.16</v>
      </c>
      <c r="CV24" s="9" t="n">
        <v>2.62</v>
      </c>
      <c r="CW24" s="9" t="n">
        <v>0.88</v>
      </c>
      <c r="CX24" s="9" t="n">
        <v>33.71</v>
      </c>
      <c r="CY24" s="9" t="n">
        <v>25.15</v>
      </c>
      <c r="CZ24" s="9" t="n">
        <v>21.79</v>
      </c>
      <c r="DA24" s="9" t="n">
        <v>86.67</v>
      </c>
      <c r="DB24" s="9" t="n">
        <v>8.35</v>
      </c>
      <c r="DC24" s="9" t="n">
        <v>16.42</v>
      </c>
      <c r="DD24" s="9" t="n">
        <v>3.38</v>
      </c>
      <c r="DE24" s="9" t="n">
        <v>13.02</v>
      </c>
      <c r="DF24" s="9" t="n">
        <v>16.96</v>
      </c>
      <c r="DG24" s="9" t="n">
        <v>20.04</v>
      </c>
      <c r="DH24" s="9" t="n">
        <v>12.08</v>
      </c>
      <c r="DI24" s="9" t="n">
        <v>1.74</v>
      </c>
      <c r="DJ24" s="9" t="n">
        <v>1.62</v>
      </c>
      <c r="DK24" s="9" t="n">
        <v>11.59</v>
      </c>
      <c r="DL24" s="9" t="n">
        <v>4.5</v>
      </c>
      <c r="DM24" s="9" t="n">
        <v>38.83</v>
      </c>
      <c r="DN24" s="9" t="n">
        <v>488.03</v>
      </c>
      <c r="DO24" s="9" t="n">
        <v>409.26</v>
      </c>
      <c r="DP24" s="9" t="n">
        <v>83.86</v>
      </c>
      <c r="DQ24" s="9" t="n">
        <v>56.06</v>
      </c>
      <c r="DR24" s="9" t="n">
        <v>106.85</v>
      </c>
      <c r="DS24" s="9" t="n">
        <v>17.65</v>
      </c>
      <c r="DT24" s="9" t="n">
        <v>38.15</v>
      </c>
      <c r="DU24" s="9" t="n">
        <v>51.06</v>
      </c>
      <c r="DV24" s="9" t="n">
        <v>84.5</v>
      </c>
      <c r="DW24" s="9" t="n">
        <v>38.26</v>
      </c>
      <c r="DX24" s="9" t="n">
        <v>34.32</v>
      </c>
      <c r="DY24" s="9" t="n">
        <v>11.91</v>
      </c>
      <c r="DZ24" s="9" t="n">
        <v>206.24</v>
      </c>
      <c r="EA24" s="9" t="n">
        <v>100.41</v>
      </c>
      <c r="EB24" s="9" t="n">
        <v>48.69</v>
      </c>
      <c r="EC24" s="9" t="n">
        <v>4.56</v>
      </c>
      <c r="ED24" s="9" t="n">
        <v>1.21</v>
      </c>
      <c r="EE24" s="9" t="n">
        <v>26.45</v>
      </c>
      <c r="EF24" s="9" t="n">
        <v>31.15</v>
      </c>
      <c r="EG24" s="9" t="n">
        <v>6.59</v>
      </c>
      <c r="EH24" s="9" t="n">
        <v>21.15</v>
      </c>
      <c r="EI24" s="9" t="n">
        <v>2.09</v>
      </c>
      <c r="EJ24" s="9" t="n">
        <v>1.18</v>
      </c>
      <c r="EK24" s="9" t="n">
        <v>56.34</v>
      </c>
      <c r="EL24" s="9" t="n">
        <v>25.79</v>
      </c>
      <c r="EM24" s="9" t="n">
        <v>3.09</v>
      </c>
      <c r="EN24" s="9" t="n">
        <v>11.97</v>
      </c>
      <c r="EO24" s="9" t="n">
        <v>5</v>
      </c>
      <c r="EP24" s="9" t="n">
        <v>1.15</v>
      </c>
      <c r="EQ24" s="9" t="n">
        <v>22.94</v>
      </c>
      <c r="ER24" s="9" t="n">
        <v>2.24</v>
      </c>
      <c r="ES24" s="9" t="n">
        <v>0.62</v>
      </c>
      <c r="ET24" s="9" t="n">
        <v>27.63</v>
      </c>
      <c r="EU24" s="9" t="n">
        <v>0.26</v>
      </c>
      <c r="EV24" s="9" t="n">
        <v>0.21</v>
      </c>
      <c r="EW24" s="9" t="n">
        <v>77.78</v>
      </c>
      <c r="EX24" s="9" t="n">
        <v>15.62</v>
      </c>
      <c r="EY24" s="9" t="n">
        <v>5.18</v>
      </c>
      <c r="EZ24" s="9" t="n">
        <v>33.15</v>
      </c>
      <c r="FA24" s="9" t="n">
        <v>5.15</v>
      </c>
      <c r="FB24" s="9" t="n">
        <v>7.21</v>
      </c>
      <c r="FC24" s="9" t="n">
        <v>25.59</v>
      </c>
      <c r="FD24" s="9" t="n">
        <v>4.18</v>
      </c>
      <c r="FE24" s="9" t="n">
        <v>9.41</v>
      </c>
      <c r="FF24" s="9" t="n">
        <v>17.24</v>
      </c>
      <c r="FG24" s="9" t="n">
        <v>70.76000000000001</v>
      </c>
      <c r="FH24" s="9" t="n">
        <v>29</v>
      </c>
      <c r="FI24" s="9" t="n">
        <v>40.98</v>
      </c>
      <c r="FJ24" s="9" t="n">
        <v>2.12</v>
      </c>
      <c r="FK24" s="9" t="n">
        <v>1.24</v>
      </c>
      <c r="FL24" s="9" t="n">
        <v>9.789999999999999</v>
      </c>
      <c r="FM24" s="9" t="n">
        <v>3.76</v>
      </c>
      <c r="FN24" s="9" t="n">
        <v>38.44</v>
      </c>
      <c r="FO24" s="9" t="n">
        <v>66.47</v>
      </c>
      <c r="FP24" s="9" t="n">
        <v>41.12</v>
      </c>
      <c r="FQ24" s="9" t="n">
        <v>61.86</v>
      </c>
      <c r="FR24" s="9" t="n">
        <v>36.94</v>
      </c>
      <c r="FS24" s="9" t="n">
        <v>16.76</v>
      </c>
      <c r="FT24" s="9" t="n">
        <v>45.38</v>
      </c>
      <c r="FU24" s="9" t="n">
        <v>4.38</v>
      </c>
      <c r="FV24" s="9" t="n">
        <v>2.03</v>
      </c>
      <c r="FW24" s="9" t="n">
        <v>46.31</v>
      </c>
      <c r="FX24" s="9" t="n">
        <v>39.41</v>
      </c>
      <c r="FY24" s="9" t="n">
        <v>16.82</v>
      </c>
      <c r="FZ24" s="9" t="n">
        <v>12.65</v>
      </c>
      <c r="GA24" s="9" t="n">
        <v>2.56</v>
      </c>
      <c r="GB24" s="9" t="n">
        <v>0.06</v>
      </c>
      <c r="GC24" s="9" t="n">
        <v>163.47</v>
      </c>
      <c r="GD24" s="9" t="n">
        <v>121.29</v>
      </c>
      <c r="GE24" s="9" t="n">
        <v>74.2</v>
      </c>
      <c r="GF24" s="9" t="n">
        <v>74.34999999999999</v>
      </c>
      <c r="GG24" s="9" t="n">
        <v>69.97</v>
      </c>
      <c r="GH24" s="9" t="n">
        <v>94.11</v>
      </c>
      <c r="GI24" s="9" t="n">
        <v>185.24</v>
      </c>
      <c r="GJ24" s="9" t="n">
        <v>165.32</v>
      </c>
      <c r="GK24" s="9" t="n">
        <v>89.25</v>
      </c>
      <c r="GL24" s="9" t="n">
        <v>47.88</v>
      </c>
      <c r="GM24" s="9" t="n">
        <v>26.74</v>
      </c>
      <c r="GN24" s="9" t="n">
        <v>55.84</v>
      </c>
      <c r="GO24" s="9" t="n">
        <v>65.97</v>
      </c>
      <c r="GP24" s="9" t="n">
        <v>44.76</v>
      </c>
      <c r="GQ24" s="9" t="n">
        <v>67.86</v>
      </c>
      <c r="GR24" s="9" t="n">
        <v>82.44</v>
      </c>
      <c r="GS24" s="9" t="n">
        <v>62.79</v>
      </c>
      <c r="GT24" s="9" t="n">
        <v>76.17</v>
      </c>
      <c r="GU24" s="9" t="n">
        <v>4.68</v>
      </c>
      <c r="GV24" s="9" t="n">
        <v>2.12</v>
      </c>
      <c r="GW24" s="9" t="n">
        <v>45.28</v>
      </c>
      <c r="GX24" s="9" t="n">
        <v>22.91</v>
      </c>
      <c r="GY24" s="9" t="n">
        <v>20.38</v>
      </c>
      <c r="GZ24" s="9" t="n">
        <v>88.95999999999999</v>
      </c>
      <c r="HA24" s="9" t="n">
        <v>7.09</v>
      </c>
      <c r="HB24" s="9" t="n">
        <v>16.79</v>
      </c>
      <c r="HC24" s="9" t="n">
        <v>4.46</v>
      </c>
      <c r="HD24" s="9" t="n">
        <v>10.27</v>
      </c>
      <c r="HE24" s="9" t="n">
        <v>17.35</v>
      </c>
      <c r="HF24" s="9" t="n">
        <v>20.07</v>
      </c>
      <c r="HG24" s="9" t="n">
        <v>9.6</v>
      </c>
    </row>
    <row r="25">
      <c r="A25" s="12" t="n">
        <v>2022</v>
      </c>
      <c r="B25" s="12" t="n">
        <v>25</v>
      </c>
      <c r="C25" s="5">
        <f>(B25-AVERAGE($B$2:$B$100))/_xlfn.STDEV.P($B$2:$B$100)</f>
        <v/>
      </c>
      <c r="D25" s="12" t="n">
        <v>12</v>
      </c>
      <c r="E25" s="6">
        <f>-D25</f>
        <v/>
      </c>
      <c r="F25" s="7">
        <f>(E25-AVERAGE($E$2:$E$100))/_xlfn.STDEV.P($E$2:$E$100)</f>
        <v/>
      </c>
      <c r="G25" s="7">
        <f>sum(0.5*C25)+(0.5*F25)</f>
        <v/>
      </c>
      <c r="H25" s="12" t="inlineStr">
        <is>
          <t>East</t>
        </is>
      </c>
      <c r="I25" s="8" t="inlineStr">
        <is>
          <t>Charleston Battery</t>
        </is>
      </c>
      <c r="J25" s="9" t="n">
        <v>1.21</v>
      </c>
      <c r="K25" s="9" t="n">
        <v>1.35</v>
      </c>
      <c r="L25" s="9" t="n">
        <v>11.82</v>
      </c>
      <c r="M25" s="9" t="n">
        <v>3.74</v>
      </c>
      <c r="N25" s="9" t="n">
        <v>31.59</v>
      </c>
      <c r="O25" s="9" t="n">
        <v>380.24</v>
      </c>
      <c r="P25" s="9" t="n">
        <v>304.79</v>
      </c>
      <c r="Q25" s="9" t="n">
        <v>80.16</v>
      </c>
      <c r="R25" s="9" t="n">
        <v>50.29</v>
      </c>
      <c r="S25" s="9" t="n">
        <v>109.09</v>
      </c>
      <c r="T25" s="9" t="n">
        <v>18.38</v>
      </c>
      <c r="U25" s="9" t="n">
        <v>38.35</v>
      </c>
      <c r="V25" s="9" t="n">
        <v>52.35</v>
      </c>
      <c r="W25" s="9" t="n">
        <v>78.79000000000001</v>
      </c>
      <c r="X25" s="9" t="n">
        <v>34.21</v>
      </c>
      <c r="Y25" s="9" t="n">
        <v>32.06</v>
      </c>
      <c r="Z25" s="9" t="n">
        <v>12.53</v>
      </c>
      <c r="AA25" s="9" t="n">
        <v>200.15</v>
      </c>
      <c r="AB25" s="9" t="n">
        <v>93.84999999999999</v>
      </c>
      <c r="AC25" s="9" t="n">
        <v>46.89</v>
      </c>
      <c r="AD25" s="9" t="n">
        <v>5.06</v>
      </c>
      <c r="AE25" s="9" t="n">
        <v>1.15</v>
      </c>
      <c r="AF25" s="9" t="n">
        <v>22.67</v>
      </c>
      <c r="AG25" s="9" t="n">
        <v>28</v>
      </c>
      <c r="AH25" s="9" t="n">
        <v>7.21</v>
      </c>
      <c r="AI25" s="9" t="n">
        <v>25.74</v>
      </c>
      <c r="AJ25" s="9" t="n">
        <v>1.09</v>
      </c>
      <c r="AK25" s="9" t="n">
        <v>0.44</v>
      </c>
      <c r="AL25" s="9" t="n">
        <v>40.54</v>
      </c>
      <c r="AM25" s="9" t="n">
        <v>28.03</v>
      </c>
      <c r="AN25" s="9" t="n">
        <v>3.79</v>
      </c>
      <c r="AO25" s="9" t="n">
        <v>13.54</v>
      </c>
      <c r="AP25" s="9" t="n">
        <v>4.62</v>
      </c>
      <c r="AQ25" s="9" t="n">
        <v>1.38</v>
      </c>
      <c r="AR25" s="9" t="n">
        <v>29.94</v>
      </c>
      <c r="AS25" s="9" t="n">
        <v>3.18</v>
      </c>
      <c r="AT25" s="9" t="n">
        <v>0.74</v>
      </c>
      <c r="AU25" s="9" t="n">
        <v>23.15</v>
      </c>
      <c r="AV25" s="9" t="n">
        <v>0.12</v>
      </c>
      <c r="AW25" s="9" t="n">
        <v>0.09</v>
      </c>
      <c r="AX25" s="9" t="n">
        <v>75</v>
      </c>
      <c r="AY25" s="9" t="n">
        <v>14.94</v>
      </c>
      <c r="AZ25" s="9" t="n">
        <v>4.91</v>
      </c>
      <c r="BA25" s="9" t="n">
        <v>32.87</v>
      </c>
      <c r="BB25" s="9" t="n">
        <v>4.97</v>
      </c>
      <c r="BC25" s="9" t="n">
        <v>5.5</v>
      </c>
      <c r="BD25" s="9" t="n">
        <v>23.76</v>
      </c>
      <c r="BE25" s="9" t="n">
        <v>3.85</v>
      </c>
      <c r="BF25" s="9" t="n">
        <v>9.5</v>
      </c>
      <c r="BG25" s="9" t="n">
        <v>15.18</v>
      </c>
      <c r="BH25" s="9" t="n">
        <v>65.59</v>
      </c>
      <c r="BI25" s="9" t="n">
        <v>26.35</v>
      </c>
      <c r="BJ25" s="9" t="n">
        <v>40.18</v>
      </c>
      <c r="BK25" s="9" t="n">
        <v>1.71</v>
      </c>
      <c r="BL25" s="9" t="n">
        <v>2.26</v>
      </c>
      <c r="BM25" s="9" t="n">
        <v>13.35</v>
      </c>
      <c r="BN25" s="9" t="n">
        <v>5.91</v>
      </c>
      <c r="BO25" s="9" t="n">
        <v>44.27</v>
      </c>
      <c r="BP25" s="9" t="n">
        <v>65.38</v>
      </c>
      <c r="BQ25" s="9" t="n">
        <v>36.68</v>
      </c>
      <c r="BR25" s="9" t="n">
        <v>56.1</v>
      </c>
      <c r="BS25" s="9" t="n">
        <v>35.15</v>
      </c>
      <c r="BT25" s="9" t="n">
        <v>16.97</v>
      </c>
      <c r="BU25" s="9" t="n">
        <v>48.28</v>
      </c>
      <c r="BV25" s="9" t="n">
        <v>4.09</v>
      </c>
      <c r="BW25" s="9" t="n">
        <v>1.5</v>
      </c>
      <c r="BX25" s="9" t="n">
        <v>36.69</v>
      </c>
      <c r="BY25" s="9" t="n">
        <v>37.32</v>
      </c>
      <c r="BZ25" s="9" t="n">
        <v>14.62</v>
      </c>
      <c r="CA25" s="9" t="n">
        <v>14.88</v>
      </c>
      <c r="CB25" s="9" t="n">
        <v>3.24</v>
      </c>
      <c r="CC25" s="9" t="n">
        <v>0.21</v>
      </c>
      <c r="CD25" s="9" t="n">
        <v>133.44</v>
      </c>
      <c r="CE25" s="9" t="n">
        <v>93.70999999999999</v>
      </c>
      <c r="CF25" s="9" t="n">
        <v>70.22</v>
      </c>
      <c r="CG25" s="9" t="n">
        <v>59.29</v>
      </c>
      <c r="CH25" s="9" t="n">
        <v>54.82</v>
      </c>
      <c r="CI25" s="9" t="n">
        <v>92.45999999999999</v>
      </c>
      <c r="CJ25" s="9" t="n">
        <v>136.35</v>
      </c>
      <c r="CK25" s="9" t="n">
        <v>115.76</v>
      </c>
      <c r="CL25" s="9" t="n">
        <v>84.90000000000001</v>
      </c>
      <c r="CM25" s="9" t="n">
        <v>48.97</v>
      </c>
      <c r="CN25" s="9" t="n">
        <v>25.29</v>
      </c>
      <c r="CO25" s="9" t="n">
        <v>51.65</v>
      </c>
      <c r="CP25" s="9" t="n">
        <v>53.24</v>
      </c>
      <c r="CQ25" s="9" t="n">
        <v>32.68</v>
      </c>
      <c r="CR25" s="9" t="n">
        <v>61.38</v>
      </c>
      <c r="CS25" s="9" t="n">
        <v>69.06</v>
      </c>
      <c r="CT25" s="9" t="n">
        <v>50.09</v>
      </c>
      <c r="CU25" s="9" t="n">
        <v>72.53</v>
      </c>
      <c r="CV25" s="9" t="n">
        <v>4.29</v>
      </c>
      <c r="CW25" s="9" t="n">
        <v>1.79</v>
      </c>
      <c r="CX25" s="9" t="n">
        <v>41.78</v>
      </c>
      <c r="CY25" s="9" t="n">
        <v>23.24</v>
      </c>
      <c r="CZ25" s="9" t="n">
        <v>19.94</v>
      </c>
      <c r="DA25" s="9" t="n">
        <v>85.81999999999999</v>
      </c>
      <c r="DB25" s="9" t="n">
        <v>8.09</v>
      </c>
      <c r="DC25" s="9" t="n">
        <v>15.86</v>
      </c>
      <c r="DD25" s="9" t="n">
        <v>3.54</v>
      </c>
      <c r="DE25" s="9" t="n">
        <v>14.13</v>
      </c>
      <c r="DF25" s="9" t="n">
        <v>18.68</v>
      </c>
      <c r="DG25" s="9" t="n">
        <v>20.36</v>
      </c>
      <c r="DH25" s="9" t="n">
        <v>9.859999999999999</v>
      </c>
      <c r="DI25" s="9" t="n">
        <v>2.26</v>
      </c>
      <c r="DJ25" s="9" t="n">
        <v>1.62</v>
      </c>
      <c r="DK25" s="9" t="n">
        <v>13.35</v>
      </c>
      <c r="DL25" s="9" t="n">
        <v>5.76</v>
      </c>
      <c r="DM25" s="9" t="n">
        <v>43.17</v>
      </c>
      <c r="DN25" s="9" t="n">
        <v>375.97</v>
      </c>
      <c r="DO25" s="9" t="n">
        <v>301.12</v>
      </c>
      <c r="DP25" s="9" t="n">
        <v>80.09</v>
      </c>
      <c r="DQ25" s="9" t="n">
        <v>49.71</v>
      </c>
      <c r="DR25" s="9" t="n">
        <v>105.41</v>
      </c>
      <c r="DS25" s="9" t="n">
        <v>20.91</v>
      </c>
      <c r="DT25" s="9" t="n">
        <v>38.68</v>
      </c>
      <c r="DU25" s="9" t="n">
        <v>45.82</v>
      </c>
      <c r="DV25" s="9" t="n">
        <v>82.76000000000001</v>
      </c>
      <c r="DW25" s="9" t="n">
        <v>40.94</v>
      </c>
      <c r="DX25" s="9" t="n">
        <v>30.62</v>
      </c>
      <c r="DY25" s="9" t="n">
        <v>11.21</v>
      </c>
      <c r="DZ25" s="9" t="n">
        <v>200.15</v>
      </c>
      <c r="EA25" s="9" t="n">
        <v>97.62</v>
      </c>
      <c r="EB25" s="9" t="n">
        <v>48.77</v>
      </c>
      <c r="EC25" s="9" t="n">
        <v>4.74</v>
      </c>
      <c r="ED25" s="9" t="n">
        <v>1.44</v>
      </c>
      <c r="EE25" s="9" t="n">
        <v>30.43</v>
      </c>
      <c r="EF25" s="9" t="n">
        <v>27.06</v>
      </c>
      <c r="EG25" s="9" t="n">
        <v>7.24</v>
      </c>
      <c r="EH25" s="9" t="n">
        <v>26.74</v>
      </c>
      <c r="EI25" s="9" t="n">
        <v>2.5</v>
      </c>
      <c r="EJ25" s="9" t="n">
        <v>1.26</v>
      </c>
      <c r="EK25" s="9" t="n">
        <v>50.59</v>
      </c>
      <c r="EL25" s="9" t="n">
        <v>28.41</v>
      </c>
      <c r="EM25" s="9" t="n">
        <v>4.26</v>
      </c>
      <c r="EN25" s="9" t="n">
        <v>15.01</v>
      </c>
      <c r="EO25" s="9" t="n">
        <v>4.82</v>
      </c>
      <c r="EP25" s="9" t="n">
        <v>1.71</v>
      </c>
      <c r="EQ25" s="9" t="n">
        <v>35.37</v>
      </c>
      <c r="ER25" s="9" t="n">
        <v>2.85</v>
      </c>
      <c r="ES25" s="9" t="n">
        <v>0.82</v>
      </c>
      <c r="ET25" s="9" t="n">
        <v>28.87</v>
      </c>
      <c r="EU25" s="9" t="n">
        <v>0.06</v>
      </c>
      <c r="EV25" s="9" t="n">
        <v>0.06</v>
      </c>
      <c r="EW25" s="9" t="n">
        <v>100</v>
      </c>
      <c r="EX25" s="9" t="n">
        <v>13.26</v>
      </c>
      <c r="EY25" s="9" t="n">
        <v>4.53</v>
      </c>
      <c r="EZ25" s="9" t="n">
        <v>34.15</v>
      </c>
      <c r="FA25" s="9" t="n">
        <v>4.53</v>
      </c>
      <c r="FB25" s="9" t="n">
        <v>7.53</v>
      </c>
      <c r="FC25" s="9" t="n">
        <v>24.44</v>
      </c>
      <c r="FD25" s="9" t="n">
        <v>5.5</v>
      </c>
      <c r="FE25" s="9" t="n">
        <v>7.5</v>
      </c>
      <c r="FF25" s="9" t="n">
        <v>19.94</v>
      </c>
      <c r="FG25" s="9" t="n">
        <v>65.38</v>
      </c>
      <c r="FH25" s="9" t="n">
        <v>28.71</v>
      </c>
      <c r="FI25" s="9" t="n">
        <v>43.9</v>
      </c>
      <c r="FJ25" s="9" t="n">
        <v>3.24</v>
      </c>
      <c r="FK25" s="9" t="n">
        <v>1.21</v>
      </c>
      <c r="FL25" s="9" t="n">
        <v>11.82</v>
      </c>
      <c r="FM25" s="9" t="n">
        <v>3.91</v>
      </c>
      <c r="FN25" s="9" t="n">
        <v>33.08</v>
      </c>
      <c r="FO25" s="9" t="n">
        <v>65.59</v>
      </c>
      <c r="FP25" s="9" t="n">
        <v>39.24</v>
      </c>
      <c r="FQ25" s="9" t="n">
        <v>59.82</v>
      </c>
      <c r="FR25" s="9" t="n">
        <v>35.15</v>
      </c>
      <c r="FS25" s="9" t="n">
        <v>15.47</v>
      </c>
      <c r="FT25" s="9" t="n">
        <v>44.02</v>
      </c>
      <c r="FU25" s="9" t="n">
        <v>3.35</v>
      </c>
      <c r="FV25" s="9" t="n">
        <v>1.65</v>
      </c>
      <c r="FW25" s="9" t="n">
        <v>49.12</v>
      </c>
      <c r="FX25" s="9" t="n">
        <v>45.5</v>
      </c>
      <c r="FY25" s="9" t="n">
        <v>17.5</v>
      </c>
      <c r="FZ25" s="9" t="n">
        <v>13.68</v>
      </c>
      <c r="GA25" s="9" t="n">
        <v>2.21</v>
      </c>
      <c r="GB25" s="9" t="n">
        <v>0.12</v>
      </c>
      <c r="GC25" s="9" t="n">
        <v>137.5</v>
      </c>
      <c r="GD25" s="9" t="n">
        <v>95.53</v>
      </c>
      <c r="GE25" s="9" t="n">
        <v>69.48</v>
      </c>
      <c r="GF25" s="9" t="n">
        <v>59.35</v>
      </c>
      <c r="GG25" s="9" t="n">
        <v>55.18</v>
      </c>
      <c r="GH25" s="9" t="n">
        <v>92.95999999999999</v>
      </c>
      <c r="GI25" s="9" t="n">
        <v>124.5</v>
      </c>
      <c r="GJ25" s="9" t="n">
        <v>106.09</v>
      </c>
      <c r="GK25" s="9" t="n">
        <v>85.20999999999999</v>
      </c>
      <c r="GL25" s="9" t="n">
        <v>47.44</v>
      </c>
      <c r="GM25" s="9" t="n">
        <v>25.79</v>
      </c>
      <c r="GN25" s="9" t="n">
        <v>54.37</v>
      </c>
      <c r="GO25" s="9" t="n">
        <v>48.74</v>
      </c>
      <c r="GP25" s="9" t="n">
        <v>31.68</v>
      </c>
      <c r="GQ25" s="9" t="n">
        <v>65</v>
      </c>
      <c r="GR25" s="9" t="n">
        <v>73.44</v>
      </c>
      <c r="GS25" s="9" t="n">
        <v>50.88</v>
      </c>
      <c r="GT25" s="9" t="n">
        <v>69.28</v>
      </c>
      <c r="GU25" s="9" t="n">
        <v>5.24</v>
      </c>
      <c r="GV25" s="9" t="n">
        <v>1.91</v>
      </c>
      <c r="GW25" s="9" t="n">
        <v>36.52</v>
      </c>
      <c r="GX25" s="9" t="n">
        <v>21</v>
      </c>
      <c r="GY25" s="9" t="n">
        <v>18.56</v>
      </c>
      <c r="GZ25" s="9" t="n">
        <v>88.38</v>
      </c>
      <c r="HA25" s="9" t="n">
        <v>9.18</v>
      </c>
      <c r="HB25" s="9" t="n">
        <v>16.2</v>
      </c>
      <c r="HC25" s="9" t="n">
        <v>3.4</v>
      </c>
      <c r="HD25" s="9" t="n">
        <v>12.92</v>
      </c>
      <c r="HE25" s="9" t="n">
        <v>17.56</v>
      </c>
      <c r="HF25" s="9" t="n">
        <v>20.01</v>
      </c>
      <c r="HG25" s="9" t="n">
        <v>9.56</v>
      </c>
    </row>
    <row r="26">
      <c r="A26" s="12" t="n">
        <v>2022</v>
      </c>
      <c r="B26" s="12" t="n">
        <v>34</v>
      </c>
      <c r="C26" s="5">
        <f>(B26-AVERAGE($B$2:$B$100))/_xlfn.STDEV.P($B$2:$B$100)</f>
        <v/>
      </c>
      <c r="D26" s="12" t="n">
        <v>13</v>
      </c>
      <c r="E26" s="6">
        <f>-D26</f>
        <v/>
      </c>
      <c r="F26" s="7">
        <f>(E26-AVERAGE($E$2:$E$100))/_xlfn.STDEV.P($E$2:$E$100)</f>
        <v/>
      </c>
      <c r="G26" s="7">
        <f>sum(0.5*C26)+(0.5*F26)</f>
        <v/>
      </c>
      <c r="H26" s="12" t="inlineStr">
        <is>
          <t>West</t>
        </is>
      </c>
      <c r="I26" s="8" t="inlineStr">
        <is>
          <t>Orange County SC</t>
        </is>
      </c>
      <c r="J26" s="9" t="n">
        <v>1.45</v>
      </c>
      <c r="K26" s="9" t="n">
        <v>1.15</v>
      </c>
      <c r="L26" s="9" t="n">
        <v>10.79</v>
      </c>
      <c r="M26" s="9" t="n">
        <v>3.97</v>
      </c>
      <c r="N26" s="9" t="n">
        <v>36.8</v>
      </c>
      <c r="O26" s="9" t="n">
        <v>385.94</v>
      </c>
      <c r="P26" s="9" t="n">
        <v>313.06</v>
      </c>
      <c r="Q26" s="9" t="n">
        <v>81.12</v>
      </c>
      <c r="R26" s="9" t="n">
        <v>47.95</v>
      </c>
      <c r="S26" s="9" t="n">
        <v>105.21</v>
      </c>
      <c r="T26" s="9" t="n">
        <v>18.36</v>
      </c>
      <c r="U26" s="9" t="n">
        <v>38.09</v>
      </c>
      <c r="V26" s="9" t="n">
        <v>48.76</v>
      </c>
      <c r="W26" s="9" t="n">
        <v>79.76000000000001</v>
      </c>
      <c r="X26" s="9" t="n">
        <v>35.97</v>
      </c>
      <c r="Y26" s="9" t="n">
        <v>33.12</v>
      </c>
      <c r="Z26" s="9" t="n">
        <v>10.67</v>
      </c>
      <c r="AA26" s="9" t="n">
        <v>193.88</v>
      </c>
      <c r="AB26" s="9" t="n">
        <v>92.09</v>
      </c>
      <c r="AC26" s="9" t="n">
        <v>47.5</v>
      </c>
      <c r="AD26" s="9" t="n">
        <v>4.88</v>
      </c>
      <c r="AE26" s="9" t="n">
        <v>1.27</v>
      </c>
      <c r="AF26" s="9" t="n">
        <v>26.09</v>
      </c>
      <c r="AG26" s="9" t="n">
        <v>25.45</v>
      </c>
      <c r="AH26" s="9" t="n">
        <v>6.67</v>
      </c>
      <c r="AI26" s="9" t="n">
        <v>26.19</v>
      </c>
      <c r="AJ26" s="9" t="n">
        <v>0.33</v>
      </c>
      <c r="AK26" s="9" t="n">
        <v>0.09</v>
      </c>
      <c r="AL26" s="9" t="n">
        <v>27.27</v>
      </c>
      <c r="AM26" s="9" t="n">
        <v>24.94</v>
      </c>
      <c r="AN26" s="9" t="n">
        <v>3.48</v>
      </c>
      <c r="AO26" s="9" t="n">
        <v>13.97</v>
      </c>
      <c r="AP26" s="9" t="n">
        <v>3.91</v>
      </c>
      <c r="AQ26" s="9" t="n">
        <v>1.45</v>
      </c>
      <c r="AR26" s="9" t="n">
        <v>37.21</v>
      </c>
      <c r="AS26" s="9" t="n">
        <v>3.36</v>
      </c>
      <c r="AT26" s="9" t="n">
        <v>0.91</v>
      </c>
      <c r="AU26" s="9" t="n">
        <v>27.03</v>
      </c>
      <c r="AV26" s="9" t="n">
        <v>0.15</v>
      </c>
      <c r="AW26" s="9" t="n">
        <v>0.12</v>
      </c>
      <c r="AX26" s="9" t="n">
        <v>80</v>
      </c>
      <c r="AY26" s="9" t="n">
        <v>14.06</v>
      </c>
      <c r="AZ26" s="9" t="n">
        <v>4.39</v>
      </c>
      <c r="BA26" s="9" t="n">
        <v>31.25</v>
      </c>
      <c r="BB26" s="9" t="n">
        <v>4.42</v>
      </c>
      <c r="BC26" s="9" t="n">
        <v>4.79</v>
      </c>
      <c r="BD26" s="9" t="n">
        <v>20.7</v>
      </c>
      <c r="BE26" s="9" t="n">
        <v>2.03</v>
      </c>
      <c r="BF26" s="9" t="n">
        <v>9.699999999999999</v>
      </c>
      <c r="BG26" s="9" t="n">
        <v>12.15</v>
      </c>
      <c r="BH26" s="9" t="n">
        <v>56.85</v>
      </c>
      <c r="BI26" s="9" t="n">
        <v>23.24</v>
      </c>
      <c r="BJ26" s="9" t="n">
        <v>40.88</v>
      </c>
      <c r="BK26" s="9" t="n">
        <v>2.06</v>
      </c>
      <c r="BL26" s="9" t="n">
        <v>1.76</v>
      </c>
      <c r="BM26" s="9" t="n">
        <v>10.15</v>
      </c>
      <c r="BN26" s="9" t="n">
        <v>4.48</v>
      </c>
      <c r="BO26" s="9" t="n">
        <v>44.18</v>
      </c>
      <c r="BP26" s="9" t="n">
        <v>66.58</v>
      </c>
      <c r="BQ26" s="9" t="n">
        <v>38.85</v>
      </c>
      <c r="BR26" s="9" t="n">
        <v>58.35</v>
      </c>
      <c r="BS26" s="9" t="n">
        <v>39.09</v>
      </c>
      <c r="BT26" s="9" t="n">
        <v>16.58</v>
      </c>
      <c r="BU26" s="9" t="n">
        <v>42.4</v>
      </c>
      <c r="BV26" s="9" t="n">
        <v>3.52</v>
      </c>
      <c r="BW26" s="9" t="n">
        <v>1.61</v>
      </c>
      <c r="BX26" s="9" t="n">
        <v>45.69</v>
      </c>
      <c r="BY26" s="9" t="n">
        <v>37.09</v>
      </c>
      <c r="BZ26" s="9" t="n">
        <v>14.88</v>
      </c>
      <c r="CA26" s="9" t="n">
        <v>15.91</v>
      </c>
      <c r="CB26" s="9" t="n">
        <v>2.7</v>
      </c>
      <c r="CC26" s="9" t="n">
        <v>0.15</v>
      </c>
      <c r="CD26" s="9" t="n">
        <v>137.76</v>
      </c>
      <c r="CE26" s="9" t="n">
        <v>95.61</v>
      </c>
      <c r="CF26" s="9" t="n">
        <v>69.40000000000001</v>
      </c>
      <c r="CG26" s="9" t="n">
        <v>57.09</v>
      </c>
      <c r="CH26" s="9" t="n">
        <v>53.64</v>
      </c>
      <c r="CI26" s="9" t="n">
        <v>93.95</v>
      </c>
      <c r="CJ26" s="9" t="n">
        <v>137.48</v>
      </c>
      <c r="CK26" s="9" t="n">
        <v>120.06</v>
      </c>
      <c r="CL26" s="9" t="n">
        <v>87.33</v>
      </c>
      <c r="CM26" s="9" t="n">
        <v>53.52</v>
      </c>
      <c r="CN26" s="9" t="n">
        <v>28.18</v>
      </c>
      <c r="CO26" s="9" t="n">
        <v>52.66</v>
      </c>
      <c r="CP26" s="9" t="n">
        <v>51.73</v>
      </c>
      <c r="CQ26" s="9" t="n">
        <v>31.33</v>
      </c>
      <c r="CR26" s="9" t="n">
        <v>60.57</v>
      </c>
      <c r="CS26" s="9" t="n">
        <v>69.91</v>
      </c>
      <c r="CT26" s="9" t="n">
        <v>48.88</v>
      </c>
      <c r="CU26" s="9" t="n">
        <v>69.92</v>
      </c>
      <c r="CV26" s="9" t="n">
        <v>2.36</v>
      </c>
      <c r="CW26" s="9" t="n">
        <v>1.03</v>
      </c>
      <c r="CX26" s="9" t="n">
        <v>43.59</v>
      </c>
      <c r="CY26" s="9" t="n">
        <v>20.21</v>
      </c>
      <c r="CZ26" s="9" t="n">
        <v>17.88</v>
      </c>
      <c r="DA26" s="9" t="n">
        <v>88.45999999999999</v>
      </c>
      <c r="DB26" s="9" t="n">
        <v>6.97</v>
      </c>
      <c r="DC26" s="9" t="n">
        <v>16.56</v>
      </c>
      <c r="DD26" s="9" t="n">
        <v>3.78</v>
      </c>
      <c r="DE26" s="9" t="n">
        <v>14.28</v>
      </c>
      <c r="DF26" s="9" t="n">
        <v>18.49</v>
      </c>
      <c r="DG26" s="9" t="n">
        <v>20.76</v>
      </c>
      <c r="DH26" s="9" t="n">
        <v>11.03</v>
      </c>
      <c r="DI26" s="9" t="n">
        <v>1.76</v>
      </c>
      <c r="DJ26" s="9" t="n">
        <v>1.23</v>
      </c>
      <c r="DK26" s="9" t="n">
        <v>10.15</v>
      </c>
      <c r="DL26" s="9" t="n">
        <v>4.18</v>
      </c>
      <c r="DM26" s="9" t="n">
        <v>41.19</v>
      </c>
      <c r="DN26" s="9" t="n">
        <v>415.82</v>
      </c>
      <c r="DO26" s="9" t="n">
        <v>343.06</v>
      </c>
      <c r="DP26" s="9" t="n">
        <v>82.5</v>
      </c>
      <c r="DQ26" s="9" t="n">
        <v>52.05</v>
      </c>
      <c r="DR26" s="9" t="n">
        <v>105.3</v>
      </c>
      <c r="DS26" s="9" t="n">
        <v>18.15</v>
      </c>
      <c r="DT26" s="9" t="n">
        <v>40.39</v>
      </c>
      <c r="DU26" s="9" t="n">
        <v>46.76</v>
      </c>
      <c r="DV26" s="9" t="n">
        <v>81.27</v>
      </c>
      <c r="DW26" s="9" t="n">
        <v>35.88</v>
      </c>
      <c r="DX26" s="9" t="n">
        <v>34.64</v>
      </c>
      <c r="DY26" s="9" t="n">
        <v>10.76</v>
      </c>
      <c r="DZ26" s="9" t="n">
        <v>193.88</v>
      </c>
      <c r="EA26" s="9" t="n">
        <v>94.33</v>
      </c>
      <c r="EB26" s="9" t="n">
        <v>48.66</v>
      </c>
      <c r="EC26" s="9" t="n">
        <v>4.12</v>
      </c>
      <c r="ED26" s="9" t="n">
        <v>1.06</v>
      </c>
      <c r="EE26" s="9" t="n">
        <v>25.74</v>
      </c>
      <c r="EF26" s="9" t="n">
        <v>26.12</v>
      </c>
      <c r="EG26" s="9" t="n">
        <v>5.55</v>
      </c>
      <c r="EH26" s="9" t="n">
        <v>21.23</v>
      </c>
      <c r="EI26" s="9" t="n">
        <v>1.21</v>
      </c>
      <c r="EJ26" s="9" t="n">
        <v>0.61</v>
      </c>
      <c r="EK26" s="9" t="n">
        <v>50</v>
      </c>
      <c r="EL26" s="9" t="n">
        <v>28.09</v>
      </c>
      <c r="EM26" s="9" t="n">
        <v>3.24</v>
      </c>
      <c r="EN26" s="9" t="n">
        <v>11.54</v>
      </c>
      <c r="EO26" s="9" t="n">
        <v>3.94</v>
      </c>
      <c r="EP26" s="9" t="n">
        <v>1.18</v>
      </c>
      <c r="EQ26" s="9" t="n">
        <v>30</v>
      </c>
      <c r="ER26" s="9" t="n">
        <v>2.88</v>
      </c>
      <c r="ES26" s="9" t="n">
        <v>0.7</v>
      </c>
      <c r="ET26" s="9" t="n">
        <v>24.21</v>
      </c>
      <c r="EU26" s="9" t="n">
        <v>0.21</v>
      </c>
      <c r="EV26" s="9" t="n">
        <v>0.18</v>
      </c>
      <c r="EW26" s="9" t="n">
        <v>85.70999999999999</v>
      </c>
      <c r="EX26" s="9" t="n">
        <v>11.67</v>
      </c>
      <c r="EY26" s="9" t="n">
        <v>3.45</v>
      </c>
      <c r="EZ26" s="9" t="n">
        <v>29.61</v>
      </c>
      <c r="FA26" s="9" t="n">
        <v>3.36</v>
      </c>
      <c r="FB26" s="9" t="n">
        <v>6.12</v>
      </c>
      <c r="FC26" s="9" t="n">
        <v>20.42</v>
      </c>
      <c r="FD26" s="9" t="n">
        <v>3.79</v>
      </c>
      <c r="FE26" s="9" t="n">
        <v>6.52</v>
      </c>
      <c r="FF26" s="9" t="n">
        <v>15</v>
      </c>
      <c r="FG26" s="9" t="n">
        <v>66.58</v>
      </c>
      <c r="FH26" s="9" t="n">
        <v>27.73</v>
      </c>
      <c r="FI26" s="9" t="n">
        <v>41.65</v>
      </c>
      <c r="FJ26" s="9" t="n">
        <v>2.12</v>
      </c>
      <c r="FK26" s="9" t="n">
        <v>1.45</v>
      </c>
      <c r="FL26" s="9" t="n">
        <v>10.79</v>
      </c>
      <c r="FM26" s="9" t="n">
        <v>4.03</v>
      </c>
      <c r="FN26" s="9" t="n">
        <v>37.36</v>
      </c>
      <c r="FO26" s="9" t="n">
        <v>56.85</v>
      </c>
      <c r="FP26" s="9" t="n">
        <v>33.61</v>
      </c>
      <c r="FQ26" s="9" t="n">
        <v>59.12</v>
      </c>
      <c r="FR26" s="9" t="n">
        <v>39.09</v>
      </c>
      <c r="FS26" s="9" t="n">
        <v>20.03</v>
      </c>
      <c r="FT26" s="9" t="n">
        <v>51.24</v>
      </c>
      <c r="FU26" s="9" t="n">
        <v>3.55</v>
      </c>
      <c r="FV26" s="9" t="n">
        <v>1.61</v>
      </c>
      <c r="FW26" s="9" t="n">
        <v>45.3</v>
      </c>
      <c r="FX26" s="9" t="n">
        <v>37.7</v>
      </c>
      <c r="FY26" s="9" t="n">
        <v>14.79</v>
      </c>
      <c r="FZ26" s="9" t="n">
        <v>14.03</v>
      </c>
      <c r="GA26" s="9" t="n">
        <v>2.67</v>
      </c>
      <c r="GB26" s="9" t="n">
        <v>0.18</v>
      </c>
      <c r="GC26" s="9" t="n">
        <v>139.61</v>
      </c>
      <c r="GD26" s="9" t="n">
        <v>96.23999999999999</v>
      </c>
      <c r="GE26" s="9" t="n">
        <v>68.94</v>
      </c>
      <c r="GF26" s="9" t="n">
        <v>64.36</v>
      </c>
      <c r="GG26" s="9" t="n">
        <v>60.48</v>
      </c>
      <c r="GH26" s="9" t="n">
        <v>93.97</v>
      </c>
      <c r="GI26" s="9" t="n">
        <v>156.61</v>
      </c>
      <c r="GJ26" s="9" t="n">
        <v>140.73</v>
      </c>
      <c r="GK26" s="9" t="n">
        <v>89.86</v>
      </c>
      <c r="GL26" s="9" t="n">
        <v>50.85</v>
      </c>
      <c r="GM26" s="9" t="n">
        <v>25.61</v>
      </c>
      <c r="GN26" s="9" t="n">
        <v>50.36</v>
      </c>
      <c r="GO26" s="9" t="n">
        <v>51.27</v>
      </c>
      <c r="GP26" s="9" t="n">
        <v>31.58</v>
      </c>
      <c r="GQ26" s="9" t="n">
        <v>61.58</v>
      </c>
      <c r="GR26" s="9" t="n">
        <v>69.09</v>
      </c>
      <c r="GS26" s="9" t="n">
        <v>48.61</v>
      </c>
      <c r="GT26" s="9" t="n">
        <v>70.34999999999999</v>
      </c>
      <c r="GU26" s="9" t="n">
        <v>4.3</v>
      </c>
      <c r="GV26" s="9" t="n">
        <v>1.88</v>
      </c>
      <c r="GW26" s="9" t="n">
        <v>43.66</v>
      </c>
      <c r="GX26" s="9" t="n">
        <v>22</v>
      </c>
      <c r="GY26" s="9" t="n">
        <v>19.15</v>
      </c>
      <c r="GZ26" s="9" t="n">
        <v>87.05</v>
      </c>
      <c r="HA26" s="9" t="n">
        <v>7.42</v>
      </c>
      <c r="HB26" s="9" t="n">
        <v>16.18</v>
      </c>
      <c r="HC26" s="9" t="n">
        <v>3.93</v>
      </c>
      <c r="HD26" s="9" t="n">
        <v>12.74</v>
      </c>
      <c r="HE26" s="9" t="n">
        <v>18.23</v>
      </c>
      <c r="HF26" s="9" t="n">
        <v>20.62</v>
      </c>
      <c r="HG26" s="9" t="n">
        <v>10.78</v>
      </c>
    </row>
    <row r="27">
      <c r="A27" s="12" t="n">
        <v>2022</v>
      </c>
      <c r="B27" s="12" t="n">
        <v>23</v>
      </c>
      <c r="C27" s="5">
        <f>(B27-AVERAGE($B$2:$B$100))/_xlfn.STDEV.P($B$2:$B$100)</f>
        <v/>
      </c>
      <c r="D27" s="12" t="n">
        <v>13</v>
      </c>
      <c r="E27" s="6">
        <f>-D27</f>
        <v/>
      </c>
      <c r="F27" s="7">
        <f>(E27-AVERAGE($E$2:$E$100))/_xlfn.STDEV.P($E$2:$E$100)</f>
        <v/>
      </c>
      <c r="G27" s="7">
        <f>sum(0.5*C27)+(0.5*F27)</f>
        <v/>
      </c>
      <c r="H27" s="12" t="inlineStr">
        <is>
          <t>East</t>
        </is>
      </c>
      <c r="I27" s="8" t="inlineStr">
        <is>
          <t>Atlanta United II</t>
        </is>
      </c>
      <c r="J27" s="9" t="n">
        <v>1.15</v>
      </c>
      <c r="K27" s="9" t="n">
        <v>1.11</v>
      </c>
      <c r="L27" s="9" t="n">
        <v>9.710000000000001</v>
      </c>
      <c r="M27" s="9" t="n">
        <v>3.41</v>
      </c>
      <c r="N27" s="9" t="n">
        <v>35.15</v>
      </c>
      <c r="O27" s="9" t="n">
        <v>407.79</v>
      </c>
      <c r="P27" s="9" t="n">
        <v>335.53</v>
      </c>
      <c r="Q27" s="9" t="n">
        <v>82.28</v>
      </c>
      <c r="R27" s="9" t="n">
        <v>49.82</v>
      </c>
      <c r="S27" s="9" t="n">
        <v>105.38</v>
      </c>
      <c r="T27" s="9" t="n">
        <v>24.32</v>
      </c>
      <c r="U27" s="9" t="n">
        <v>38.82</v>
      </c>
      <c r="V27" s="9" t="n">
        <v>42.24</v>
      </c>
      <c r="W27" s="9" t="n">
        <v>77.79000000000001</v>
      </c>
      <c r="X27" s="9" t="n">
        <v>40.65</v>
      </c>
      <c r="Y27" s="9" t="n">
        <v>27.91</v>
      </c>
      <c r="Z27" s="9" t="n">
        <v>9.24</v>
      </c>
      <c r="AA27" s="9" t="n">
        <v>201.12</v>
      </c>
      <c r="AB27" s="9" t="n">
        <v>96.23999999999999</v>
      </c>
      <c r="AC27" s="9" t="n">
        <v>47.85</v>
      </c>
      <c r="AD27" s="9" t="n">
        <v>3.85</v>
      </c>
      <c r="AE27" s="9" t="n">
        <v>0.88</v>
      </c>
      <c r="AF27" s="9" t="n">
        <v>22.9</v>
      </c>
      <c r="AG27" s="9" t="n">
        <v>22.5</v>
      </c>
      <c r="AH27" s="9" t="n">
        <v>5.5</v>
      </c>
      <c r="AI27" s="9" t="n">
        <v>24.44</v>
      </c>
      <c r="AJ27" s="9" t="n">
        <v>1.47</v>
      </c>
      <c r="AK27" s="9" t="n">
        <v>0.71</v>
      </c>
      <c r="AL27" s="9" t="n">
        <v>48</v>
      </c>
      <c r="AM27" s="9" t="n">
        <v>27.44</v>
      </c>
      <c r="AN27" s="9" t="n">
        <v>2.97</v>
      </c>
      <c r="AO27" s="9" t="n">
        <v>10.83</v>
      </c>
      <c r="AP27" s="9" t="n">
        <v>3.15</v>
      </c>
      <c r="AQ27" s="9" t="n">
        <v>0.74</v>
      </c>
      <c r="AR27" s="9" t="n">
        <v>23.36</v>
      </c>
      <c r="AS27" s="9" t="n">
        <v>1.97</v>
      </c>
      <c r="AT27" s="9" t="n">
        <v>0.62</v>
      </c>
      <c r="AU27" s="9" t="n">
        <v>31.34</v>
      </c>
      <c r="AV27" s="9" t="n">
        <v>0.06</v>
      </c>
      <c r="AW27" s="9" t="n">
        <v>0.06</v>
      </c>
      <c r="AX27" s="9" t="n">
        <v>100</v>
      </c>
      <c r="AY27" s="9" t="n">
        <v>12.68</v>
      </c>
      <c r="AZ27" s="9" t="n">
        <v>4.79</v>
      </c>
      <c r="BA27" s="9" t="n">
        <v>37.82</v>
      </c>
      <c r="BB27" s="9" t="n">
        <v>4.74</v>
      </c>
      <c r="BC27" s="9" t="n">
        <v>4.79</v>
      </c>
      <c r="BD27" s="9" t="n">
        <v>20.32</v>
      </c>
      <c r="BE27" s="9" t="n">
        <v>3.15</v>
      </c>
      <c r="BF27" s="9" t="n">
        <v>8.210000000000001</v>
      </c>
      <c r="BG27" s="9" t="n">
        <v>13.47</v>
      </c>
      <c r="BH27" s="9" t="n">
        <v>67.12</v>
      </c>
      <c r="BI27" s="9" t="n">
        <v>28.41</v>
      </c>
      <c r="BJ27" s="9" t="n">
        <v>42.33</v>
      </c>
      <c r="BK27" s="9" t="n">
        <v>1.82</v>
      </c>
      <c r="BL27" s="9" t="n">
        <v>2.5</v>
      </c>
      <c r="BM27" s="9" t="n">
        <v>17.82</v>
      </c>
      <c r="BN27" s="9" t="n">
        <v>7.56</v>
      </c>
      <c r="BO27" s="9" t="n">
        <v>42.41</v>
      </c>
      <c r="BP27" s="9" t="n">
        <v>72.23999999999999</v>
      </c>
      <c r="BQ27" s="9" t="n">
        <v>41.03</v>
      </c>
      <c r="BR27" s="9" t="n">
        <v>56.8</v>
      </c>
      <c r="BS27" s="9" t="n">
        <v>32.41</v>
      </c>
      <c r="BT27" s="9" t="n">
        <v>14.5</v>
      </c>
      <c r="BU27" s="9" t="n">
        <v>44.74</v>
      </c>
      <c r="BV27" s="9" t="n">
        <v>4.32</v>
      </c>
      <c r="BW27" s="9" t="n">
        <v>1.85</v>
      </c>
      <c r="BX27" s="9" t="n">
        <v>42.86</v>
      </c>
      <c r="BY27" s="9" t="n">
        <v>43.15</v>
      </c>
      <c r="BZ27" s="9" t="n">
        <v>17.74</v>
      </c>
      <c r="CA27" s="9" t="n">
        <v>12.15</v>
      </c>
      <c r="CB27" s="9" t="n">
        <v>2.26</v>
      </c>
      <c r="CC27" s="9" t="n">
        <v>0.21</v>
      </c>
      <c r="CD27" s="9" t="n">
        <v>142.79</v>
      </c>
      <c r="CE27" s="9" t="n">
        <v>100.62</v>
      </c>
      <c r="CF27" s="9" t="n">
        <v>70.45999999999999</v>
      </c>
      <c r="CG27" s="9" t="n">
        <v>58.65</v>
      </c>
      <c r="CH27" s="9" t="n">
        <v>55.15</v>
      </c>
      <c r="CI27" s="9" t="n">
        <v>94.03</v>
      </c>
      <c r="CJ27" s="9" t="n">
        <v>146.06</v>
      </c>
      <c r="CK27" s="9" t="n">
        <v>128.79</v>
      </c>
      <c r="CL27" s="9" t="n">
        <v>88.18000000000001</v>
      </c>
      <c r="CM27" s="9" t="n">
        <v>46.59</v>
      </c>
      <c r="CN27" s="9" t="n">
        <v>22.68</v>
      </c>
      <c r="CO27" s="9" t="n">
        <v>48.67</v>
      </c>
      <c r="CP27" s="9" t="n">
        <v>42.21</v>
      </c>
      <c r="CQ27" s="9" t="n">
        <v>24.88</v>
      </c>
      <c r="CR27" s="9" t="n">
        <v>58.95</v>
      </c>
      <c r="CS27" s="9" t="n">
        <v>65.81999999999999</v>
      </c>
      <c r="CT27" s="9" t="n">
        <v>41.38</v>
      </c>
      <c r="CU27" s="9" t="n">
        <v>62.87</v>
      </c>
      <c r="CV27" s="9" t="n">
        <v>4.09</v>
      </c>
      <c r="CW27" s="9" t="n">
        <v>1.53</v>
      </c>
      <c r="CX27" s="9" t="n">
        <v>37.41</v>
      </c>
      <c r="CY27" s="9" t="n">
        <v>21.06</v>
      </c>
      <c r="CZ27" s="9" t="n">
        <v>18.74</v>
      </c>
      <c r="DA27" s="9" t="n">
        <v>88.97</v>
      </c>
      <c r="DB27" s="9" t="n">
        <v>10.91</v>
      </c>
      <c r="DC27" s="9" t="n">
        <v>15.91</v>
      </c>
      <c r="DD27" s="9" t="n">
        <v>3.75</v>
      </c>
      <c r="DE27" s="9" t="n">
        <v>11.79</v>
      </c>
      <c r="DF27" s="9" t="n">
        <v>18.6</v>
      </c>
      <c r="DG27" s="9" t="n">
        <v>19.77</v>
      </c>
      <c r="DH27" s="9" t="n">
        <v>10.97</v>
      </c>
      <c r="DI27" s="9" t="n">
        <v>2.5</v>
      </c>
      <c r="DJ27" s="9" t="n">
        <v>2.39</v>
      </c>
      <c r="DK27" s="9" t="n">
        <v>17.82</v>
      </c>
      <c r="DL27" s="9" t="n">
        <v>7.15</v>
      </c>
      <c r="DM27" s="9" t="n">
        <v>40.1</v>
      </c>
      <c r="DN27" s="9" t="n">
        <v>428.15</v>
      </c>
      <c r="DO27" s="9" t="n">
        <v>356.44</v>
      </c>
      <c r="DP27" s="9" t="n">
        <v>83.25</v>
      </c>
      <c r="DQ27" s="9" t="n">
        <v>50.18</v>
      </c>
      <c r="DR27" s="9" t="n">
        <v>100.59</v>
      </c>
      <c r="DS27" s="9" t="n">
        <v>15.24</v>
      </c>
      <c r="DT27" s="9" t="n">
        <v>33.79</v>
      </c>
      <c r="DU27" s="9" t="n">
        <v>51.56</v>
      </c>
      <c r="DV27" s="9" t="n">
        <v>83.88</v>
      </c>
      <c r="DW27" s="9" t="n">
        <v>33.18</v>
      </c>
      <c r="DX27" s="9" t="n">
        <v>34</v>
      </c>
      <c r="DY27" s="9" t="n">
        <v>16.71</v>
      </c>
      <c r="DZ27" s="9" t="n">
        <v>201.12</v>
      </c>
      <c r="EA27" s="9" t="n">
        <v>97.68000000000001</v>
      </c>
      <c r="EB27" s="9" t="n">
        <v>48.57</v>
      </c>
      <c r="EC27" s="9" t="n">
        <v>6.71</v>
      </c>
      <c r="ED27" s="9" t="n">
        <v>1.91</v>
      </c>
      <c r="EE27" s="9" t="n">
        <v>28.51</v>
      </c>
      <c r="EF27" s="9" t="n">
        <v>37.09</v>
      </c>
      <c r="EG27" s="9" t="n">
        <v>11.59</v>
      </c>
      <c r="EH27" s="9" t="n">
        <v>31.25</v>
      </c>
      <c r="EI27" s="9" t="n">
        <v>1.76</v>
      </c>
      <c r="EJ27" s="9" t="n">
        <v>0.85</v>
      </c>
      <c r="EK27" s="9" t="n">
        <v>48.33</v>
      </c>
      <c r="EL27" s="9" t="n">
        <v>26.41</v>
      </c>
      <c r="EM27" s="9" t="n">
        <v>4.53</v>
      </c>
      <c r="EN27" s="9" t="n">
        <v>17.15</v>
      </c>
      <c r="EO27" s="9" t="n">
        <v>5.88</v>
      </c>
      <c r="EP27" s="9" t="n">
        <v>2.03</v>
      </c>
      <c r="EQ27" s="9" t="n">
        <v>34.5</v>
      </c>
      <c r="ER27" s="9" t="n">
        <v>2.71</v>
      </c>
      <c r="ES27" s="9" t="n">
        <v>0.59</v>
      </c>
      <c r="ET27" s="9" t="n">
        <v>21.74</v>
      </c>
      <c r="EU27" s="9" t="n">
        <v>0.26</v>
      </c>
      <c r="EV27" s="9" t="n">
        <v>0.15</v>
      </c>
      <c r="EW27" s="9" t="n">
        <v>55.56</v>
      </c>
      <c r="EX27" s="9" t="n">
        <v>16.59</v>
      </c>
      <c r="EY27" s="9" t="n">
        <v>5.85</v>
      </c>
      <c r="EZ27" s="9" t="n">
        <v>35.28</v>
      </c>
      <c r="FA27" s="9" t="n">
        <v>5.91</v>
      </c>
      <c r="FB27" s="9" t="n">
        <v>11.21</v>
      </c>
      <c r="FC27" s="9" t="n">
        <v>30.53</v>
      </c>
      <c r="FD27" s="9" t="n">
        <v>6.24</v>
      </c>
      <c r="FE27" s="9" t="n">
        <v>9.119999999999999</v>
      </c>
      <c r="FF27" s="9" t="n">
        <v>26.59</v>
      </c>
      <c r="FG27" s="9" t="n">
        <v>72.23999999999999</v>
      </c>
      <c r="FH27" s="9" t="n">
        <v>31.21</v>
      </c>
      <c r="FI27" s="9" t="n">
        <v>43.2</v>
      </c>
      <c r="FJ27" s="9" t="n">
        <v>1.56</v>
      </c>
      <c r="FK27" s="9" t="n">
        <v>1.15</v>
      </c>
      <c r="FL27" s="9" t="n">
        <v>9.710000000000001</v>
      </c>
      <c r="FM27" s="9" t="n">
        <v>3.53</v>
      </c>
      <c r="FN27" s="9" t="n">
        <v>36.36</v>
      </c>
      <c r="FO27" s="9" t="n">
        <v>67.12</v>
      </c>
      <c r="FP27" s="9" t="n">
        <v>38.71</v>
      </c>
      <c r="FQ27" s="9" t="n">
        <v>57.67</v>
      </c>
      <c r="FR27" s="9" t="n">
        <v>32.41</v>
      </c>
      <c r="FS27" s="9" t="n">
        <v>15.65</v>
      </c>
      <c r="FT27" s="9" t="n">
        <v>48.28</v>
      </c>
      <c r="FU27" s="9" t="n">
        <v>3.97</v>
      </c>
      <c r="FV27" s="9" t="n">
        <v>1.74</v>
      </c>
      <c r="FW27" s="9" t="n">
        <v>43.7</v>
      </c>
      <c r="FX27" s="9" t="n">
        <v>36.38</v>
      </c>
      <c r="FY27" s="9" t="n">
        <v>13.65</v>
      </c>
      <c r="FZ27" s="9" t="n">
        <v>13.24</v>
      </c>
      <c r="GA27" s="9" t="n">
        <v>2.18</v>
      </c>
      <c r="GB27" s="9" t="n">
        <v>0.15</v>
      </c>
      <c r="GC27" s="9" t="n">
        <v>142.85</v>
      </c>
      <c r="GD27" s="9" t="n">
        <v>105.62</v>
      </c>
      <c r="GE27" s="9" t="n">
        <v>73.93000000000001</v>
      </c>
      <c r="GF27" s="9" t="n">
        <v>68.06</v>
      </c>
      <c r="GG27" s="9" t="n">
        <v>64.41</v>
      </c>
      <c r="GH27" s="9" t="n">
        <v>94.64</v>
      </c>
      <c r="GI27" s="9" t="n">
        <v>154.71</v>
      </c>
      <c r="GJ27" s="9" t="n">
        <v>136.18</v>
      </c>
      <c r="GK27" s="9" t="n">
        <v>88.02</v>
      </c>
      <c r="GL27" s="9" t="n">
        <v>47.35</v>
      </c>
      <c r="GM27" s="9" t="n">
        <v>26.68</v>
      </c>
      <c r="GN27" s="9" t="n">
        <v>56.34</v>
      </c>
      <c r="GO27" s="9" t="n">
        <v>60.44</v>
      </c>
      <c r="GP27" s="9" t="n">
        <v>42.85</v>
      </c>
      <c r="GQ27" s="9" t="n">
        <v>70.90000000000001</v>
      </c>
      <c r="GR27" s="9" t="n">
        <v>80.62</v>
      </c>
      <c r="GS27" s="9" t="n">
        <v>63.29</v>
      </c>
      <c r="GT27" s="9" t="n">
        <v>78.51000000000001</v>
      </c>
      <c r="GU27" s="9" t="n">
        <v>5.24</v>
      </c>
      <c r="GV27" s="9" t="n">
        <v>2.21</v>
      </c>
      <c r="GW27" s="9" t="n">
        <v>42.13</v>
      </c>
      <c r="GX27" s="9" t="n">
        <v>21.94</v>
      </c>
      <c r="GY27" s="9" t="n">
        <v>19.74</v>
      </c>
      <c r="GZ27" s="9" t="n">
        <v>89.95</v>
      </c>
      <c r="HA27" s="9" t="n">
        <v>7.97</v>
      </c>
      <c r="HB27" s="9" t="n">
        <v>16.66</v>
      </c>
      <c r="HC27" s="9" t="n">
        <v>3.89</v>
      </c>
      <c r="HD27" s="9" t="n">
        <v>11.35</v>
      </c>
      <c r="HE27" s="9" t="n">
        <v>17.27</v>
      </c>
      <c r="HF27" s="9" t="n">
        <v>19.9</v>
      </c>
      <c r="HG27" s="9" t="n">
        <v>10.51</v>
      </c>
    </row>
    <row r="28">
      <c r="A28" s="12" t="n">
        <v>2022</v>
      </c>
      <c r="B28" s="12" t="n">
        <v>15</v>
      </c>
      <c r="C28" s="5">
        <f>(B28-AVERAGE($B$2:$B$100))/_xlfn.STDEV.P($B$2:$B$100)</f>
        <v/>
      </c>
      <c r="D28" s="12" t="n">
        <v>14</v>
      </c>
      <c r="E28" s="6">
        <f>-D28</f>
        <v/>
      </c>
      <c r="F28" s="7">
        <f>(E28-AVERAGE($E$2:$E$100))/_xlfn.STDEV.P($E$2:$E$100)</f>
        <v/>
      </c>
      <c r="G28" s="7">
        <f>sum(0.5*C28)+(0.5*F28)</f>
        <v/>
      </c>
      <c r="H28" s="12" t="inlineStr">
        <is>
          <t>East</t>
        </is>
      </c>
      <c r="I28" s="8" t="inlineStr">
        <is>
          <t>New York RB II</t>
        </is>
      </c>
      <c r="J28" s="9" t="n">
        <v>0.71</v>
      </c>
      <c r="K28" s="9" t="n">
        <v>0.77</v>
      </c>
      <c r="L28" s="9" t="n">
        <v>8.619999999999999</v>
      </c>
      <c r="M28" s="9" t="n">
        <v>2.79</v>
      </c>
      <c r="N28" s="9" t="n">
        <v>32.42</v>
      </c>
      <c r="O28" s="9" t="n">
        <v>303.65</v>
      </c>
      <c r="P28" s="9" t="n">
        <v>226.26</v>
      </c>
      <c r="Q28" s="9" t="n">
        <v>74.52</v>
      </c>
      <c r="R28" s="9" t="n">
        <v>45.81</v>
      </c>
      <c r="S28" s="9" t="n">
        <v>117.79</v>
      </c>
      <c r="T28" s="9" t="n">
        <v>19.68</v>
      </c>
      <c r="U28" s="9" t="n">
        <v>41.41</v>
      </c>
      <c r="V28" s="9" t="n">
        <v>56.71</v>
      </c>
      <c r="W28" s="9" t="n">
        <v>88.15000000000001</v>
      </c>
      <c r="X28" s="9" t="n">
        <v>37.26</v>
      </c>
      <c r="Y28" s="9" t="n">
        <v>37.56</v>
      </c>
      <c r="Z28" s="9" t="n">
        <v>13.32</v>
      </c>
      <c r="AA28" s="9" t="n">
        <v>227.03</v>
      </c>
      <c r="AB28" s="9" t="n">
        <v>106.88</v>
      </c>
      <c r="AC28" s="9" t="n">
        <v>47.08</v>
      </c>
      <c r="AD28" s="9" t="n">
        <v>4.65</v>
      </c>
      <c r="AE28" s="9" t="n">
        <v>1.15</v>
      </c>
      <c r="AF28" s="9" t="n">
        <v>24.68</v>
      </c>
      <c r="AG28" s="9" t="n">
        <v>27.47</v>
      </c>
      <c r="AH28" s="9" t="n">
        <v>5.18</v>
      </c>
      <c r="AI28" s="9" t="n">
        <v>18.84</v>
      </c>
      <c r="AJ28" s="9" t="n">
        <v>1.88</v>
      </c>
      <c r="AK28" s="9" t="n">
        <v>0.62</v>
      </c>
      <c r="AL28" s="9" t="n">
        <v>32.81</v>
      </c>
      <c r="AM28" s="9" t="n">
        <v>27.71</v>
      </c>
      <c r="AN28" s="9" t="n">
        <v>2.18</v>
      </c>
      <c r="AO28" s="9" t="n">
        <v>7.86</v>
      </c>
      <c r="AP28" s="9" t="n">
        <v>4.12</v>
      </c>
      <c r="AQ28" s="9" t="n">
        <v>0.85</v>
      </c>
      <c r="AR28" s="9" t="n">
        <v>20.71</v>
      </c>
      <c r="AS28" s="9" t="n">
        <v>2.79</v>
      </c>
      <c r="AT28" s="9" t="n">
        <v>0.38</v>
      </c>
      <c r="AU28" s="9" t="n">
        <v>13.68</v>
      </c>
      <c r="AV28" s="9" t="n">
        <v>0.03</v>
      </c>
      <c r="AW28" s="9" t="n">
        <v>0.03</v>
      </c>
      <c r="AX28" s="9" t="n">
        <v>100</v>
      </c>
      <c r="AY28" s="9" t="n">
        <v>10.29</v>
      </c>
      <c r="AZ28" s="9" t="n">
        <v>3.21</v>
      </c>
      <c r="BA28" s="9" t="n">
        <v>31.14</v>
      </c>
      <c r="BB28" s="9" t="n">
        <v>3.38</v>
      </c>
      <c r="BC28" s="9" t="n">
        <v>5.21</v>
      </c>
      <c r="BD28" s="9" t="n">
        <v>19.41</v>
      </c>
      <c r="BE28" s="9" t="n">
        <v>3.79</v>
      </c>
      <c r="BF28" s="9" t="n">
        <v>5.35</v>
      </c>
      <c r="BG28" s="9" t="n">
        <v>11.85</v>
      </c>
      <c r="BH28" s="9" t="n">
        <v>68.56</v>
      </c>
      <c r="BI28" s="9" t="n">
        <v>26.88</v>
      </c>
      <c r="BJ28" s="9" t="n">
        <v>39.21</v>
      </c>
      <c r="BK28" s="9" t="n">
        <v>1.56</v>
      </c>
      <c r="BL28" s="9" t="n">
        <v>2.24</v>
      </c>
      <c r="BM28" s="9" t="n">
        <v>13.74</v>
      </c>
      <c r="BN28" s="9" t="n">
        <v>6.82</v>
      </c>
      <c r="BO28" s="9" t="n">
        <v>49.68</v>
      </c>
      <c r="BP28" s="9" t="n">
        <v>78.76000000000001</v>
      </c>
      <c r="BQ28" s="9" t="n">
        <v>47.62</v>
      </c>
      <c r="BR28" s="9" t="n">
        <v>60.46</v>
      </c>
      <c r="BS28" s="9" t="n">
        <v>41.5</v>
      </c>
      <c r="BT28" s="9" t="n">
        <v>17.35</v>
      </c>
      <c r="BU28" s="9" t="n">
        <v>41.81</v>
      </c>
      <c r="BV28" s="9" t="n">
        <v>3.82</v>
      </c>
      <c r="BW28" s="9" t="n">
        <v>1.79</v>
      </c>
      <c r="BX28" s="9" t="n">
        <v>46.92</v>
      </c>
      <c r="BY28" s="9" t="n">
        <v>45.21</v>
      </c>
      <c r="BZ28" s="9" t="n">
        <v>19.18</v>
      </c>
      <c r="CA28" s="9" t="n">
        <v>15.38</v>
      </c>
      <c r="CB28" s="9" t="n">
        <v>2.74</v>
      </c>
      <c r="CC28" s="9" t="n">
        <v>0.35</v>
      </c>
      <c r="CD28" s="9" t="n">
        <v>125.35</v>
      </c>
      <c r="CE28" s="9" t="n">
        <v>79.23999999999999</v>
      </c>
      <c r="CF28" s="9" t="n">
        <v>63.21</v>
      </c>
      <c r="CG28" s="9" t="n">
        <v>43</v>
      </c>
      <c r="CH28" s="9" t="n">
        <v>39.06</v>
      </c>
      <c r="CI28" s="9" t="n">
        <v>90.83</v>
      </c>
      <c r="CJ28" s="9" t="n">
        <v>84</v>
      </c>
      <c r="CK28" s="9" t="n">
        <v>67.97</v>
      </c>
      <c r="CL28" s="9" t="n">
        <v>80.92</v>
      </c>
      <c r="CM28" s="9" t="n">
        <v>40.94</v>
      </c>
      <c r="CN28" s="9" t="n">
        <v>19.24</v>
      </c>
      <c r="CO28" s="9" t="n">
        <v>46.98</v>
      </c>
      <c r="CP28" s="9" t="n">
        <v>51.09</v>
      </c>
      <c r="CQ28" s="9" t="n">
        <v>28.74</v>
      </c>
      <c r="CR28" s="9" t="n">
        <v>56.25</v>
      </c>
      <c r="CS28" s="9" t="n">
        <v>61.12</v>
      </c>
      <c r="CT28" s="9" t="n">
        <v>42.32</v>
      </c>
      <c r="CU28" s="9" t="n">
        <v>69.25</v>
      </c>
      <c r="CV28" s="9" t="n">
        <v>4.5</v>
      </c>
      <c r="CW28" s="9" t="n">
        <v>1.38</v>
      </c>
      <c r="CX28" s="9" t="n">
        <v>30.72</v>
      </c>
      <c r="CY28" s="9" t="n">
        <v>25.88</v>
      </c>
      <c r="CZ28" s="9" t="n">
        <v>20.85</v>
      </c>
      <c r="DA28" s="9" t="n">
        <v>80.56999999999999</v>
      </c>
      <c r="DB28" s="9" t="n">
        <v>8.32</v>
      </c>
      <c r="DC28" s="9" t="n">
        <v>14.89</v>
      </c>
      <c r="DD28" s="9" t="n">
        <v>2.6</v>
      </c>
      <c r="DE28" s="9" t="n">
        <v>13.87</v>
      </c>
      <c r="DF28" s="9" t="n">
        <v>20.05</v>
      </c>
      <c r="DG28" s="9" t="n">
        <v>19.41</v>
      </c>
      <c r="DH28" s="9" t="n">
        <v>9.02</v>
      </c>
      <c r="DI28" s="9" t="n">
        <v>2.24</v>
      </c>
      <c r="DJ28" s="9" t="n">
        <v>2.15</v>
      </c>
      <c r="DK28" s="9" t="n">
        <v>13.74</v>
      </c>
      <c r="DL28" s="9" t="n">
        <v>6.56</v>
      </c>
      <c r="DM28" s="9" t="n">
        <v>47.75</v>
      </c>
      <c r="DN28" s="9" t="n">
        <v>393.09</v>
      </c>
      <c r="DO28" s="9" t="n">
        <v>307.59</v>
      </c>
      <c r="DP28" s="9" t="n">
        <v>78.25</v>
      </c>
      <c r="DQ28" s="9" t="n">
        <v>54.19</v>
      </c>
      <c r="DR28" s="9" t="n">
        <v>117.18</v>
      </c>
      <c r="DS28" s="9" t="n">
        <v>21.44</v>
      </c>
      <c r="DT28" s="9" t="n">
        <v>46.82</v>
      </c>
      <c r="DU28" s="9" t="n">
        <v>48.91</v>
      </c>
      <c r="DV28" s="9" t="n">
        <v>91.38</v>
      </c>
      <c r="DW28" s="9" t="n">
        <v>44.32</v>
      </c>
      <c r="DX28" s="9" t="n">
        <v>35.82</v>
      </c>
      <c r="DY28" s="9" t="n">
        <v>11.24</v>
      </c>
      <c r="DZ28" s="9" t="n">
        <v>227.03</v>
      </c>
      <c r="EA28" s="9" t="n">
        <v>110.21</v>
      </c>
      <c r="EB28" s="9" t="n">
        <v>48.54</v>
      </c>
      <c r="EC28" s="9" t="n">
        <v>3.76</v>
      </c>
      <c r="ED28" s="9" t="n">
        <v>1.41</v>
      </c>
      <c r="EE28" s="9" t="n">
        <v>37.5</v>
      </c>
      <c r="EF28" s="9" t="n">
        <v>28.91</v>
      </c>
      <c r="EG28" s="9" t="n">
        <v>7.74</v>
      </c>
      <c r="EH28" s="9" t="n">
        <v>26.75</v>
      </c>
      <c r="EI28" s="9" t="n">
        <v>2.59</v>
      </c>
      <c r="EJ28" s="9" t="n">
        <v>1.29</v>
      </c>
      <c r="EK28" s="9" t="n">
        <v>50</v>
      </c>
      <c r="EL28" s="9" t="n">
        <v>28.74</v>
      </c>
      <c r="EM28" s="9" t="n">
        <v>3.88</v>
      </c>
      <c r="EN28" s="9" t="n">
        <v>13.51</v>
      </c>
      <c r="EO28" s="9" t="n">
        <v>5.65</v>
      </c>
      <c r="EP28" s="9" t="n">
        <v>1.94</v>
      </c>
      <c r="EQ28" s="9" t="n">
        <v>34.38</v>
      </c>
      <c r="ER28" s="9" t="n">
        <v>2.91</v>
      </c>
      <c r="ES28" s="9" t="n">
        <v>0.41</v>
      </c>
      <c r="ET28" s="9" t="n">
        <v>14.14</v>
      </c>
      <c r="EU28" s="9" t="n">
        <v>0.21</v>
      </c>
      <c r="EV28" s="9" t="n">
        <v>0.18</v>
      </c>
      <c r="EW28" s="9" t="n">
        <v>85.70999999999999</v>
      </c>
      <c r="EX28" s="9" t="n">
        <v>13.59</v>
      </c>
      <c r="EY28" s="9" t="n">
        <v>5.12</v>
      </c>
      <c r="EZ28" s="9" t="n">
        <v>37.66</v>
      </c>
      <c r="FA28" s="9" t="n">
        <v>4.85</v>
      </c>
      <c r="FB28" s="9" t="n">
        <v>8.380000000000001</v>
      </c>
      <c r="FC28" s="9" t="n">
        <v>25.76</v>
      </c>
      <c r="FD28" s="9" t="n">
        <v>6.15</v>
      </c>
      <c r="FE28" s="9" t="n">
        <v>7.29</v>
      </c>
      <c r="FF28" s="9" t="n">
        <v>22</v>
      </c>
      <c r="FG28" s="9" t="n">
        <v>78.76000000000001</v>
      </c>
      <c r="FH28" s="9" t="n">
        <v>31.15</v>
      </c>
      <c r="FI28" s="9" t="n">
        <v>39.54</v>
      </c>
      <c r="FJ28" s="9" t="n">
        <v>4.12</v>
      </c>
      <c r="FK28" s="9" t="n">
        <v>0.71</v>
      </c>
      <c r="FL28" s="9" t="n">
        <v>8.619999999999999</v>
      </c>
      <c r="FM28" s="9" t="n">
        <v>3</v>
      </c>
      <c r="FN28" s="9" t="n">
        <v>34.81</v>
      </c>
      <c r="FO28" s="9" t="n">
        <v>68.56</v>
      </c>
      <c r="FP28" s="9" t="n">
        <v>41.68</v>
      </c>
      <c r="FQ28" s="9" t="n">
        <v>60.79</v>
      </c>
      <c r="FR28" s="9" t="n">
        <v>41.5</v>
      </c>
      <c r="FS28" s="9" t="n">
        <v>21.71</v>
      </c>
      <c r="FT28" s="9" t="n">
        <v>52.3</v>
      </c>
      <c r="FU28" s="9" t="n">
        <v>4.24</v>
      </c>
      <c r="FV28" s="9" t="n">
        <v>1.94</v>
      </c>
      <c r="FW28" s="9" t="n">
        <v>45.83</v>
      </c>
      <c r="FX28" s="9" t="n">
        <v>40.91</v>
      </c>
      <c r="FY28" s="9" t="n">
        <v>14</v>
      </c>
      <c r="FZ28" s="9" t="n">
        <v>13.03</v>
      </c>
      <c r="GA28" s="9" t="n">
        <v>2.18</v>
      </c>
      <c r="GB28" s="9" t="n">
        <v>0.09</v>
      </c>
      <c r="GC28" s="9" t="n">
        <v>150.47</v>
      </c>
      <c r="GD28" s="9" t="n">
        <v>101.32</v>
      </c>
      <c r="GE28" s="9" t="n">
        <v>67.34</v>
      </c>
      <c r="GF28" s="9" t="n">
        <v>57.71</v>
      </c>
      <c r="GG28" s="9" t="n">
        <v>52.97</v>
      </c>
      <c r="GH28" s="9" t="n">
        <v>91.79000000000001</v>
      </c>
      <c r="GI28" s="9" t="n">
        <v>135.29</v>
      </c>
      <c r="GJ28" s="9" t="n">
        <v>115.97</v>
      </c>
      <c r="GK28" s="9" t="n">
        <v>85.72</v>
      </c>
      <c r="GL28" s="9" t="n">
        <v>57.06</v>
      </c>
      <c r="GM28" s="9" t="n">
        <v>30.53</v>
      </c>
      <c r="GN28" s="9" t="n">
        <v>53.51</v>
      </c>
      <c r="GO28" s="9" t="n">
        <v>55</v>
      </c>
      <c r="GP28" s="9" t="n">
        <v>34.38</v>
      </c>
      <c r="GQ28" s="9" t="n">
        <v>62.51</v>
      </c>
      <c r="GR28" s="9" t="n">
        <v>83.06</v>
      </c>
      <c r="GS28" s="9" t="n">
        <v>55.56</v>
      </c>
      <c r="GT28" s="9" t="n">
        <v>66.89</v>
      </c>
      <c r="GU28" s="9" t="n">
        <v>6</v>
      </c>
      <c r="GV28" s="9" t="n">
        <v>2.56</v>
      </c>
      <c r="GW28" s="9" t="n">
        <v>42.65</v>
      </c>
      <c r="GX28" s="9" t="n">
        <v>29.24</v>
      </c>
      <c r="GY28" s="9" t="n">
        <v>26.09</v>
      </c>
      <c r="GZ28" s="9" t="n">
        <v>89.23999999999999</v>
      </c>
      <c r="HA28" s="9" t="n">
        <v>7.56</v>
      </c>
      <c r="HB28" s="9" t="n">
        <v>16.36</v>
      </c>
      <c r="HC28" s="9" t="n">
        <v>3.26</v>
      </c>
      <c r="HD28" s="9" t="n">
        <v>15.24</v>
      </c>
      <c r="HE28" s="9" t="n">
        <v>16.48</v>
      </c>
      <c r="HF28" s="9" t="n">
        <v>21.4</v>
      </c>
      <c r="HG28" s="9" t="n">
        <v>7.31</v>
      </c>
    </row>
    <row r="29">
      <c r="A29" s="12" t="n">
        <v>2023</v>
      </c>
      <c r="B29" s="12" t="n">
        <v>67</v>
      </c>
      <c r="C29" s="5">
        <f>(B29-AVERAGE($B$2:$B$100))/_xlfn.STDEV.P($B$2:$B$100)</f>
        <v/>
      </c>
      <c r="D29" s="12" t="n">
        <v>1</v>
      </c>
      <c r="E29" s="6">
        <f>-D29</f>
        <v/>
      </c>
      <c r="F29" s="7">
        <f>(E29-AVERAGE($E$2:$E$100))/_xlfn.STDEV.P($E$2:$E$100)</f>
        <v/>
      </c>
      <c r="G29" s="7">
        <f>sum(0.5*C29)+(0.5*F29)</f>
        <v/>
      </c>
      <c r="H29" s="12" t="inlineStr">
        <is>
          <t>East</t>
        </is>
      </c>
      <c r="I29" s="8" t="inlineStr">
        <is>
          <t>Pittsburgh Riverhounds</t>
        </is>
      </c>
      <c r="J29" s="9" t="n">
        <v>1.17</v>
      </c>
      <c r="K29" s="9" t="n">
        <v>1.36</v>
      </c>
      <c r="L29" s="9" t="n">
        <v>10.11</v>
      </c>
      <c r="M29" s="9" t="n">
        <v>3.49</v>
      </c>
      <c r="N29" s="9" t="n">
        <v>34.46</v>
      </c>
      <c r="O29" s="9" t="n">
        <v>378.6</v>
      </c>
      <c r="P29" s="9" t="n">
        <v>294.03</v>
      </c>
      <c r="Q29" s="9" t="n">
        <v>77.66</v>
      </c>
      <c r="R29" s="9" t="n">
        <v>45.69</v>
      </c>
      <c r="S29" s="9" t="n">
        <v>118.97</v>
      </c>
      <c r="T29" s="9" t="n">
        <v>17.94</v>
      </c>
      <c r="U29" s="9" t="n">
        <v>44.94</v>
      </c>
      <c r="V29" s="9" t="n">
        <v>56.09</v>
      </c>
      <c r="W29" s="9" t="n">
        <v>89.48999999999999</v>
      </c>
      <c r="X29" s="9" t="n">
        <v>37.23</v>
      </c>
      <c r="Y29" s="9" t="n">
        <v>38.94</v>
      </c>
      <c r="Z29" s="9" t="n">
        <v>13.31</v>
      </c>
      <c r="AA29" s="9" t="n">
        <v>190.14</v>
      </c>
      <c r="AB29" s="9" t="n">
        <v>94.66</v>
      </c>
      <c r="AC29" s="9" t="n">
        <v>49.78</v>
      </c>
      <c r="AD29" s="9" t="n">
        <v>3.49</v>
      </c>
      <c r="AE29" s="9" t="n">
        <v>1.11</v>
      </c>
      <c r="AF29" s="9" t="n">
        <v>31.97</v>
      </c>
      <c r="AG29" s="9" t="n">
        <v>28.11</v>
      </c>
      <c r="AH29" s="9" t="n">
        <v>6.26</v>
      </c>
      <c r="AI29" s="9" t="n">
        <v>22.26</v>
      </c>
      <c r="AJ29" s="9" t="n">
        <v>0.74</v>
      </c>
      <c r="AK29" s="9" t="n">
        <v>0.29</v>
      </c>
      <c r="AL29" s="9" t="n">
        <v>38.46</v>
      </c>
      <c r="AM29" s="9" t="n">
        <v>24.74</v>
      </c>
      <c r="AN29" s="9" t="n">
        <v>3.03</v>
      </c>
      <c r="AO29" s="9" t="n">
        <v>12.24</v>
      </c>
      <c r="AP29" s="9" t="n">
        <v>4.86</v>
      </c>
      <c r="AQ29" s="9" t="n">
        <v>1.14</v>
      </c>
      <c r="AR29" s="9" t="n">
        <v>23.53</v>
      </c>
      <c r="AS29" s="9" t="n">
        <v>1.89</v>
      </c>
      <c r="AT29" s="9" t="n">
        <v>0.66</v>
      </c>
      <c r="AU29" s="9" t="n">
        <v>34.85</v>
      </c>
      <c r="AV29" s="9" t="n">
        <v>0.2</v>
      </c>
      <c r="AW29" s="9" t="n">
        <v>0.14</v>
      </c>
      <c r="AX29" s="9" t="n">
        <v>71.43000000000001</v>
      </c>
      <c r="AY29" s="9" t="n">
        <v>15.43</v>
      </c>
      <c r="AZ29" s="9" t="n">
        <v>5.51</v>
      </c>
      <c r="BA29" s="9" t="n">
        <v>35.74</v>
      </c>
      <c r="BB29" s="9" t="n">
        <v>5.66</v>
      </c>
      <c r="BC29" s="9" t="n">
        <v>8.31</v>
      </c>
      <c r="BD29" s="9" t="n">
        <v>26.34</v>
      </c>
      <c r="BE29" s="9" t="n">
        <v>3.46</v>
      </c>
      <c r="BF29" s="9" t="n">
        <v>8.970000000000001</v>
      </c>
      <c r="BG29" s="9" t="n">
        <v>18.8</v>
      </c>
      <c r="BH29" s="9" t="n">
        <v>55.6</v>
      </c>
      <c r="BI29" s="9" t="n">
        <v>21.91</v>
      </c>
      <c r="BJ29" s="9" t="n">
        <v>39.41</v>
      </c>
      <c r="BK29" s="9" t="n">
        <v>1.86</v>
      </c>
      <c r="BL29" s="9" t="n">
        <v>0.83</v>
      </c>
      <c r="BM29" s="9" t="n">
        <v>8.6</v>
      </c>
      <c r="BN29" s="9" t="n">
        <v>3.37</v>
      </c>
      <c r="BO29" s="9" t="n">
        <v>39.2</v>
      </c>
      <c r="BP29" s="9" t="n">
        <v>59.23</v>
      </c>
      <c r="BQ29" s="9" t="n">
        <v>38.51</v>
      </c>
      <c r="BR29" s="9" t="n">
        <v>65.03</v>
      </c>
      <c r="BS29" s="9" t="n">
        <v>46.66</v>
      </c>
      <c r="BT29" s="9" t="n">
        <v>21.34</v>
      </c>
      <c r="BU29" s="9" t="n">
        <v>45.74</v>
      </c>
      <c r="BV29" s="9" t="n">
        <v>3</v>
      </c>
      <c r="BW29" s="9" t="n">
        <v>1.31</v>
      </c>
      <c r="BX29" s="9" t="n">
        <v>43.81</v>
      </c>
      <c r="BY29" s="9" t="n">
        <v>38.89</v>
      </c>
      <c r="BZ29" s="9" t="n">
        <v>15.66</v>
      </c>
      <c r="CA29" s="9" t="n">
        <v>12</v>
      </c>
      <c r="CB29" s="9" t="n">
        <v>1.83</v>
      </c>
      <c r="CC29" s="9" t="n">
        <v>0.09</v>
      </c>
      <c r="CD29" s="9" t="n">
        <v>139.63</v>
      </c>
      <c r="CE29" s="9" t="n">
        <v>88.8</v>
      </c>
      <c r="CF29" s="9" t="n">
        <v>63.6</v>
      </c>
      <c r="CG29" s="9" t="n">
        <v>53.2</v>
      </c>
      <c r="CH29" s="9" t="n">
        <v>49.71</v>
      </c>
      <c r="CI29" s="9" t="n">
        <v>93.45</v>
      </c>
      <c r="CJ29" s="9" t="n">
        <v>136.97</v>
      </c>
      <c r="CK29" s="9" t="n">
        <v>118.2</v>
      </c>
      <c r="CL29" s="9" t="n">
        <v>86.3</v>
      </c>
      <c r="CM29" s="9" t="n">
        <v>57.26</v>
      </c>
      <c r="CN29" s="9" t="n">
        <v>27.66</v>
      </c>
      <c r="CO29" s="9" t="n">
        <v>48.3</v>
      </c>
      <c r="CP29" s="9" t="n">
        <v>56.46</v>
      </c>
      <c r="CQ29" s="9" t="n">
        <v>32.86</v>
      </c>
      <c r="CR29" s="9" t="n">
        <v>58.2</v>
      </c>
      <c r="CS29" s="9" t="n">
        <v>75.48999999999999</v>
      </c>
      <c r="CT29" s="9" t="n">
        <v>53.26</v>
      </c>
      <c r="CU29" s="9" t="n">
        <v>70.55</v>
      </c>
      <c r="CV29" s="9" t="n">
        <v>1.71</v>
      </c>
      <c r="CW29" s="9" t="n">
        <v>0.66</v>
      </c>
      <c r="CX29" s="9" t="n">
        <v>38.33</v>
      </c>
      <c r="CY29" s="9" t="n">
        <v>22.37</v>
      </c>
      <c r="CZ29" s="9" t="n">
        <v>19.66</v>
      </c>
      <c r="DA29" s="9" t="n">
        <v>87.87</v>
      </c>
      <c r="DB29" s="9" t="n">
        <v>6.97</v>
      </c>
      <c r="DC29" s="9" t="n">
        <v>15.84</v>
      </c>
      <c r="DD29" s="9" t="n">
        <v>3.55</v>
      </c>
      <c r="DE29" s="9" t="n">
        <v>15.87</v>
      </c>
      <c r="DF29" s="9" t="n">
        <v>17.36</v>
      </c>
      <c r="DG29" s="9" t="n">
        <v>21.26</v>
      </c>
      <c r="DH29" s="9" t="n">
        <v>12.87</v>
      </c>
      <c r="DI29" s="9" t="n">
        <v>0.83</v>
      </c>
      <c r="DJ29" s="9" t="n">
        <v>0.98</v>
      </c>
      <c r="DK29" s="9" t="n">
        <v>8.6</v>
      </c>
      <c r="DL29" s="9" t="n">
        <v>3.29</v>
      </c>
      <c r="DM29" s="9" t="n">
        <v>38.21</v>
      </c>
      <c r="DN29" s="9" t="n">
        <v>470.43</v>
      </c>
      <c r="DO29" s="9" t="n">
        <v>384.83</v>
      </c>
      <c r="DP29" s="9" t="n">
        <v>81.8</v>
      </c>
      <c r="DQ29" s="9" t="n">
        <v>54.31</v>
      </c>
      <c r="DR29" s="9" t="n">
        <v>123.43</v>
      </c>
      <c r="DS29" s="9" t="n">
        <v>21.63</v>
      </c>
      <c r="DT29" s="9" t="n">
        <v>49.14</v>
      </c>
      <c r="DU29" s="9" t="n">
        <v>52.66</v>
      </c>
      <c r="DV29" s="9" t="n">
        <v>88.73999999999999</v>
      </c>
      <c r="DW29" s="9" t="n">
        <v>40.57</v>
      </c>
      <c r="DX29" s="9" t="n">
        <v>37.8</v>
      </c>
      <c r="DY29" s="9" t="n">
        <v>10.37</v>
      </c>
      <c r="DZ29" s="9" t="n">
        <v>190.14</v>
      </c>
      <c r="EA29" s="9" t="n">
        <v>87.37</v>
      </c>
      <c r="EB29" s="9" t="n">
        <v>45.95</v>
      </c>
      <c r="EC29" s="9" t="n">
        <v>3.69</v>
      </c>
      <c r="ED29" s="9" t="n">
        <v>0.89</v>
      </c>
      <c r="EE29" s="9" t="n">
        <v>24.03</v>
      </c>
      <c r="EF29" s="9" t="n">
        <v>25.23</v>
      </c>
      <c r="EG29" s="9" t="n">
        <v>5.51</v>
      </c>
      <c r="EH29" s="9" t="n">
        <v>21.86</v>
      </c>
      <c r="EI29" s="9" t="n">
        <v>0.46</v>
      </c>
      <c r="EJ29" s="9" t="n">
        <v>0.26</v>
      </c>
      <c r="EK29" s="9" t="n">
        <v>56.25</v>
      </c>
      <c r="EL29" s="9" t="n">
        <v>24.46</v>
      </c>
      <c r="EM29" s="9" t="n">
        <v>2.37</v>
      </c>
      <c r="EN29" s="9" t="n">
        <v>9.699999999999999</v>
      </c>
      <c r="EO29" s="9" t="n">
        <v>3.6</v>
      </c>
      <c r="EP29" s="9" t="n">
        <v>0.83</v>
      </c>
      <c r="EQ29" s="9" t="n">
        <v>23.02</v>
      </c>
      <c r="ER29" s="9" t="n">
        <v>2.14</v>
      </c>
      <c r="ES29" s="9" t="n">
        <v>0.34</v>
      </c>
      <c r="ET29" s="9" t="n">
        <v>16</v>
      </c>
      <c r="EU29" s="9" t="n">
        <v>0.09</v>
      </c>
      <c r="EV29" s="9" t="n">
        <v>0.03</v>
      </c>
      <c r="EW29" s="9" t="n">
        <v>33.33</v>
      </c>
      <c r="EX29" s="9" t="n">
        <v>11.23</v>
      </c>
      <c r="EY29" s="9" t="n">
        <v>3.31</v>
      </c>
      <c r="EZ29" s="9" t="n">
        <v>29.52</v>
      </c>
      <c r="FA29" s="9" t="n">
        <v>3.2</v>
      </c>
      <c r="FB29" s="9" t="n">
        <v>4.86</v>
      </c>
      <c r="FC29" s="9" t="n">
        <v>19.17</v>
      </c>
      <c r="FD29" s="9" t="n">
        <v>2.31</v>
      </c>
      <c r="FE29" s="9" t="n">
        <v>7.11</v>
      </c>
      <c r="FF29" s="9" t="n">
        <v>10.63</v>
      </c>
      <c r="FG29" s="9" t="n">
        <v>59.23</v>
      </c>
      <c r="FH29" s="9" t="n">
        <v>20.71</v>
      </c>
      <c r="FI29" s="9" t="n">
        <v>34.97</v>
      </c>
      <c r="FJ29" s="9" t="n">
        <v>1.46</v>
      </c>
      <c r="FK29" s="9" t="n">
        <v>1.17</v>
      </c>
      <c r="FL29" s="9" t="n">
        <v>10.11</v>
      </c>
      <c r="FM29" s="9" t="n">
        <v>3.66</v>
      </c>
      <c r="FN29" s="9" t="n">
        <v>36.16</v>
      </c>
      <c r="FO29" s="9" t="n">
        <v>55.6</v>
      </c>
      <c r="FP29" s="9" t="n">
        <v>33.69</v>
      </c>
      <c r="FQ29" s="9" t="n">
        <v>60.59</v>
      </c>
      <c r="FR29" s="9" t="n">
        <v>46.66</v>
      </c>
      <c r="FS29" s="9" t="n">
        <v>21.69</v>
      </c>
      <c r="FT29" s="9" t="n">
        <v>46.48</v>
      </c>
      <c r="FU29" s="9" t="n">
        <v>2</v>
      </c>
      <c r="FV29" s="9" t="n">
        <v>1.09</v>
      </c>
      <c r="FW29" s="9" t="n">
        <v>54.29</v>
      </c>
      <c r="FX29" s="9" t="n">
        <v>39.26</v>
      </c>
      <c r="FY29" s="9" t="n">
        <v>14.6</v>
      </c>
      <c r="FZ29" s="9" t="n">
        <v>12.94</v>
      </c>
      <c r="GA29" s="9" t="n">
        <v>2.69</v>
      </c>
      <c r="GB29" s="9" t="n">
        <v>0.06</v>
      </c>
      <c r="GC29" s="9" t="n">
        <v>161.2</v>
      </c>
      <c r="GD29" s="9" t="n">
        <v>107.66</v>
      </c>
      <c r="GE29" s="9" t="n">
        <v>66.78</v>
      </c>
      <c r="GF29" s="9" t="n">
        <v>67.94</v>
      </c>
      <c r="GG29" s="9" t="n">
        <v>63.74</v>
      </c>
      <c r="GH29" s="9" t="n">
        <v>93.81999999999999</v>
      </c>
      <c r="GI29" s="9" t="n">
        <v>184.26</v>
      </c>
      <c r="GJ29" s="9" t="n">
        <v>167.8</v>
      </c>
      <c r="GK29" s="9" t="n">
        <v>91.06999999999999</v>
      </c>
      <c r="GL29" s="9" t="n">
        <v>59.23</v>
      </c>
      <c r="GM29" s="9" t="n">
        <v>29.17</v>
      </c>
      <c r="GN29" s="9" t="n">
        <v>49.25</v>
      </c>
      <c r="GO29" s="9" t="n">
        <v>59.37</v>
      </c>
      <c r="GP29" s="9" t="n">
        <v>36.03</v>
      </c>
      <c r="GQ29" s="9" t="n">
        <v>60.68</v>
      </c>
      <c r="GR29" s="9" t="n">
        <v>77.29000000000001</v>
      </c>
      <c r="GS29" s="9" t="n">
        <v>51.8</v>
      </c>
      <c r="GT29" s="9" t="n">
        <v>67.02</v>
      </c>
      <c r="GU29" s="9" t="n">
        <v>1.09</v>
      </c>
      <c r="GV29" s="9" t="n">
        <v>0.4</v>
      </c>
      <c r="GW29" s="9" t="n">
        <v>36.84</v>
      </c>
      <c r="GX29" s="9" t="n">
        <v>23.83</v>
      </c>
      <c r="GY29" s="9" t="n">
        <v>20.97</v>
      </c>
      <c r="GZ29" s="9" t="n">
        <v>88.01000000000001</v>
      </c>
      <c r="HA29" s="9" t="n">
        <v>8.460000000000001</v>
      </c>
      <c r="HB29" s="9" t="n">
        <v>16.49</v>
      </c>
      <c r="HC29" s="9" t="n">
        <v>4.42</v>
      </c>
      <c r="HD29" s="9" t="n">
        <v>13.52</v>
      </c>
      <c r="HE29" s="9" t="n">
        <v>18.15</v>
      </c>
      <c r="HF29" s="9" t="n">
        <v>20.87</v>
      </c>
      <c r="HG29" s="9" t="n">
        <v>11.45</v>
      </c>
    </row>
    <row r="30">
      <c r="A30" s="12" t="n">
        <v>2023</v>
      </c>
      <c r="B30" s="12" t="n">
        <v>64</v>
      </c>
      <c r="C30" s="5">
        <f>(B30-AVERAGE($B$2:$B$100))/_xlfn.STDEV.P($B$2:$B$100)</f>
        <v/>
      </c>
      <c r="D30" s="12" t="n">
        <v>1</v>
      </c>
      <c r="E30" s="6">
        <f>-D30</f>
        <v/>
      </c>
      <c r="F30" s="7">
        <f>(E30-AVERAGE($E$2:$E$100))/_xlfn.STDEV.P($E$2:$E$100)</f>
        <v/>
      </c>
      <c r="G30" s="7">
        <f>sum(0.5*C30)+(0.5*F30)</f>
        <v/>
      </c>
      <c r="H30" s="12" t="inlineStr">
        <is>
          <t>West</t>
        </is>
      </c>
      <c r="I30" s="8" t="inlineStr">
        <is>
          <t>Sacramento Republic</t>
        </is>
      </c>
      <c r="J30" s="9" t="n">
        <v>1.51</v>
      </c>
      <c r="K30" s="9" t="n">
        <v>1.35</v>
      </c>
      <c r="L30" s="9" t="n">
        <v>11.03</v>
      </c>
      <c r="M30" s="9" t="n">
        <v>4.3</v>
      </c>
      <c r="N30" s="9" t="n">
        <v>38.97</v>
      </c>
      <c r="O30" s="9" t="n">
        <v>405.03</v>
      </c>
      <c r="P30" s="9" t="n">
        <v>331.35</v>
      </c>
      <c r="Q30" s="9" t="n">
        <v>81.81</v>
      </c>
      <c r="R30" s="9" t="n">
        <v>48.42</v>
      </c>
      <c r="S30" s="9" t="n">
        <v>99.56999999999999</v>
      </c>
      <c r="T30" s="9" t="n">
        <v>16.78</v>
      </c>
      <c r="U30" s="9" t="n">
        <v>37.76</v>
      </c>
      <c r="V30" s="9" t="n">
        <v>45.03</v>
      </c>
      <c r="W30" s="9" t="n">
        <v>80.19</v>
      </c>
      <c r="X30" s="9" t="n">
        <v>37.62</v>
      </c>
      <c r="Y30" s="9" t="n">
        <v>32.86</v>
      </c>
      <c r="Z30" s="9" t="n">
        <v>9.699999999999999</v>
      </c>
      <c r="AA30" s="9" t="n">
        <v>198.03</v>
      </c>
      <c r="AB30" s="9" t="n">
        <v>98.48999999999999</v>
      </c>
      <c r="AC30" s="9" t="n">
        <v>49.73</v>
      </c>
      <c r="AD30" s="9" t="n">
        <v>4.22</v>
      </c>
      <c r="AE30" s="9" t="n">
        <v>0.95</v>
      </c>
      <c r="AF30" s="9" t="n">
        <v>22.44</v>
      </c>
      <c r="AG30" s="9" t="n">
        <v>25</v>
      </c>
      <c r="AH30" s="9" t="n">
        <v>6.14</v>
      </c>
      <c r="AI30" s="9" t="n">
        <v>24.54</v>
      </c>
      <c r="AJ30" s="9" t="n">
        <v>1.62</v>
      </c>
      <c r="AK30" s="9" t="n">
        <v>0.59</v>
      </c>
      <c r="AL30" s="9" t="n">
        <v>36.67</v>
      </c>
      <c r="AM30" s="9" t="n">
        <v>26.05</v>
      </c>
      <c r="AN30" s="9" t="n">
        <v>3.65</v>
      </c>
      <c r="AO30" s="9" t="n">
        <v>14</v>
      </c>
      <c r="AP30" s="9" t="n">
        <v>4.68</v>
      </c>
      <c r="AQ30" s="9" t="n">
        <v>1.49</v>
      </c>
      <c r="AR30" s="9" t="n">
        <v>31.79</v>
      </c>
      <c r="AS30" s="9" t="n">
        <v>1.97</v>
      </c>
      <c r="AT30" s="9" t="n">
        <v>0.43</v>
      </c>
      <c r="AU30" s="9" t="n">
        <v>21.92</v>
      </c>
      <c r="AV30" s="9" t="n">
        <v>0.14</v>
      </c>
      <c r="AW30" s="9" t="n">
        <v>0.11</v>
      </c>
      <c r="AX30" s="9" t="n">
        <v>80</v>
      </c>
      <c r="AY30" s="9" t="n">
        <v>15.16</v>
      </c>
      <c r="AZ30" s="9" t="n">
        <v>5.35</v>
      </c>
      <c r="BA30" s="9" t="n">
        <v>35.29</v>
      </c>
      <c r="BB30" s="9" t="n">
        <v>5.27</v>
      </c>
      <c r="BC30" s="9" t="n">
        <v>5.76</v>
      </c>
      <c r="BD30" s="9" t="n">
        <v>23</v>
      </c>
      <c r="BE30" s="9" t="n">
        <v>2.62</v>
      </c>
      <c r="BF30" s="9" t="n">
        <v>9.970000000000001</v>
      </c>
      <c r="BG30" s="9" t="n">
        <v>14.89</v>
      </c>
      <c r="BH30" s="9" t="n">
        <v>60.92</v>
      </c>
      <c r="BI30" s="9" t="n">
        <v>26.08</v>
      </c>
      <c r="BJ30" s="9" t="n">
        <v>42.81</v>
      </c>
      <c r="BK30" s="9" t="n">
        <v>2.22</v>
      </c>
      <c r="BL30" s="9" t="n">
        <v>0.78</v>
      </c>
      <c r="BM30" s="9" t="n">
        <v>10.14</v>
      </c>
      <c r="BN30" s="9" t="n">
        <v>3.59</v>
      </c>
      <c r="BO30" s="9" t="n">
        <v>35.47</v>
      </c>
      <c r="BP30" s="9" t="n">
        <v>69.54000000000001</v>
      </c>
      <c r="BQ30" s="9" t="n">
        <v>42.24</v>
      </c>
      <c r="BR30" s="9" t="n">
        <v>60.75</v>
      </c>
      <c r="BS30" s="9" t="n">
        <v>36.76</v>
      </c>
      <c r="BT30" s="9" t="n">
        <v>18.35</v>
      </c>
      <c r="BU30" s="9" t="n">
        <v>49.93</v>
      </c>
      <c r="BV30" s="9" t="n">
        <v>5.7</v>
      </c>
      <c r="BW30" s="9" t="n">
        <v>2.65</v>
      </c>
      <c r="BX30" s="9" t="n">
        <v>46.45</v>
      </c>
      <c r="BY30" s="9" t="n">
        <v>39.54</v>
      </c>
      <c r="BZ30" s="9" t="n">
        <v>14.11</v>
      </c>
      <c r="CA30" s="9" t="n">
        <v>14</v>
      </c>
      <c r="CB30" s="9" t="n">
        <v>2.32</v>
      </c>
      <c r="CC30" s="9" t="n">
        <v>0.08</v>
      </c>
      <c r="CD30" s="9" t="n">
        <v>141.27</v>
      </c>
      <c r="CE30" s="9" t="n">
        <v>100.41</v>
      </c>
      <c r="CF30" s="9" t="n">
        <v>71.06999999999999</v>
      </c>
      <c r="CG30" s="9" t="n">
        <v>60.3</v>
      </c>
      <c r="CH30" s="9" t="n">
        <v>56.95</v>
      </c>
      <c r="CI30" s="9" t="n">
        <v>94.44</v>
      </c>
      <c r="CJ30" s="9" t="n">
        <v>150.89</v>
      </c>
      <c r="CK30" s="9" t="n">
        <v>132.05</v>
      </c>
      <c r="CL30" s="9" t="n">
        <v>87.52</v>
      </c>
      <c r="CM30" s="9" t="n">
        <v>46.65</v>
      </c>
      <c r="CN30" s="9" t="n">
        <v>24.14</v>
      </c>
      <c r="CO30" s="9" t="n">
        <v>51.74</v>
      </c>
      <c r="CP30" s="9" t="n">
        <v>50.19</v>
      </c>
      <c r="CQ30" s="9" t="n">
        <v>32.14</v>
      </c>
      <c r="CR30" s="9" t="n">
        <v>64.03</v>
      </c>
      <c r="CS30" s="9" t="n">
        <v>72.3</v>
      </c>
      <c r="CT30" s="9" t="n">
        <v>50.84</v>
      </c>
      <c r="CU30" s="9" t="n">
        <v>70.31999999999999</v>
      </c>
      <c r="CV30" s="9" t="n">
        <v>3.54</v>
      </c>
      <c r="CW30" s="9" t="n">
        <v>1.49</v>
      </c>
      <c r="CX30" s="9" t="n">
        <v>41.98</v>
      </c>
      <c r="CY30" s="9" t="n">
        <v>19.59</v>
      </c>
      <c r="CZ30" s="9" t="n">
        <v>18.19</v>
      </c>
      <c r="DA30" s="9" t="n">
        <v>92.83</v>
      </c>
      <c r="DB30" s="9" t="n">
        <v>8.140000000000001</v>
      </c>
      <c r="DC30" s="9" t="n">
        <v>16.32</v>
      </c>
      <c r="DD30" s="9" t="n">
        <v>3.97</v>
      </c>
      <c r="DE30" s="9" t="n">
        <v>12.07</v>
      </c>
      <c r="DF30" s="9" t="n">
        <v>17.89</v>
      </c>
      <c r="DG30" s="9" t="n">
        <v>20.5</v>
      </c>
      <c r="DH30" s="9" t="n">
        <v>10.82</v>
      </c>
      <c r="DI30" s="9" t="n">
        <v>0.78</v>
      </c>
      <c r="DJ30" s="9" t="n">
        <v>1.03</v>
      </c>
      <c r="DK30" s="9" t="n">
        <v>10.14</v>
      </c>
      <c r="DL30" s="9" t="n">
        <v>3.35</v>
      </c>
      <c r="DM30" s="9" t="n">
        <v>33.07</v>
      </c>
      <c r="DN30" s="9" t="n">
        <v>432.16</v>
      </c>
      <c r="DO30" s="9" t="n">
        <v>361.84</v>
      </c>
      <c r="DP30" s="9" t="n">
        <v>83.73</v>
      </c>
      <c r="DQ30" s="9" t="n">
        <v>51.58</v>
      </c>
      <c r="DR30" s="9" t="n">
        <v>102.03</v>
      </c>
      <c r="DS30" s="9" t="n">
        <v>16.46</v>
      </c>
      <c r="DT30" s="9" t="n">
        <v>36.86</v>
      </c>
      <c r="DU30" s="9" t="n">
        <v>48.7</v>
      </c>
      <c r="DV30" s="9" t="n">
        <v>79.65000000000001</v>
      </c>
      <c r="DW30" s="9" t="n">
        <v>35.22</v>
      </c>
      <c r="DX30" s="9" t="n">
        <v>33.81</v>
      </c>
      <c r="DY30" s="9" t="n">
        <v>10.62</v>
      </c>
      <c r="DZ30" s="9" t="n">
        <v>198.03</v>
      </c>
      <c r="EA30" s="9" t="n">
        <v>91.23999999999999</v>
      </c>
      <c r="EB30" s="9" t="n">
        <v>46.08</v>
      </c>
      <c r="EC30" s="9" t="n">
        <v>4.54</v>
      </c>
      <c r="ED30" s="9" t="n">
        <v>1.24</v>
      </c>
      <c r="EE30" s="9" t="n">
        <v>27.38</v>
      </c>
      <c r="EF30" s="9" t="n">
        <v>26.59</v>
      </c>
      <c r="EG30" s="9" t="n">
        <v>6.14</v>
      </c>
      <c r="EH30" s="9" t="n">
        <v>23.07</v>
      </c>
      <c r="EI30" s="9" t="n">
        <v>1.78</v>
      </c>
      <c r="EJ30" s="9" t="n">
        <v>0.84</v>
      </c>
      <c r="EK30" s="9" t="n">
        <v>46.97</v>
      </c>
      <c r="EL30" s="9" t="n">
        <v>26.62</v>
      </c>
      <c r="EM30" s="9" t="n">
        <v>2.73</v>
      </c>
      <c r="EN30" s="9" t="n">
        <v>10.25</v>
      </c>
      <c r="EO30" s="9" t="n">
        <v>3.86</v>
      </c>
      <c r="EP30" s="9" t="n">
        <v>1.03</v>
      </c>
      <c r="EQ30" s="9" t="n">
        <v>26.57</v>
      </c>
      <c r="ER30" s="9" t="n">
        <v>2.73</v>
      </c>
      <c r="ES30" s="9" t="n">
        <v>0.43</v>
      </c>
      <c r="ET30" s="9" t="n">
        <v>15.84</v>
      </c>
      <c r="EU30" s="9" t="n">
        <v>0.08</v>
      </c>
      <c r="EV30" s="9" t="n">
        <v>0.08</v>
      </c>
      <c r="EW30" s="9" t="n">
        <v>100</v>
      </c>
      <c r="EX30" s="9" t="n">
        <v>11.59</v>
      </c>
      <c r="EY30" s="9" t="n">
        <v>3.7</v>
      </c>
      <c r="EZ30" s="9" t="n">
        <v>31.93</v>
      </c>
      <c r="FA30" s="9" t="n">
        <v>3.49</v>
      </c>
      <c r="FB30" s="9" t="n">
        <v>6.32</v>
      </c>
      <c r="FC30" s="9" t="n">
        <v>22.08</v>
      </c>
      <c r="FD30" s="9" t="n">
        <v>3.41</v>
      </c>
      <c r="FE30" s="9" t="n">
        <v>6.78</v>
      </c>
      <c r="FF30" s="9" t="n">
        <v>13.49</v>
      </c>
      <c r="FG30" s="9" t="n">
        <v>69.54000000000001</v>
      </c>
      <c r="FH30" s="9" t="n">
        <v>27.3</v>
      </c>
      <c r="FI30" s="9" t="n">
        <v>39.25</v>
      </c>
      <c r="FJ30" s="9" t="n">
        <v>1.54</v>
      </c>
      <c r="FK30" s="9" t="n">
        <v>1.51</v>
      </c>
      <c r="FL30" s="9" t="n">
        <v>11.03</v>
      </c>
      <c r="FM30" s="9" t="n">
        <v>4.51</v>
      </c>
      <c r="FN30" s="9" t="n">
        <v>40.93</v>
      </c>
      <c r="FO30" s="9" t="n">
        <v>60.92</v>
      </c>
      <c r="FP30" s="9" t="n">
        <v>34.84</v>
      </c>
      <c r="FQ30" s="9" t="n">
        <v>57.19</v>
      </c>
      <c r="FR30" s="9" t="n">
        <v>36.76</v>
      </c>
      <c r="FS30" s="9" t="n">
        <v>15.57</v>
      </c>
      <c r="FT30" s="9" t="n">
        <v>42.35</v>
      </c>
      <c r="FU30" s="9" t="n">
        <v>4.3</v>
      </c>
      <c r="FV30" s="9" t="n">
        <v>2.05</v>
      </c>
      <c r="FW30" s="9" t="n">
        <v>47.8</v>
      </c>
      <c r="FX30" s="9" t="n">
        <v>39.05</v>
      </c>
      <c r="FY30" s="9" t="n">
        <v>13.49</v>
      </c>
      <c r="FZ30" s="9" t="n">
        <v>13.81</v>
      </c>
      <c r="GA30" s="9" t="n">
        <v>2.65</v>
      </c>
      <c r="GB30" s="9" t="n">
        <v>0.14</v>
      </c>
      <c r="GC30" s="9" t="n">
        <v>143.92</v>
      </c>
      <c r="GD30" s="9" t="n">
        <v>102.81</v>
      </c>
      <c r="GE30" s="9" t="n">
        <v>71.44</v>
      </c>
      <c r="GF30" s="9" t="n">
        <v>61.03</v>
      </c>
      <c r="GG30" s="9" t="n">
        <v>57.86</v>
      </c>
      <c r="GH30" s="9" t="n">
        <v>94.81999999999999</v>
      </c>
      <c r="GI30" s="9" t="n">
        <v>167.19</v>
      </c>
      <c r="GJ30" s="9" t="n">
        <v>151.49</v>
      </c>
      <c r="GK30" s="9" t="n">
        <v>90.61</v>
      </c>
      <c r="GL30" s="9" t="n">
        <v>46.97</v>
      </c>
      <c r="GM30" s="9" t="n">
        <v>23.41</v>
      </c>
      <c r="GN30" s="9" t="n">
        <v>49.83</v>
      </c>
      <c r="GO30" s="9" t="n">
        <v>55.27</v>
      </c>
      <c r="GP30" s="9" t="n">
        <v>34.46</v>
      </c>
      <c r="GQ30" s="9" t="n">
        <v>62.35</v>
      </c>
      <c r="GR30" s="9" t="n">
        <v>68</v>
      </c>
      <c r="GS30" s="9" t="n">
        <v>49.86</v>
      </c>
      <c r="GT30" s="9" t="n">
        <v>73.33</v>
      </c>
      <c r="GU30" s="9" t="n">
        <v>2.89</v>
      </c>
      <c r="GV30" s="9" t="n">
        <v>1.08</v>
      </c>
      <c r="GW30" s="9" t="n">
        <v>37.38</v>
      </c>
      <c r="GX30" s="9" t="n">
        <v>20.76</v>
      </c>
      <c r="GY30" s="9" t="n">
        <v>18.76</v>
      </c>
      <c r="GZ30" s="9" t="n">
        <v>90.36</v>
      </c>
      <c r="HA30" s="9" t="n">
        <v>7.76</v>
      </c>
      <c r="HB30" s="9" t="n">
        <v>16.36</v>
      </c>
      <c r="HC30" s="9" t="n">
        <v>4.15</v>
      </c>
      <c r="HD30" s="9" t="n">
        <v>11.57</v>
      </c>
      <c r="HE30" s="9" t="n">
        <v>19.4</v>
      </c>
      <c r="HF30" s="9" t="n">
        <v>19.87</v>
      </c>
      <c r="HG30" s="9" t="n">
        <v>11.55</v>
      </c>
    </row>
    <row r="31">
      <c r="A31" s="12" t="n">
        <v>2023</v>
      </c>
      <c r="B31" s="12" t="n">
        <v>63</v>
      </c>
      <c r="C31" s="5">
        <f>(B31-AVERAGE($B$2:$B$100))/_xlfn.STDEV.P($B$2:$B$100)</f>
        <v/>
      </c>
      <c r="D31" s="12" t="n">
        <v>2</v>
      </c>
      <c r="E31" s="6">
        <f>-D31</f>
        <v/>
      </c>
      <c r="F31" s="7">
        <f>(E31-AVERAGE($E$2:$E$100))/_xlfn.STDEV.P($E$2:$E$100)</f>
        <v/>
      </c>
      <c r="G31" s="7">
        <f>sum(0.5*C31)+(0.5*F31)</f>
        <v/>
      </c>
      <c r="H31" s="12" t="inlineStr">
        <is>
          <t>East</t>
        </is>
      </c>
      <c r="I31" s="8" t="inlineStr">
        <is>
          <t>Tampa Bay Rowdies</t>
        </is>
      </c>
      <c r="J31" s="9" t="n">
        <v>1.71</v>
      </c>
      <c r="K31" s="9" t="n">
        <v>1.41</v>
      </c>
      <c r="L31" s="9" t="n">
        <v>10.63</v>
      </c>
      <c r="M31" s="9" t="n">
        <v>4.11</v>
      </c>
      <c r="N31" s="9" t="n">
        <v>38.71</v>
      </c>
      <c r="O31" s="9" t="n">
        <v>415.17</v>
      </c>
      <c r="P31" s="9" t="n">
        <v>350.11</v>
      </c>
      <c r="Q31" s="9" t="n">
        <v>84.33</v>
      </c>
      <c r="R31" s="9" t="n">
        <v>49.56</v>
      </c>
      <c r="S31" s="9" t="n">
        <v>94.26000000000001</v>
      </c>
      <c r="T31" s="9" t="n">
        <v>16.69</v>
      </c>
      <c r="U31" s="9" t="n">
        <v>34.06</v>
      </c>
      <c r="V31" s="9" t="n">
        <v>43.51</v>
      </c>
      <c r="W31" s="9" t="n">
        <v>72.26000000000001</v>
      </c>
      <c r="X31" s="9" t="n">
        <v>32.66</v>
      </c>
      <c r="Y31" s="9" t="n">
        <v>29.6</v>
      </c>
      <c r="Z31" s="9" t="n">
        <v>10</v>
      </c>
      <c r="AA31" s="9" t="n">
        <v>174.46</v>
      </c>
      <c r="AB31" s="9" t="n">
        <v>87.73999999999999</v>
      </c>
      <c r="AC31" s="9" t="n">
        <v>50.29</v>
      </c>
      <c r="AD31" s="9" t="n">
        <v>3.86</v>
      </c>
      <c r="AE31" s="9" t="n">
        <v>1.03</v>
      </c>
      <c r="AF31" s="9" t="n">
        <v>26.67</v>
      </c>
      <c r="AG31" s="9" t="n">
        <v>27.06</v>
      </c>
      <c r="AH31" s="9" t="n">
        <v>6.06</v>
      </c>
      <c r="AI31" s="9" t="n">
        <v>22.39</v>
      </c>
      <c r="AJ31" s="9" t="n">
        <v>1.71</v>
      </c>
      <c r="AK31" s="9" t="n">
        <v>0.83</v>
      </c>
      <c r="AL31" s="9" t="n">
        <v>48.33</v>
      </c>
      <c r="AM31" s="9" t="n">
        <v>26.71</v>
      </c>
      <c r="AN31" s="9" t="n">
        <v>3.09</v>
      </c>
      <c r="AO31" s="9" t="n">
        <v>11.55</v>
      </c>
      <c r="AP31" s="9" t="n">
        <v>4.91</v>
      </c>
      <c r="AQ31" s="9" t="n">
        <v>1.31</v>
      </c>
      <c r="AR31" s="9" t="n">
        <v>26.74</v>
      </c>
      <c r="AS31" s="9" t="n">
        <v>2.51</v>
      </c>
      <c r="AT31" s="9" t="n">
        <v>0.49</v>
      </c>
      <c r="AU31" s="9" t="n">
        <v>19.32</v>
      </c>
      <c r="AV31" s="9" t="n">
        <v>0.2</v>
      </c>
      <c r="AW31" s="9" t="n">
        <v>0.14</v>
      </c>
      <c r="AX31" s="9" t="n">
        <v>71.43000000000001</v>
      </c>
      <c r="AY31" s="9" t="n">
        <v>11.69</v>
      </c>
      <c r="AZ31" s="9" t="n">
        <v>4.14</v>
      </c>
      <c r="BA31" s="9" t="n">
        <v>35.45</v>
      </c>
      <c r="BB31" s="9" t="n">
        <v>3.94</v>
      </c>
      <c r="BC31" s="9" t="n">
        <v>6</v>
      </c>
      <c r="BD31" s="9" t="n">
        <v>20.8</v>
      </c>
      <c r="BE31" s="9" t="n">
        <v>4.34</v>
      </c>
      <c r="BF31" s="9" t="n">
        <v>6.69</v>
      </c>
      <c r="BG31" s="9" t="n">
        <v>14.63</v>
      </c>
      <c r="BH31" s="9" t="n">
        <v>61.46</v>
      </c>
      <c r="BI31" s="9" t="n">
        <v>26.37</v>
      </c>
      <c r="BJ31" s="9" t="n">
        <v>42.91</v>
      </c>
      <c r="BK31" s="9" t="n">
        <v>1.8</v>
      </c>
      <c r="BL31" s="9" t="n">
        <v>1.2</v>
      </c>
      <c r="BM31" s="9" t="n">
        <v>10.77</v>
      </c>
      <c r="BN31" s="9" t="n">
        <v>3.97</v>
      </c>
      <c r="BO31" s="9" t="n">
        <v>36.87</v>
      </c>
      <c r="BP31" s="9" t="n">
        <v>54.57</v>
      </c>
      <c r="BQ31" s="9" t="n">
        <v>32.54</v>
      </c>
      <c r="BR31" s="9" t="n">
        <v>59.63</v>
      </c>
      <c r="BS31" s="9" t="n">
        <v>31.54</v>
      </c>
      <c r="BT31" s="9" t="n">
        <v>16.89</v>
      </c>
      <c r="BU31" s="9" t="n">
        <v>53.53</v>
      </c>
      <c r="BV31" s="9" t="n">
        <v>2.57</v>
      </c>
      <c r="BW31" s="9" t="n">
        <v>1.37</v>
      </c>
      <c r="BX31" s="9" t="n">
        <v>53.33</v>
      </c>
      <c r="BY31" s="9" t="n">
        <v>38.43</v>
      </c>
      <c r="BZ31" s="9" t="n">
        <v>14.2</v>
      </c>
      <c r="CA31" s="9" t="n">
        <v>11.71</v>
      </c>
      <c r="CB31" s="9" t="n">
        <v>1.97</v>
      </c>
      <c r="CC31" s="9" t="n">
        <v>0.06</v>
      </c>
      <c r="CD31" s="9" t="n">
        <v>133.57</v>
      </c>
      <c r="CE31" s="9" t="n">
        <v>97.94</v>
      </c>
      <c r="CF31" s="9" t="n">
        <v>73.33</v>
      </c>
      <c r="CG31" s="9" t="n">
        <v>63.11</v>
      </c>
      <c r="CH31" s="9" t="n">
        <v>59.91</v>
      </c>
      <c r="CI31" s="9" t="n">
        <v>94.93000000000001</v>
      </c>
      <c r="CJ31" s="9" t="n">
        <v>164.49</v>
      </c>
      <c r="CK31" s="9" t="n">
        <v>148.26</v>
      </c>
      <c r="CL31" s="9" t="n">
        <v>90.13</v>
      </c>
      <c r="CM31" s="9" t="n">
        <v>45.51</v>
      </c>
      <c r="CN31" s="9" t="n">
        <v>24.63</v>
      </c>
      <c r="CO31" s="9" t="n">
        <v>54.11</v>
      </c>
      <c r="CP31" s="9" t="n">
        <v>53.66</v>
      </c>
      <c r="CQ31" s="9" t="n">
        <v>36.69</v>
      </c>
      <c r="CR31" s="9" t="n">
        <v>68.37</v>
      </c>
      <c r="CS31" s="9" t="n">
        <v>71.2</v>
      </c>
      <c r="CT31" s="9" t="n">
        <v>53.57</v>
      </c>
      <c r="CU31" s="9" t="n">
        <v>75.23999999999999</v>
      </c>
      <c r="CV31" s="9" t="n">
        <v>2.43</v>
      </c>
      <c r="CW31" s="9" t="n">
        <v>0.71</v>
      </c>
      <c r="CX31" s="9" t="n">
        <v>29.41</v>
      </c>
      <c r="CY31" s="9" t="n">
        <v>19.03</v>
      </c>
      <c r="CZ31" s="9" t="n">
        <v>16.77</v>
      </c>
      <c r="DA31" s="9" t="n">
        <v>88.14</v>
      </c>
      <c r="DB31" s="9" t="n">
        <v>7.63</v>
      </c>
      <c r="DC31" s="9" t="n">
        <v>15.83</v>
      </c>
      <c r="DD31" s="9" t="n">
        <v>4.14</v>
      </c>
      <c r="DE31" s="9" t="n">
        <v>11.6</v>
      </c>
      <c r="DF31" s="9" t="n">
        <v>17.33</v>
      </c>
      <c r="DG31" s="9" t="n">
        <v>21.14</v>
      </c>
      <c r="DH31" s="9" t="n">
        <v>13.42</v>
      </c>
      <c r="DI31" s="9" t="n">
        <v>1.2</v>
      </c>
      <c r="DJ31" s="9" t="n">
        <v>1.26</v>
      </c>
      <c r="DK31" s="9" t="n">
        <v>10.77</v>
      </c>
      <c r="DL31" s="9" t="n">
        <v>3.77</v>
      </c>
      <c r="DM31" s="9" t="n">
        <v>35.01</v>
      </c>
      <c r="DN31" s="9" t="n">
        <v>429.37</v>
      </c>
      <c r="DO31" s="9" t="n">
        <v>364.49</v>
      </c>
      <c r="DP31" s="9" t="n">
        <v>84.89</v>
      </c>
      <c r="DQ31" s="9" t="n">
        <v>50.44</v>
      </c>
      <c r="DR31" s="9" t="n">
        <v>91.91</v>
      </c>
      <c r="DS31" s="9" t="n">
        <v>15.69</v>
      </c>
      <c r="DT31" s="9" t="n">
        <v>32.4</v>
      </c>
      <c r="DU31" s="9" t="n">
        <v>43.83</v>
      </c>
      <c r="DV31" s="9" t="n">
        <v>72.89</v>
      </c>
      <c r="DW31" s="9" t="n">
        <v>33.51</v>
      </c>
      <c r="DX31" s="9" t="n">
        <v>29.09</v>
      </c>
      <c r="DY31" s="9" t="n">
        <v>10.29</v>
      </c>
      <c r="DZ31" s="9" t="n">
        <v>174.46</v>
      </c>
      <c r="EA31" s="9" t="n">
        <v>80</v>
      </c>
      <c r="EB31" s="9" t="n">
        <v>45.86</v>
      </c>
      <c r="EC31" s="9" t="n">
        <v>4.66</v>
      </c>
      <c r="ED31" s="9" t="n">
        <v>1.54</v>
      </c>
      <c r="EE31" s="9" t="n">
        <v>33.13</v>
      </c>
      <c r="EF31" s="9" t="n">
        <v>25.91</v>
      </c>
      <c r="EG31" s="9" t="n">
        <v>6.86</v>
      </c>
      <c r="EH31" s="9" t="n">
        <v>26.46</v>
      </c>
      <c r="EI31" s="9" t="n">
        <v>1.51</v>
      </c>
      <c r="EJ31" s="9" t="n">
        <v>0.74</v>
      </c>
      <c r="EK31" s="9" t="n">
        <v>49.06</v>
      </c>
      <c r="EL31" s="9" t="n">
        <v>24.09</v>
      </c>
      <c r="EM31" s="9" t="n">
        <v>2.8</v>
      </c>
      <c r="EN31" s="9" t="n">
        <v>11.63</v>
      </c>
      <c r="EO31" s="9" t="n">
        <v>4.66</v>
      </c>
      <c r="EP31" s="9" t="n">
        <v>1</v>
      </c>
      <c r="EQ31" s="9" t="n">
        <v>21.47</v>
      </c>
      <c r="ER31" s="9" t="n">
        <v>2</v>
      </c>
      <c r="ES31" s="9" t="n">
        <v>0.51</v>
      </c>
      <c r="ET31" s="9" t="n">
        <v>25.71</v>
      </c>
      <c r="EU31" s="9" t="n">
        <v>0.11</v>
      </c>
      <c r="EV31" s="9" t="n">
        <v>0.09</v>
      </c>
      <c r="EW31" s="9" t="n">
        <v>75</v>
      </c>
      <c r="EX31" s="9" t="n">
        <v>13.14</v>
      </c>
      <c r="EY31" s="9" t="n">
        <v>4.11</v>
      </c>
      <c r="EZ31" s="9" t="n">
        <v>31.3</v>
      </c>
      <c r="FA31" s="9" t="n">
        <v>4.2</v>
      </c>
      <c r="FB31" s="9" t="n">
        <v>6.94</v>
      </c>
      <c r="FC31" s="9" t="n">
        <v>22.06</v>
      </c>
      <c r="FD31" s="9" t="n">
        <v>3.11</v>
      </c>
      <c r="FE31" s="9" t="n">
        <v>8.539999999999999</v>
      </c>
      <c r="FF31" s="9" t="n">
        <v>14.89</v>
      </c>
      <c r="FG31" s="9" t="n">
        <v>54.57</v>
      </c>
      <c r="FH31" s="9" t="n">
        <v>22.03</v>
      </c>
      <c r="FI31" s="9" t="n">
        <v>40.37</v>
      </c>
      <c r="FJ31" s="9" t="n">
        <v>2.34</v>
      </c>
      <c r="FK31" s="9" t="n">
        <v>1.71</v>
      </c>
      <c r="FL31" s="9" t="n">
        <v>10.63</v>
      </c>
      <c r="FM31" s="9" t="n">
        <v>4.37</v>
      </c>
      <c r="FN31" s="9" t="n">
        <v>41.13</v>
      </c>
      <c r="FO31" s="9" t="n">
        <v>61.46</v>
      </c>
      <c r="FP31" s="9" t="n">
        <v>35.09</v>
      </c>
      <c r="FQ31" s="9" t="n">
        <v>57.09</v>
      </c>
      <c r="FR31" s="9" t="n">
        <v>31.54</v>
      </c>
      <c r="FS31" s="9" t="n">
        <v>12</v>
      </c>
      <c r="FT31" s="9" t="n">
        <v>38.04</v>
      </c>
      <c r="FU31" s="9" t="n">
        <v>4.63</v>
      </c>
      <c r="FV31" s="9" t="n">
        <v>1.91</v>
      </c>
      <c r="FW31" s="9" t="n">
        <v>41.36</v>
      </c>
      <c r="FX31" s="9" t="n">
        <v>34.31</v>
      </c>
      <c r="FY31" s="9" t="n">
        <v>13.37</v>
      </c>
      <c r="FZ31" s="9" t="n">
        <v>12.74</v>
      </c>
      <c r="GA31" s="9" t="n">
        <v>2.23</v>
      </c>
      <c r="GB31" s="9" t="n">
        <v>0.06</v>
      </c>
      <c r="GC31" s="9" t="n">
        <v>141.43</v>
      </c>
      <c r="GD31" s="9" t="n">
        <v>104.97</v>
      </c>
      <c r="GE31" s="9" t="n">
        <v>74.22</v>
      </c>
      <c r="GF31" s="9" t="n">
        <v>65.73999999999999</v>
      </c>
      <c r="GG31" s="9" t="n">
        <v>63</v>
      </c>
      <c r="GH31" s="9" t="n">
        <v>95.83</v>
      </c>
      <c r="GI31" s="9" t="n">
        <v>162.57</v>
      </c>
      <c r="GJ31" s="9" t="n">
        <v>145.6</v>
      </c>
      <c r="GK31" s="9" t="n">
        <v>89.56</v>
      </c>
      <c r="GL31" s="9" t="n">
        <v>48.46</v>
      </c>
      <c r="GM31" s="9" t="n">
        <v>26.49</v>
      </c>
      <c r="GN31" s="9" t="n">
        <v>54.66</v>
      </c>
      <c r="GO31" s="9" t="n">
        <v>54.34</v>
      </c>
      <c r="GP31" s="9" t="n">
        <v>37.03</v>
      </c>
      <c r="GQ31" s="9" t="n">
        <v>68.14</v>
      </c>
      <c r="GR31" s="9" t="n">
        <v>71.83</v>
      </c>
      <c r="GS31" s="9" t="n">
        <v>53.43</v>
      </c>
      <c r="GT31" s="9" t="n">
        <v>74.38</v>
      </c>
      <c r="GU31" s="9" t="n">
        <v>3.11</v>
      </c>
      <c r="GV31" s="9" t="n">
        <v>1.23</v>
      </c>
      <c r="GW31" s="9" t="n">
        <v>39.45</v>
      </c>
      <c r="GX31" s="9" t="n">
        <v>19.17</v>
      </c>
      <c r="GY31" s="9" t="n">
        <v>17.77</v>
      </c>
      <c r="GZ31" s="9" t="n">
        <v>92.7</v>
      </c>
      <c r="HA31" s="9" t="n">
        <v>7.86</v>
      </c>
      <c r="HB31" s="9" t="n">
        <v>16.06</v>
      </c>
      <c r="HC31" s="9" t="n">
        <v>4.38</v>
      </c>
      <c r="HD31" s="9" t="n">
        <v>11.76</v>
      </c>
      <c r="HE31" s="9" t="n">
        <v>18.84</v>
      </c>
      <c r="HF31" s="9" t="n">
        <v>20.22</v>
      </c>
      <c r="HG31" s="9" t="n">
        <v>11.83</v>
      </c>
    </row>
    <row r="32">
      <c r="A32" s="12" t="n">
        <v>2023</v>
      </c>
      <c r="B32" s="12" t="n">
        <v>57</v>
      </c>
      <c r="C32" s="5">
        <f>(B32-AVERAGE($B$2:$B$100))/_xlfn.STDEV.P($B$2:$B$100)</f>
        <v/>
      </c>
      <c r="D32" s="12" t="n">
        <v>2</v>
      </c>
      <c r="E32" s="6">
        <f>-D32</f>
        <v/>
      </c>
      <c r="F32" s="7">
        <f>(E32-AVERAGE($E$2:$E$100))/_xlfn.STDEV.P($E$2:$E$100)</f>
        <v/>
      </c>
      <c r="G32" s="7">
        <f>sum(0.5*C32)+(0.5*F32)</f>
        <v/>
      </c>
      <c r="H32" s="12" t="inlineStr">
        <is>
          <t>West</t>
        </is>
      </c>
      <c r="I32" s="8" t="inlineStr">
        <is>
          <t>Orange County SC</t>
        </is>
      </c>
      <c r="J32" s="9" t="n">
        <v>1.33</v>
      </c>
      <c r="K32" s="9" t="n">
        <v>1.38</v>
      </c>
      <c r="L32" s="9" t="n">
        <v>11.36</v>
      </c>
      <c r="M32" s="9" t="n">
        <v>4.25</v>
      </c>
      <c r="N32" s="9" t="n">
        <v>37.41</v>
      </c>
      <c r="O32" s="9" t="n">
        <v>387.75</v>
      </c>
      <c r="P32" s="9" t="n">
        <v>318.22</v>
      </c>
      <c r="Q32" s="9" t="n">
        <v>82.06999999999999</v>
      </c>
      <c r="R32" s="9" t="n">
        <v>45.73</v>
      </c>
      <c r="S32" s="9" t="n">
        <v>100.08</v>
      </c>
      <c r="T32" s="9" t="n">
        <v>19.86</v>
      </c>
      <c r="U32" s="9" t="n">
        <v>35.25</v>
      </c>
      <c r="V32" s="9" t="n">
        <v>44.97</v>
      </c>
      <c r="W32" s="9" t="n">
        <v>78.03</v>
      </c>
      <c r="X32" s="9" t="n">
        <v>37.08</v>
      </c>
      <c r="Y32" s="9" t="n">
        <v>31.17</v>
      </c>
      <c r="Z32" s="9" t="n">
        <v>9.779999999999999</v>
      </c>
      <c r="AA32" s="9" t="n">
        <v>187.67</v>
      </c>
      <c r="AB32" s="9" t="n">
        <v>90.69</v>
      </c>
      <c r="AC32" s="9" t="n">
        <v>48.33</v>
      </c>
      <c r="AD32" s="9" t="n">
        <v>4.78</v>
      </c>
      <c r="AE32" s="9" t="n">
        <v>1.28</v>
      </c>
      <c r="AF32" s="9" t="n">
        <v>26.74</v>
      </c>
      <c r="AG32" s="9" t="n">
        <v>24.44</v>
      </c>
      <c r="AH32" s="9" t="n">
        <v>6.58</v>
      </c>
      <c r="AI32" s="9" t="n">
        <v>26.93</v>
      </c>
      <c r="AJ32" s="9" t="n">
        <v>1.81</v>
      </c>
      <c r="AK32" s="9" t="n">
        <v>0.8100000000000001</v>
      </c>
      <c r="AL32" s="9" t="n">
        <v>44.62</v>
      </c>
      <c r="AM32" s="9" t="n">
        <v>26.94</v>
      </c>
      <c r="AN32" s="9" t="n">
        <v>3.14</v>
      </c>
      <c r="AO32" s="9" t="n">
        <v>11.65</v>
      </c>
      <c r="AP32" s="9" t="n">
        <v>4.47</v>
      </c>
      <c r="AQ32" s="9" t="n">
        <v>1.44</v>
      </c>
      <c r="AR32" s="9" t="n">
        <v>32.3</v>
      </c>
      <c r="AS32" s="9" t="n">
        <v>2.75</v>
      </c>
      <c r="AT32" s="9" t="n">
        <v>0.5</v>
      </c>
      <c r="AU32" s="9" t="n">
        <v>18.18</v>
      </c>
      <c r="AV32" s="9" t="n">
        <v>0.17</v>
      </c>
      <c r="AW32" s="9" t="n">
        <v>0.14</v>
      </c>
      <c r="AX32" s="9" t="n">
        <v>83.33</v>
      </c>
      <c r="AY32" s="9" t="n">
        <v>11.22</v>
      </c>
      <c r="AZ32" s="9" t="n">
        <v>3.39</v>
      </c>
      <c r="BA32" s="9" t="n">
        <v>30.2</v>
      </c>
      <c r="BB32" s="9" t="n">
        <v>3.22</v>
      </c>
      <c r="BC32" s="9" t="n">
        <v>7.89</v>
      </c>
      <c r="BD32" s="9" t="n">
        <v>21.44</v>
      </c>
      <c r="BE32" s="9" t="n">
        <v>3.67</v>
      </c>
      <c r="BF32" s="9" t="n">
        <v>6.14</v>
      </c>
      <c r="BG32" s="9" t="n">
        <v>15.72</v>
      </c>
      <c r="BH32" s="9" t="n">
        <v>60.5</v>
      </c>
      <c r="BI32" s="9" t="n">
        <v>25.42</v>
      </c>
      <c r="BJ32" s="9" t="n">
        <v>42.01</v>
      </c>
      <c r="BK32" s="9" t="n">
        <v>1.89</v>
      </c>
      <c r="BL32" s="9" t="n">
        <v>1.14</v>
      </c>
      <c r="BM32" s="9" t="n">
        <v>10.06</v>
      </c>
      <c r="BN32" s="9" t="n">
        <v>3.08</v>
      </c>
      <c r="BO32" s="9" t="n">
        <v>30.66</v>
      </c>
      <c r="BP32" s="9" t="n">
        <v>66.33</v>
      </c>
      <c r="BQ32" s="9" t="n">
        <v>38.83</v>
      </c>
      <c r="BR32" s="9" t="n">
        <v>58.54</v>
      </c>
      <c r="BS32" s="9" t="n">
        <v>32.56</v>
      </c>
      <c r="BT32" s="9" t="n">
        <v>14.42</v>
      </c>
      <c r="BU32" s="9" t="n">
        <v>44.28</v>
      </c>
      <c r="BV32" s="9" t="n">
        <v>3.69</v>
      </c>
      <c r="BW32" s="9" t="n">
        <v>1.61</v>
      </c>
      <c r="BX32" s="9" t="n">
        <v>43.61</v>
      </c>
      <c r="BY32" s="9" t="n">
        <v>38.78</v>
      </c>
      <c r="BZ32" s="9" t="n">
        <v>15.61</v>
      </c>
      <c r="CA32" s="9" t="n">
        <v>13.11</v>
      </c>
      <c r="CB32" s="9" t="n">
        <v>2.64</v>
      </c>
      <c r="CC32" s="9" t="n">
        <v>0.08</v>
      </c>
      <c r="CD32" s="9" t="n">
        <v>130.58</v>
      </c>
      <c r="CE32" s="9" t="n">
        <v>92.14</v>
      </c>
      <c r="CF32" s="9" t="n">
        <v>70.56</v>
      </c>
      <c r="CG32" s="9" t="n">
        <v>55.22</v>
      </c>
      <c r="CH32" s="9" t="n">
        <v>51.67</v>
      </c>
      <c r="CI32" s="9" t="n">
        <v>93.56</v>
      </c>
      <c r="CJ32" s="9" t="n">
        <v>142.89</v>
      </c>
      <c r="CK32" s="9" t="n">
        <v>125.64</v>
      </c>
      <c r="CL32" s="9" t="n">
        <v>87.93000000000001</v>
      </c>
      <c r="CM32" s="9" t="n">
        <v>50.58</v>
      </c>
      <c r="CN32" s="9" t="n">
        <v>26.17</v>
      </c>
      <c r="CO32" s="9" t="n">
        <v>51.73</v>
      </c>
      <c r="CP32" s="9" t="n">
        <v>50.03</v>
      </c>
      <c r="CQ32" s="9" t="n">
        <v>31.39</v>
      </c>
      <c r="CR32" s="9" t="n">
        <v>62.74</v>
      </c>
      <c r="CS32" s="9" t="n">
        <v>65.19</v>
      </c>
      <c r="CT32" s="9" t="n">
        <v>45</v>
      </c>
      <c r="CU32" s="9" t="n">
        <v>69.02</v>
      </c>
      <c r="CV32" s="9" t="n">
        <v>3.14</v>
      </c>
      <c r="CW32" s="9" t="n">
        <v>1.17</v>
      </c>
      <c r="CX32" s="9" t="n">
        <v>37.17</v>
      </c>
      <c r="CY32" s="9" t="n">
        <v>20.5</v>
      </c>
      <c r="CZ32" s="9" t="n">
        <v>18.28</v>
      </c>
      <c r="DA32" s="9" t="n">
        <v>89.16</v>
      </c>
      <c r="DB32" s="9" t="n">
        <v>8.17</v>
      </c>
      <c r="DC32" s="9" t="n">
        <v>16.48</v>
      </c>
      <c r="DD32" s="9" t="n">
        <v>3.72</v>
      </c>
      <c r="DE32" s="9" t="n">
        <v>13.55</v>
      </c>
      <c r="DF32" s="9" t="n">
        <v>18.38</v>
      </c>
      <c r="DG32" s="9" t="n">
        <v>20.32</v>
      </c>
      <c r="DH32" s="9" t="n">
        <v>12.69</v>
      </c>
      <c r="DI32" s="9" t="n">
        <v>1.14</v>
      </c>
      <c r="DJ32" s="9" t="n">
        <v>0.97</v>
      </c>
      <c r="DK32" s="9" t="n">
        <v>10.06</v>
      </c>
      <c r="DL32" s="9" t="n">
        <v>3.03</v>
      </c>
      <c r="DM32" s="9" t="n">
        <v>30.11</v>
      </c>
      <c r="DN32" s="9" t="n">
        <v>466.61</v>
      </c>
      <c r="DO32" s="9" t="n">
        <v>392.81</v>
      </c>
      <c r="DP32" s="9" t="n">
        <v>84.18000000000001</v>
      </c>
      <c r="DQ32" s="9" t="n">
        <v>54.27</v>
      </c>
      <c r="DR32" s="9" t="n">
        <v>101.11</v>
      </c>
      <c r="DS32" s="9" t="n">
        <v>17.25</v>
      </c>
      <c r="DT32" s="9" t="n">
        <v>35.08</v>
      </c>
      <c r="DU32" s="9" t="n">
        <v>48.78</v>
      </c>
      <c r="DV32" s="9" t="n">
        <v>78.19</v>
      </c>
      <c r="DW32" s="9" t="n">
        <v>34.47</v>
      </c>
      <c r="DX32" s="9" t="n">
        <v>31.19</v>
      </c>
      <c r="DY32" s="9" t="n">
        <v>12.53</v>
      </c>
      <c r="DZ32" s="9" t="n">
        <v>187.67</v>
      </c>
      <c r="EA32" s="9" t="n">
        <v>89.64</v>
      </c>
      <c r="EB32" s="9" t="n">
        <v>47.76</v>
      </c>
      <c r="EC32" s="9" t="n">
        <v>4.89</v>
      </c>
      <c r="ED32" s="9" t="n">
        <v>1</v>
      </c>
      <c r="EE32" s="9" t="n">
        <v>20.45</v>
      </c>
      <c r="EF32" s="9" t="n">
        <v>27.14</v>
      </c>
      <c r="EG32" s="9" t="n">
        <v>6.19</v>
      </c>
      <c r="EH32" s="9" t="n">
        <v>22.82</v>
      </c>
      <c r="EI32" s="9" t="n">
        <v>1.58</v>
      </c>
      <c r="EJ32" s="9" t="n">
        <v>0.64</v>
      </c>
      <c r="EK32" s="9" t="n">
        <v>40.35</v>
      </c>
      <c r="EL32" s="9" t="n">
        <v>26.19</v>
      </c>
      <c r="EM32" s="9" t="n">
        <v>2.89</v>
      </c>
      <c r="EN32" s="9" t="n">
        <v>11.03</v>
      </c>
      <c r="EO32" s="9" t="n">
        <v>4.5</v>
      </c>
      <c r="EP32" s="9" t="n">
        <v>1.19</v>
      </c>
      <c r="EQ32" s="9" t="n">
        <v>26.54</v>
      </c>
      <c r="ER32" s="9" t="n">
        <v>2.75</v>
      </c>
      <c r="ES32" s="9" t="n">
        <v>0.5600000000000001</v>
      </c>
      <c r="ET32" s="9" t="n">
        <v>20.2</v>
      </c>
      <c r="EU32" s="9" t="n">
        <v>0.06</v>
      </c>
      <c r="EV32" s="9" t="n">
        <v>0.06</v>
      </c>
      <c r="EW32" s="9" t="n">
        <v>100</v>
      </c>
      <c r="EX32" s="9" t="n">
        <v>13.83</v>
      </c>
      <c r="EY32" s="9" t="n">
        <v>3.92</v>
      </c>
      <c r="EZ32" s="9" t="n">
        <v>28.31</v>
      </c>
      <c r="FA32" s="9" t="n">
        <v>4.31</v>
      </c>
      <c r="FB32" s="9" t="n">
        <v>5.97</v>
      </c>
      <c r="FC32" s="9" t="n">
        <v>22.22</v>
      </c>
      <c r="FD32" s="9" t="n">
        <v>2.94</v>
      </c>
      <c r="FE32" s="9" t="n">
        <v>8.890000000000001</v>
      </c>
      <c r="FF32" s="9" t="n">
        <v>14.06</v>
      </c>
      <c r="FG32" s="9" t="n">
        <v>66.33</v>
      </c>
      <c r="FH32" s="9" t="n">
        <v>27.5</v>
      </c>
      <c r="FI32" s="9" t="n">
        <v>41.46</v>
      </c>
      <c r="FJ32" s="9" t="n">
        <v>1.72</v>
      </c>
      <c r="FK32" s="9" t="n">
        <v>1.33</v>
      </c>
      <c r="FL32" s="9" t="n">
        <v>11.36</v>
      </c>
      <c r="FM32" s="9" t="n">
        <v>4.33</v>
      </c>
      <c r="FN32" s="9" t="n">
        <v>38.14</v>
      </c>
      <c r="FO32" s="9" t="n">
        <v>60.5</v>
      </c>
      <c r="FP32" s="9" t="n">
        <v>35.08</v>
      </c>
      <c r="FQ32" s="9" t="n">
        <v>57.99</v>
      </c>
      <c r="FR32" s="9" t="n">
        <v>32.56</v>
      </c>
      <c r="FS32" s="9" t="n">
        <v>15.36</v>
      </c>
      <c r="FT32" s="9" t="n">
        <v>47.18</v>
      </c>
      <c r="FU32" s="9" t="n">
        <v>3.53</v>
      </c>
      <c r="FV32" s="9" t="n">
        <v>1.78</v>
      </c>
      <c r="FW32" s="9" t="n">
        <v>50.39</v>
      </c>
      <c r="FX32" s="9" t="n">
        <v>38.44</v>
      </c>
      <c r="FY32" s="9" t="n">
        <v>13.47</v>
      </c>
      <c r="FZ32" s="9" t="n">
        <v>14.17</v>
      </c>
      <c r="GA32" s="9" t="n">
        <v>2.86</v>
      </c>
      <c r="GB32" s="9" t="n">
        <v>0.19</v>
      </c>
      <c r="GC32" s="9" t="n">
        <v>148.53</v>
      </c>
      <c r="GD32" s="9" t="n">
        <v>108.81</v>
      </c>
      <c r="GE32" s="9" t="n">
        <v>73.26000000000001</v>
      </c>
      <c r="GF32" s="9" t="n">
        <v>69.78</v>
      </c>
      <c r="GG32" s="9" t="n">
        <v>65.86</v>
      </c>
      <c r="GH32" s="9" t="n">
        <v>94.39</v>
      </c>
      <c r="GI32" s="9" t="n">
        <v>184.36</v>
      </c>
      <c r="GJ32" s="9" t="n">
        <v>165.94</v>
      </c>
      <c r="GK32" s="9" t="n">
        <v>90.01000000000001</v>
      </c>
      <c r="GL32" s="9" t="n">
        <v>50.14</v>
      </c>
      <c r="GM32" s="9" t="n">
        <v>26.83</v>
      </c>
      <c r="GN32" s="9" t="n">
        <v>53.52</v>
      </c>
      <c r="GO32" s="9" t="n">
        <v>58</v>
      </c>
      <c r="GP32" s="9" t="n">
        <v>38.56</v>
      </c>
      <c r="GQ32" s="9" t="n">
        <v>66.48</v>
      </c>
      <c r="GR32" s="9" t="n">
        <v>71.33</v>
      </c>
      <c r="GS32" s="9" t="n">
        <v>52.22</v>
      </c>
      <c r="GT32" s="9" t="n">
        <v>73.20999999999999</v>
      </c>
      <c r="GU32" s="9" t="n">
        <v>2.81</v>
      </c>
      <c r="GV32" s="9" t="n">
        <v>0.9399999999999999</v>
      </c>
      <c r="GW32" s="9" t="n">
        <v>33.66</v>
      </c>
      <c r="GX32" s="9" t="n">
        <v>20.47</v>
      </c>
      <c r="GY32" s="9" t="n">
        <v>18.67</v>
      </c>
      <c r="GZ32" s="9" t="n">
        <v>91.18000000000001</v>
      </c>
      <c r="HA32" s="9" t="n">
        <v>8.08</v>
      </c>
      <c r="HB32" s="9" t="n">
        <v>16.53</v>
      </c>
      <c r="HC32" s="9" t="n">
        <v>4.44</v>
      </c>
      <c r="HD32" s="9" t="n">
        <v>11.19</v>
      </c>
      <c r="HE32" s="9" t="n">
        <v>19.49</v>
      </c>
      <c r="HF32" s="9" t="n">
        <v>20</v>
      </c>
      <c r="HG32" s="9" t="n">
        <v>10.45</v>
      </c>
    </row>
    <row r="33">
      <c r="A33" s="12" t="n">
        <v>2023</v>
      </c>
      <c r="B33" s="12" t="n">
        <v>59</v>
      </c>
      <c r="C33" s="5">
        <f>(B33-AVERAGE($B$2:$B$100))/_xlfn.STDEV.P($B$2:$B$100)</f>
        <v/>
      </c>
      <c r="D33" s="12" t="n">
        <v>3</v>
      </c>
      <c r="E33" s="6">
        <f>-D33</f>
        <v/>
      </c>
      <c r="F33" s="7">
        <f>(E33-AVERAGE($E$2:$E$100))/_xlfn.STDEV.P($E$2:$E$100)</f>
        <v/>
      </c>
      <c r="G33" s="7">
        <f>sum(0.5*C33)+(0.5*F33)</f>
        <v/>
      </c>
      <c r="H33" s="12" t="inlineStr">
        <is>
          <t>East</t>
        </is>
      </c>
      <c r="I33" s="8" t="inlineStr">
        <is>
          <t>Charleston Battery</t>
        </is>
      </c>
      <c r="J33" s="9" t="n">
        <v>1.5</v>
      </c>
      <c r="K33" s="9" t="n">
        <v>1.44</v>
      </c>
      <c r="L33" s="9" t="n">
        <v>11.37</v>
      </c>
      <c r="M33" s="9" t="n">
        <v>3.68</v>
      </c>
      <c r="N33" s="9" t="n">
        <v>32.41</v>
      </c>
      <c r="O33" s="9" t="n">
        <v>391.89</v>
      </c>
      <c r="P33" s="9" t="n">
        <v>321.63</v>
      </c>
      <c r="Q33" s="9" t="n">
        <v>82.06999999999999</v>
      </c>
      <c r="R33" s="9" t="n">
        <v>51.79</v>
      </c>
      <c r="S33" s="9" t="n">
        <v>103.47</v>
      </c>
      <c r="T33" s="9" t="n">
        <v>18.74</v>
      </c>
      <c r="U33" s="9" t="n">
        <v>36.97</v>
      </c>
      <c r="V33" s="9" t="n">
        <v>47.76</v>
      </c>
      <c r="W33" s="9" t="n">
        <v>80.61</v>
      </c>
      <c r="X33" s="9" t="n">
        <v>35.45</v>
      </c>
      <c r="Y33" s="9" t="n">
        <v>32.66</v>
      </c>
      <c r="Z33" s="9" t="n">
        <v>12.5</v>
      </c>
      <c r="AA33" s="9" t="n">
        <v>210.68</v>
      </c>
      <c r="AB33" s="9" t="n">
        <v>98</v>
      </c>
      <c r="AC33" s="9" t="n">
        <v>46.52</v>
      </c>
      <c r="AD33" s="9" t="n">
        <v>4.71</v>
      </c>
      <c r="AE33" s="9" t="n">
        <v>1.11</v>
      </c>
      <c r="AF33" s="9" t="n">
        <v>23.46</v>
      </c>
      <c r="AG33" s="9" t="n">
        <v>27.29</v>
      </c>
      <c r="AH33" s="9" t="n">
        <v>6.13</v>
      </c>
      <c r="AI33" s="9" t="n">
        <v>22.47</v>
      </c>
      <c r="AJ33" s="9" t="n">
        <v>1.84</v>
      </c>
      <c r="AK33" s="9" t="n">
        <v>0.61</v>
      </c>
      <c r="AL33" s="9" t="n">
        <v>32.86</v>
      </c>
      <c r="AM33" s="9" t="n">
        <v>29</v>
      </c>
      <c r="AN33" s="9" t="n">
        <v>4</v>
      </c>
      <c r="AO33" s="9" t="n">
        <v>13.79</v>
      </c>
      <c r="AP33" s="9" t="n">
        <v>4.89</v>
      </c>
      <c r="AQ33" s="9" t="n">
        <v>1.45</v>
      </c>
      <c r="AR33" s="9" t="n">
        <v>29.57</v>
      </c>
      <c r="AS33" s="9" t="n">
        <v>3.05</v>
      </c>
      <c r="AT33" s="9" t="n">
        <v>1</v>
      </c>
      <c r="AU33" s="9" t="n">
        <v>32.76</v>
      </c>
      <c r="AV33" s="9" t="n">
        <v>0.13</v>
      </c>
      <c r="AW33" s="9" t="n">
        <v>0.11</v>
      </c>
      <c r="AX33" s="9" t="n">
        <v>80</v>
      </c>
      <c r="AY33" s="9" t="n">
        <v>13.63</v>
      </c>
      <c r="AZ33" s="9" t="n">
        <v>4.39</v>
      </c>
      <c r="BA33" s="9" t="n">
        <v>32.24</v>
      </c>
      <c r="BB33" s="9" t="n">
        <v>4</v>
      </c>
      <c r="BC33" s="9" t="n">
        <v>5.16</v>
      </c>
      <c r="BD33" s="9" t="n">
        <v>19.76</v>
      </c>
      <c r="BE33" s="9" t="n">
        <v>3.16</v>
      </c>
      <c r="BF33" s="9" t="n">
        <v>8.029999999999999</v>
      </c>
      <c r="BG33" s="9" t="n">
        <v>14.79</v>
      </c>
      <c r="BH33" s="9" t="n">
        <v>75.26000000000001</v>
      </c>
      <c r="BI33" s="9" t="n">
        <v>29</v>
      </c>
      <c r="BJ33" s="9" t="n">
        <v>38.53</v>
      </c>
      <c r="BK33" s="9" t="n">
        <v>1.79</v>
      </c>
      <c r="BL33" s="9" t="n">
        <v>1.21</v>
      </c>
      <c r="BM33" s="9" t="n">
        <v>9.529999999999999</v>
      </c>
      <c r="BN33" s="9" t="n">
        <v>3.63</v>
      </c>
      <c r="BO33" s="9" t="n">
        <v>38.12</v>
      </c>
      <c r="BP33" s="9" t="n">
        <v>68.20999999999999</v>
      </c>
      <c r="BQ33" s="9" t="n">
        <v>40.29</v>
      </c>
      <c r="BR33" s="9" t="n">
        <v>59.07</v>
      </c>
      <c r="BS33" s="9" t="n">
        <v>35.26</v>
      </c>
      <c r="BT33" s="9" t="n">
        <v>15.89</v>
      </c>
      <c r="BU33" s="9" t="n">
        <v>45.07</v>
      </c>
      <c r="BV33" s="9" t="n">
        <v>3.74</v>
      </c>
      <c r="BW33" s="9" t="n">
        <v>1.39</v>
      </c>
      <c r="BX33" s="9" t="n">
        <v>37.32</v>
      </c>
      <c r="BY33" s="9" t="n">
        <v>41.76</v>
      </c>
      <c r="BZ33" s="9" t="n">
        <v>16</v>
      </c>
      <c r="CA33" s="9" t="n">
        <v>13.55</v>
      </c>
      <c r="CB33" s="9" t="n">
        <v>2.13</v>
      </c>
      <c r="CC33" s="9" t="n">
        <v>0.08</v>
      </c>
      <c r="CD33" s="9" t="n">
        <v>136.63</v>
      </c>
      <c r="CE33" s="9" t="n">
        <v>95.92</v>
      </c>
      <c r="CF33" s="9" t="n">
        <v>70.2</v>
      </c>
      <c r="CG33" s="9" t="n">
        <v>60.11</v>
      </c>
      <c r="CH33" s="9" t="n">
        <v>56.47</v>
      </c>
      <c r="CI33" s="9" t="n">
        <v>93.95999999999999</v>
      </c>
      <c r="CJ33" s="9" t="n">
        <v>144.37</v>
      </c>
      <c r="CK33" s="9" t="n">
        <v>128.13</v>
      </c>
      <c r="CL33" s="9" t="n">
        <v>88.75</v>
      </c>
      <c r="CM33" s="9" t="n">
        <v>49.37</v>
      </c>
      <c r="CN33" s="9" t="n">
        <v>25.42</v>
      </c>
      <c r="CO33" s="9" t="n">
        <v>51.49</v>
      </c>
      <c r="CP33" s="9" t="n">
        <v>52.71</v>
      </c>
      <c r="CQ33" s="9" t="n">
        <v>33.74</v>
      </c>
      <c r="CR33" s="9" t="n">
        <v>64</v>
      </c>
      <c r="CS33" s="9" t="n">
        <v>68.97</v>
      </c>
      <c r="CT33" s="9" t="n">
        <v>50.5</v>
      </c>
      <c r="CU33" s="9" t="n">
        <v>73.22</v>
      </c>
      <c r="CV33" s="9" t="n">
        <v>3.03</v>
      </c>
      <c r="CW33" s="9" t="n">
        <v>1.21</v>
      </c>
      <c r="CX33" s="9" t="n">
        <v>40</v>
      </c>
      <c r="CY33" s="9" t="n">
        <v>22.45</v>
      </c>
      <c r="CZ33" s="9" t="n">
        <v>20.29</v>
      </c>
      <c r="DA33" s="9" t="n">
        <v>90.39</v>
      </c>
      <c r="DB33" s="9" t="n">
        <v>6.55</v>
      </c>
      <c r="DC33" s="9" t="n">
        <v>15.49</v>
      </c>
      <c r="DD33" s="9" t="n">
        <v>3.63</v>
      </c>
      <c r="DE33" s="9" t="n">
        <v>12.97</v>
      </c>
      <c r="DF33" s="9" t="n">
        <v>18.18</v>
      </c>
      <c r="DG33" s="9" t="n">
        <v>20.43</v>
      </c>
      <c r="DH33" s="9" t="n">
        <v>8.539999999999999</v>
      </c>
      <c r="DI33" s="9" t="n">
        <v>1.21</v>
      </c>
      <c r="DJ33" s="9" t="n">
        <v>1.05</v>
      </c>
      <c r="DK33" s="9" t="n">
        <v>9.529999999999999</v>
      </c>
      <c r="DL33" s="9" t="n">
        <v>3.47</v>
      </c>
      <c r="DM33" s="9" t="n">
        <v>36.46</v>
      </c>
      <c r="DN33" s="9" t="n">
        <v>372.08</v>
      </c>
      <c r="DO33" s="9" t="n">
        <v>295.87</v>
      </c>
      <c r="DP33" s="9" t="n">
        <v>79.52</v>
      </c>
      <c r="DQ33" s="9" t="n">
        <v>48.21</v>
      </c>
      <c r="DR33" s="9" t="n">
        <v>105.87</v>
      </c>
      <c r="DS33" s="9" t="n">
        <v>18.82</v>
      </c>
      <c r="DT33" s="9" t="n">
        <v>39.39</v>
      </c>
      <c r="DU33" s="9" t="n">
        <v>47.66</v>
      </c>
      <c r="DV33" s="9" t="n">
        <v>79.20999999999999</v>
      </c>
      <c r="DW33" s="9" t="n">
        <v>36.68</v>
      </c>
      <c r="DX33" s="9" t="n">
        <v>32.08</v>
      </c>
      <c r="DY33" s="9" t="n">
        <v>10.45</v>
      </c>
      <c r="DZ33" s="9" t="n">
        <v>210.68</v>
      </c>
      <c r="EA33" s="9" t="n">
        <v>104.39</v>
      </c>
      <c r="EB33" s="9" t="n">
        <v>49.55</v>
      </c>
      <c r="EC33" s="9" t="n">
        <v>4.45</v>
      </c>
      <c r="ED33" s="9" t="n">
        <v>1.29</v>
      </c>
      <c r="EE33" s="9" t="n">
        <v>28.99</v>
      </c>
      <c r="EF33" s="9" t="n">
        <v>25.34</v>
      </c>
      <c r="EG33" s="9" t="n">
        <v>5.08</v>
      </c>
      <c r="EH33" s="9" t="n">
        <v>20.04</v>
      </c>
      <c r="EI33" s="9" t="n">
        <v>1.82</v>
      </c>
      <c r="EJ33" s="9" t="n">
        <v>0.66</v>
      </c>
      <c r="EK33" s="9" t="n">
        <v>36.23</v>
      </c>
      <c r="EL33" s="9" t="n">
        <v>26.34</v>
      </c>
      <c r="EM33" s="9" t="n">
        <v>3.29</v>
      </c>
      <c r="EN33" s="9" t="n">
        <v>12.49</v>
      </c>
      <c r="EO33" s="9" t="n">
        <v>4.13</v>
      </c>
      <c r="EP33" s="9" t="n">
        <v>1.05</v>
      </c>
      <c r="EQ33" s="9" t="n">
        <v>25.48</v>
      </c>
      <c r="ER33" s="9" t="n">
        <v>2.37</v>
      </c>
      <c r="ES33" s="9" t="n">
        <v>0.66</v>
      </c>
      <c r="ET33" s="9" t="n">
        <v>27.78</v>
      </c>
      <c r="EU33" s="9" t="n">
        <v>0.18</v>
      </c>
      <c r="EV33" s="9" t="n">
        <v>0.13</v>
      </c>
      <c r="EW33" s="9" t="n">
        <v>71.43000000000001</v>
      </c>
      <c r="EX33" s="9" t="n">
        <v>14.5</v>
      </c>
      <c r="EY33" s="9" t="n">
        <v>4.11</v>
      </c>
      <c r="EZ33" s="9" t="n">
        <v>28.31</v>
      </c>
      <c r="FA33" s="9" t="n">
        <v>4.11</v>
      </c>
      <c r="FB33" s="9" t="n">
        <v>4.61</v>
      </c>
      <c r="FC33" s="9" t="n">
        <v>20.89</v>
      </c>
      <c r="FD33" s="9" t="n">
        <v>3.11</v>
      </c>
      <c r="FE33" s="9" t="n">
        <v>8.84</v>
      </c>
      <c r="FF33" s="9" t="n">
        <v>12.53</v>
      </c>
      <c r="FG33" s="9" t="n">
        <v>68.20999999999999</v>
      </c>
      <c r="FH33" s="9" t="n">
        <v>27.92</v>
      </c>
      <c r="FI33" s="9" t="n">
        <v>40.93</v>
      </c>
      <c r="FJ33" s="9" t="n">
        <v>2.87</v>
      </c>
      <c r="FK33" s="9" t="n">
        <v>1.5</v>
      </c>
      <c r="FL33" s="9" t="n">
        <v>11.37</v>
      </c>
      <c r="FM33" s="9" t="n">
        <v>3.87</v>
      </c>
      <c r="FN33" s="9" t="n">
        <v>34.03</v>
      </c>
      <c r="FO33" s="9" t="n">
        <v>75.26000000000001</v>
      </c>
      <c r="FP33" s="9" t="n">
        <v>46.26</v>
      </c>
      <c r="FQ33" s="9" t="n">
        <v>61.47</v>
      </c>
      <c r="FR33" s="9" t="n">
        <v>35.26</v>
      </c>
      <c r="FS33" s="9" t="n">
        <v>16.5</v>
      </c>
      <c r="FT33" s="9" t="n">
        <v>46.79</v>
      </c>
      <c r="FU33" s="9" t="n">
        <v>4.11</v>
      </c>
      <c r="FV33" s="9" t="n">
        <v>1.89</v>
      </c>
      <c r="FW33" s="9" t="n">
        <v>46.15</v>
      </c>
      <c r="FX33" s="9" t="n">
        <v>39.66</v>
      </c>
      <c r="FY33" s="9" t="n">
        <v>15.21</v>
      </c>
      <c r="FZ33" s="9" t="n">
        <v>16.05</v>
      </c>
      <c r="GA33" s="9" t="n">
        <v>2.76</v>
      </c>
      <c r="GB33" s="9" t="n">
        <v>0.13</v>
      </c>
      <c r="GC33" s="9" t="n">
        <v>133.42</v>
      </c>
      <c r="GD33" s="9" t="n">
        <v>92.31999999999999</v>
      </c>
      <c r="GE33" s="9" t="n">
        <v>69.19</v>
      </c>
      <c r="GF33" s="9" t="n">
        <v>57.08</v>
      </c>
      <c r="GG33" s="9" t="n">
        <v>52.89</v>
      </c>
      <c r="GH33" s="9" t="n">
        <v>92.67</v>
      </c>
      <c r="GI33" s="9" t="n">
        <v>127.24</v>
      </c>
      <c r="GJ33" s="9" t="n">
        <v>108.82</v>
      </c>
      <c r="GK33" s="9" t="n">
        <v>85.52</v>
      </c>
      <c r="GL33" s="9" t="n">
        <v>50.92</v>
      </c>
      <c r="GM33" s="9" t="n">
        <v>27.97</v>
      </c>
      <c r="GN33" s="9" t="n">
        <v>54.94</v>
      </c>
      <c r="GO33" s="9" t="n">
        <v>49.95</v>
      </c>
      <c r="GP33" s="9" t="n">
        <v>31.92</v>
      </c>
      <c r="GQ33" s="9" t="n">
        <v>63.91</v>
      </c>
      <c r="GR33" s="9" t="n">
        <v>68.87</v>
      </c>
      <c r="GS33" s="9" t="n">
        <v>47</v>
      </c>
      <c r="GT33" s="9" t="n">
        <v>68.25</v>
      </c>
      <c r="GU33" s="9" t="n">
        <v>3.32</v>
      </c>
      <c r="GV33" s="9" t="n">
        <v>1.24</v>
      </c>
      <c r="GW33" s="9" t="n">
        <v>37.3</v>
      </c>
      <c r="GX33" s="9" t="n">
        <v>23.61</v>
      </c>
      <c r="GY33" s="9" t="n">
        <v>20.79</v>
      </c>
      <c r="GZ33" s="9" t="n">
        <v>88.06999999999999</v>
      </c>
      <c r="HA33" s="9" t="n">
        <v>8.68</v>
      </c>
      <c r="HB33" s="9" t="n">
        <v>15.76</v>
      </c>
      <c r="HC33" s="9" t="n">
        <v>3.5</v>
      </c>
      <c r="HD33" s="9" t="n">
        <v>14.36</v>
      </c>
      <c r="HE33" s="9" t="n">
        <v>19.4</v>
      </c>
      <c r="HF33" s="9" t="n">
        <v>20.45</v>
      </c>
      <c r="HG33" s="9" t="n">
        <v>9.789999999999999</v>
      </c>
    </row>
    <row r="34">
      <c r="A34" s="12" t="n">
        <v>2023</v>
      </c>
      <c r="B34" s="12" t="n">
        <v>57</v>
      </c>
      <c r="C34" s="5">
        <f>(B34-AVERAGE($B$2:$B$100))/_xlfn.STDEV.P($B$2:$B$100)</f>
        <v/>
      </c>
      <c r="D34" s="12" t="n">
        <v>3</v>
      </c>
      <c r="E34" s="6">
        <f>-D34</f>
        <v/>
      </c>
      <c r="F34" s="7">
        <f>(E34-AVERAGE($E$2:$E$100))/_xlfn.STDEV.P($E$2:$E$100)</f>
        <v/>
      </c>
      <c r="G34" s="7">
        <f>sum(0.5*C34)+(0.5*F34)</f>
        <v/>
      </c>
      <c r="H34" s="12" t="inlineStr">
        <is>
          <t>West</t>
        </is>
      </c>
      <c r="I34" s="8" t="inlineStr">
        <is>
          <t>San Diego Loyal</t>
        </is>
      </c>
      <c r="J34" s="9" t="n">
        <v>1.83</v>
      </c>
      <c r="K34" s="9" t="n">
        <v>1.61</v>
      </c>
      <c r="L34" s="9" t="n">
        <v>11.94</v>
      </c>
      <c r="M34" s="9" t="n">
        <v>4.86</v>
      </c>
      <c r="N34" s="9" t="n">
        <v>40.67</v>
      </c>
      <c r="O34" s="9" t="n">
        <v>457.71</v>
      </c>
      <c r="P34" s="9" t="n">
        <v>390</v>
      </c>
      <c r="Q34" s="9" t="n">
        <v>85.20999999999999</v>
      </c>
      <c r="R34" s="9" t="n">
        <v>56.61</v>
      </c>
      <c r="S34" s="9" t="n">
        <v>97.40000000000001</v>
      </c>
      <c r="T34" s="9" t="n">
        <v>16.8</v>
      </c>
      <c r="U34" s="9" t="n">
        <v>34.83</v>
      </c>
      <c r="V34" s="9" t="n">
        <v>45.77</v>
      </c>
      <c r="W34" s="9" t="n">
        <v>73.23</v>
      </c>
      <c r="X34" s="9" t="n">
        <v>31.06</v>
      </c>
      <c r="Y34" s="9" t="n">
        <v>31.09</v>
      </c>
      <c r="Z34" s="9" t="n">
        <v>11.09</v>
      </c>
      <c r="AA34" s="9" t="n">
        <v>191.03</v>
      </c>
      <c r="AB34" s="9" t="n">
        <v>89.06</v>
      </c>
      <c r="AC34" s="9" t="n">
        <v>46.62</v>
      </c>
      <c r="AD34" s="9" t="n">
        <v>5</v>
      </c>
      <c r="AE34" s="9" t="n">
        <v>1.31</v>
      </c>
      <c r="AF34" s="9" t="n">
        <v>26.29</v>
      </c>
      <c r="AG34" s="9" t="n">
        <v>27.23</v>
      </c>
      <c r="AH34" s="9" t="n">
        <v>7.03</v>
      </c>
      <c r="AI34" s="9" t="n">
        <v>25.81</v>
      </c>
      <c r="AJ34" s="9" t="n">
        <v>1.34</v>
      </c>
      <c r="AK34" s="9" t="n">
        <v>0.66</v>
      </c>
      <c r="AL34" s="9" t="n">
        <v>48.94</v>
      </c>
      <c r="AM34" s="9" t="n">
        <v>29.4</v>
      </c>
      <c r="AN34" s="9" t="n">
        <v>3.57</v>
      </c>
      <c r="AO34" s="9" t="n">
        <v>12.15</v>
      </c>
      <c r="AP34" s="9" t="n">
        <v>4.91</v>
      </c>
      <c r="AQ34" s="9" t="n">
        <v>1.34</v>
      </c>
      <c r="AR34" s="9" t="n">
        <v>27.33</v>
      </c>
      <c r="AS34" s="9" t="n">
        <v>2.8</v>
      </c>
      <c r="AT34" s="9" t="n">
        <v>0.83</v>
      </c>
      <c r="AU34" s="9" t="n">
        <v>29.59</v>
      </c>
      <c r="AV34" s="9" t="n">
        <v>0.2</v>
      </c>
      <c r="AW34" s="9" t="n">
        <v>0.14</v>
      </c>
      <c r="AX34" s="9" t="n">
        <v>71.43000000000001</v>
      </c>
      <c r="AY34" s="9" t="n">
        <v>15.43</v>
      </c>
      <c r="AZ34" s="9" t="n">
        <v>5.11</v>
      </c>
      <c r="BA34" s="9" t="n">
        <v>33.15</v>
      </c>
      <c r="BB34" s="9" t="n">
        <v>4.89</v>
      </c>
      <c r="BC34" s="9" t="n">
        <v>5.89</v>
      </c>
      <c r="BD34" s="9" t="n">
        <v>23.31</v>
      </c>
      <c r="BE34" s="9" t="n">
        <v>4.14</v>
      </c>
      <c r="BF34" s="9" t="n">
        <v>9.77</v>
      </c>
      <c r="BG34" s="9" t="n">
        <v>16.29</v>
      </c>
      <c r="BH34" s="9" t="n">
        <v>74.14</v>
      </c>
      <c r="BI34" s="9" t="n">
        <v>30.49</v>
      </c>
      <c r="BJ34" s="9" t="n">
        <v>41.12</v>
      </c>
      <c r="BK34" s="9" t="n">
        <v>1.34</v>
      </c>
      <c r="BL34" s="9" t="n">
        <v>1.31</v>
      </c>
      <c r="BM34" s="9" t="n">
        <v>11.43</v>
      </c>
      <c r="BN34" s="9" t="n">
        <v>3.69</v>
      </c>
      <c r="BO34" s="9" t="n">
        <v>32.25</v>
      </c>
      <c r="BP34" s="9" t="n">
        <v>60.09</v>
      </c>
      <c r="BQ34" s="9" t="n">
        <v>34.26</v>
      </c>
      <c r="BR34" s="9" t="n">
        <v>57.01</v>
      </c>
      <c r="BS34" s="9" t="n">
        <v>31</v>
      </c>
      <c r="BT34" s="9" t="n">
        <v>13.8</v>
      </c>
      <c r="BU34" s="9" t="n">
        <v>44.52</v>
      </c>
      <c r="BV34" s="9" t="n">
        <v>3.57</v>
      </c>
      <c r="BW34" s="9" t="n">
        <v>1.51</v>
      </c>
      <c r="BX34" s="9" t="n">
        <v>42.4</v>
      </c>
      <c r="BY34" s="9" t="n">
        <v>35.23</v>
      </c>
      <c r="BZ34" s="9" t="n">
        <v>13.17</v>
      </c>
      <c r="CA34" s="9" t="n">
        <v>13.09</v>
      </c>
      <c r="CB34" s="9" t="n">
        <v>2.23</v>
      </c>
      <c r="CC34" s="9" t="n">
        <v>0.06</v>
      </c>
      <c r="CD34" s="9" t="n">
        <v>146.17</v>
      </c>
      <c r="CE34" s="9" t="n">
        <v>109.63</v>
      </c>
      <c r="CF34" s="9" t="n">
        <v>75</v>
      </c>
      <c r="CG34" s="9" t="n">
        <v>64.89</v>
      </c>
      <c r="CH34" s="9" t="n">
        <v>61.6</v>
      </c>
      <c r="CI34" s="9" t="n">
        <v>94.94</v>
      </c>
      <c r="CJ34" s="9" t="n">
        <v>182.66</v>
      </c>
      <c r="CK34" s="9" t="n">
        <v>165.51</v>
      </c>
      <c r="CL34" s="9" t="n">
        <v>90.61</v>
      </c>
      <c r="CM34" s="9" t="n">
        <v>45.26</v>
      </c>
      <c r="CN34" s="9" t="n">
        <v>25.17</v>
      </c>
      <c r="CO34" s="9" t="n">
        <v>55.62</v>
      </c>
      <c r="CP34" s="9" t="n">
        <v>52.43</v>
      </c>
      <c r="CQ34" s="9" t="n">
        <v>35.89</v>
      </c>
      <c r="CR34" s="9" t="n">
        <v>68.45</v>
      </c>
      <c r="CS34" s="9" t="n">
        <v>67.06</v>
      </c>
      <c r="CT34" s="9" t="n">
        <v>48.86</v>
      </c>
      <c r="CU34" s="9" t="n">
        <v>72.86</v>
      </c>
      <c r="CV34" s="9" t="n">
        <v>2.71</v>
      </c>
      <c r="CW34" s="9" t="n">
        <v>1.06</v>
      </c>
      <c r="CX34" s="9" t="n">
        <v>38.95</v>
      </c>
      <c r="CY34" s="9" t="n">
        <v>20.49</v>
      </c>
      <c r="CZ34" s="9" t="n">
        <v>19.43</v>
      </c>
      <c r="DA34" s="9" t="n">
        <v>94.84</v>
      </c>
      <c r="DB34" s="9" t="n">
        <v>8.17</v>
      </c>
      <c r="DC34" s="9" t="n">
        <v>15.61</v>
      </c>
      <c r="DD34" s="9" t="n">
        <v>4.37</v>
      </c>
      <c r="DE34" s="9" t="n">
        <v>10.14</v>
      </c>
      <c r="DF34" s="9" t="n">
        <v>17.98</v>
      </c>
      <c r="DG34" s="9" t="n">
        <v>19.74</v>
      </c>
      <c r="DH34" s="9" t="n">
        <v>9.99</v>
      </c>
      <c r="DI34" s="9" t="n">
        <v>1.34</v>
      </c>
      <c r="DJ34" s="9" t="n">
        <v>1.27</v>
      </c>
      <c r="DK34" s="9" t="n">
        <v>11.43</v>
      </c>
      <c r="DL34" s="9" t="n">
        <v>3.57</v>
      </c>
      <c r="DM34" s="9" t="n">
        <v>31.25</v>
      </c>
      <c r="DN34" s="9" t="n">
        <v>368.37</v>
      </c>
      <c r="DO34" s="9" t="n">
        <v>304.26</v>
      </c>
      <c r="DP34" s="9" t="n">
        <v>82.59999999999999</v>
      </c>
      <c r="DQ34" s="9" t="n">
        <v>43.39</v>
      </c>
      <c r="DR34" s="9" t="n">
        <v>97.56999999999999</v>
      </c>
      <c r="DS34" s="9" t="n">
        <v>20.89</v>
      </c>
      <c r="DT34" s="9" t="n">
        <v>35.46</v>
      </c>
      <c r="DU34" s="9" t="n">
        <v>41.23</v>
      </c>
      <c r="DV34" s="9" t="n">
        <v>76.23</v>
      </c>
      <c r="DW34" s="9" t="n">
        <v>34.8</v>
      </c>
      <c r="DX34" s="9" t="n">
        <v>30.34</v>
      </c>
      <c r="DY34" s="9" t="n">
        <v>11.09</v>
      </c>
      <c r="DZ34" s="9" t="n">
        <v>191.03</v>
      </c>
      <c r="EA34" s="9" t="n">
        <v>95.17</v>
      </c>
      <c r="EB34" s="9" t="n">
        <v>49.82</v>
      </c>
      <c r="EC34" s="9" t="n">
        <v>4.8</v>
      </c>
      <c r="ED34" s="9" t="n">
        <v>1</v>
      </c>
      <c r="EE34" s="9" t="n">
        <v>20.83</v>
      </c>
      <c r="EF34" s="9" t="n">
        <v>25.06</v>
      </c>
      <c r="EG34" s="9" t="n">
        <v>6.8</v>
      </c>
      <c r="EH34" s="9" t="n">
        <v>27.14</v>
      </c>
      <c r="EI34" s="9" t="n">
        <v>1.43</v>
      </c>
      <c r="EJ34" s="9" t="n">
        <v>0.66</v>
      </c>
      <c r="EK34" s="9" t="n">
        <v>46</v>
      </c>
      <c r="EL34" s="9" t="n">
        <v>23.8</v>
      </c>
      <c r="EM34" s="9" t="n">
        <v>3.51</v>
      </c>
      <c r="EN34" s="9" t="n">
        <v>14.77</v>
      </c>
      <c r="EO34" s="9" t="n">
        <v>4.14</v>
      </c>
      <c r="EP34" s="9" t="n">
        <v>1.31</v>
      </c>
      <c r="EQ34" s="9" t="n">
        <v>31.72</v>
      </c>
      <c r="ER34" s="9" t="n">
        <v>2.66</v>
      </c>
      <c r="ES34" s="9" t="n">
        <v>0.97</v>
      </c>
      <c r="ET34" s="9" t="n">
        <v>36.56</v>
      </c>
      <c r="EU34" s="9" t="n">
        <v>0.14</v>
      </c>
      <c r="EV34" s="9" t="n">
        <v>0.14</v>
      </c>
      <c r="EW34" s="9" t="n">
        <v>100</v>
      </c>
      <c r="EX34" s="9" t="n">
        <v>11.74</v>
      </c>
      <c r="EY34" s="9" t="n">
        <v>3.6</v>
      </c>
      <c r="EZ34" s="9" t="n">
        <v>30.66</v>
      </c>
      <c r="FA34" s="9" t="n">
        <v>3.54</v>
      </c>
      <c r="FB34" s="9" t="n">
        <v>6.03</v>
      </c>
      <c r="FC34" s="9" t="n">
        <v>19.86</v>
      </c>
      <c r="FD34" s="9" t="n">
        <v>4.09</v>
      </c>
      <c r="FE34" s="9" t="n">
        <v>6.8</v>
      </c>
      <c r="FF34" s="9" t="n">
        <v>15.71</v>
      </c>
      <c r="FG34" s="9" t="n">
        <v>60.09</v>
      </c>
      <c r="FH34" s="9" t="n">
        <v>25.83</v>
      </c>
      <c r="FI34" s="9" t="n">
        <v>42.99</v>
      </c>
      <c r="FJ34" s="9" t="n">
        <v>1.97</v>
      </c>
      <c r="FK34" s="9" t="n">
        <v>1.8</v>
      </c>
      <c r="FL34" s="9" t="n">
        <v>11.94</v>
      </c>
      <c r="FM34" s="9" t="n">
        <v>5.09</v>
      </c>
      <c r="FN34" s="9" t="n">
        <v>42.58</v>
      </c>
      <c r="FO34" s="9" t="n">
        <v>74.14</v>
      </c>
      <c r="FP34" s="9" t="n">
        <v>43.66</v>
      </c>
      <c r="FQ34" s="9" t="n">
        <v>58.88</v>
      </c>
      <c r="FR34" s="9" t="n">
        <v>31</v>
      </c>
      <c r="FS34" s="9" t="n">
        <v>14.43</v>
      </c>
      <c r="FT34" s="9" t="n">
        <v>46.54</v>
      </c>
      <c r="FU34" s="9" t="n">
        <v>4.86</v>
      </c>
      <c r="FV34" s="9" t="n">
        <v>2.51</v>
      </c>
      <c r="FW34" s="9" t="n">
        <v>51.76</v>
      </c>
      <c r="FX34" s="9" t="n">
        <v>38.71</v>
      </c>
      <c r="FY34" s="9" t="n">
        <v>18.46</v>
      </c>
      <c r="FZ34" s="9" t="n">
        <v>15.34</v>
      </c>
      <c r="GA34" s="9" t="n">
        <v>2.83</v>
      </c>
      <c r="GB34" s="9" t="n">
        <v>0.09</v>
      </c>
      <c r="GC34" s="9" t="n">
        <v>118.54</v>
      </c>
      <c r="GD34" s="9" t="n">
        <v>83.70999999999999</v>
      </c>
      <c r="GE34" s="9" t="n">
        <v>70.62</v>
      </c>
      <c r="GF34" s="9" t="n">
        <v>55.14</v>
      </c>
      <c r="GG34" s="9" t="n">
        <v>51.14</v>
      </c>
      <c r="GH34" s="9" t="n">
        <v>92.75</v>
      </c>
      <c r="GI34" s="9" t="n">
        <v>138.97</v>
      </c>
      <c r="GJ34" s="9" t="n">
        <v>122.69</v>
      </c>
      <c r="GK34" s="9" t="n">
        <v>88.28</v>
      </c>
      <c r="GL34" s="9" t="n">
        <v>41.23</v>
      </c>
      <c r="GM34" s="9" t="n">
        <v>20.97</v>
      </c>
      <c r="GN34" s="9" t="n">
        <v>50.87</v>
      </c>
      <c r="GO34" s="9" t="n">
        <v>42.97</v>
      </c>
      <c r="GP34" s="9" t="n">
        <v>28.03</v>
      </c>
      <c r="GQ34" s="9" t="n">
        <v>65.23</v>
      </c>
      <c r="GR34" s="9" t="n">
        <v>61.6</v>
      </c>
      <c r="GS34" s="9" t="n">
        <v>42.43</v>
      </c>
      <c r="GT34" s="9" t="n">
        <v>68.88</v>
      </c>
      <c r="GU34" s="9" t="n">
        <v>3.29</v>
      </c>
      <c r="GV34" s="9" t="n">
        <v>1.26</v>
      </c>
      <c r="GW34" s="9" t="n">
        <v>38.26</v>
      </c>
      <c r="GX34" s="9" t="n">
        <v>18.34</v>
      </c>
      <c r="GY34" s="9" t="n">
        <v>15.8</v>
      </c>
      <c r="GZ34" s="9" t="n">
        <v>86.14</v>
      </c>
      <c r="HA34" s="9" t="n">
        <v>7.34</v>
      </c>
      <c r="HB34" s="9" t="n">
        <v>16.25</v>
      </c>
      <c r="HC34" s="9" t="n">
        <v>3.72</v>
      </c>
      <c r="HD34" s="9" t="n">
        <v>11.99</v>
      </c>
      <c r="HE34" s="9" t="n">
        <v>18.78</v>
      </c>
      <c r="HF34" s="9" t="n">
        <v>20.25</v>
      </c>
      <c r="HG34" s="9" t="n">
        <v>12.04</v>
      </c>
    </row>
    <row r="35">
      <c r="A35" s="12" t="n">
        <v>2023</v>
      </c>
      <c r="B35" s="12" t="n">
        <v>56</v>
      </c>
      <c r="C35" s="5">
        <f>(B35-AVERAGE($B$2:$B$100))/_xlfn.STDEV.P($B$2:$B$100)</f>
        <v/>
      </c>
      <c r="D35" s="12" t="n">
        <v>4</v>
      </c>
      <c r="E35" s="6">
        <f>-D35</f>
        <v/>
      </c>
      <c r="F35" s="7">
        <f>(E35-AVERAGE($E$2:$E$100))/_xlfn.STDEV.P($E$2:$E$100)</f>
        <v/>
      </c>
      <c r="G35" s="7">
        <f>sum(0.5*C35)+(0.5*F35)</f>
        <v/>
      </c>
      <c r="H35" s="12" t="inlineStr">
        <is>
          <t>West</t>
        </is>
      </c>
      <c r="I35" s="8" t="inlineStr">
        <is>
          <t>San Antonio</t>
        </is>
      </c>
      <c r="J35" s="9" t="n">
        <v>1.81</v>
      </c>
      <c r="K35" s="9" t="n">
        <v>1.52</v>
      </c>
      <c r="L35" s="9" t="n">
        <v>13.44</v>
      </c>
      <c r="M35" s="9" t="n">
        <v>5</v>
      </c>
      <c r="N35" s="9" t="n">
        <v>37.19</v>
      </c>
      <c r="O35" s="9" t="n">
        <v>258.19</v>
      </c>
      <c r="P35" s="9" t="n">
        <v>185.19</v>
      </c>
      <c r="Q35" s="9" t="n">
        <v>71.73</v>
      </c>
      <c r="R35" s="9" t="n">
        <v>45.03</v>
      </c>
      <c r="S35" s="9" t="n">
        <v>118.83</v>
      </c>
      <c r="T35" s="9" t="n">
        <v>18.33</v>
      </c>
      <c r="U35" s="9" t="n">
        <v>35.42</v>
      </c>
      <c r="V35" s="9" t="n">
        <v>65.08</v>
      </c>
      <c r="W35" s="9" t="n">
        <v>91.42</v>
      </c>
      <c r="X35" s="9" t="n">
        <v>36.5</v>
      </c>
      <c r="Y35" s="9" t="n">
        <v>39.97</v>
      </c>
      <c r="Z35" s="9" t="n">
        <v>14.94</v>
      </c>
      <c r="AA35" s="9" t="n">
        <v>245.42</v>
      </c>
      <c r="AB35" s="9" t="n">
        <v>116.75</v>
      </c>
      <c r="AC35" s="9" t="n">
        <v>47.57</v>
      </c>
      <c r="AD35" s="9" t="n">
        <v>6.06</v>
      </c>
      <c r="AE35" s="9" t="n">
        <v>1.81</v>
      </c>
      <c r="AF35" s="9" t="n">
        <v>29.82</v>
      </c>
      <c r="AG35" s="9" t="n">
        <v>34.53</v>
      </c>
      <c r="AH35" s="9" t="n">
        <v>8.140000000000001</v>
      </c>
      <c r="AI35" s="9" t="n">
        <v>23.57</v>
      </c>
      <c r="AJ35" s="9" t="n">
        <v>1.44</v>
      </c>
      <c r="AK35" s="9" t="n">
        <v>0.78</v>
      </c>
      <c r="AL35" s="9" t="n">
        <v>53.85</v>
      </c>
      <c r="AM35" s="9" t="n">
        <v>26.81</v>
      </c>
      <c r="AN35" s="9" t="n">
        <v>3.5</v>
      </c>
      <c r="AO35" s="9" t="n">
        <v>13.06</v>
      </c>
      <c r="AP35" s="9" t="n">
        <v>6.31</v>
      </c>
      <c r="AQ35" s="9" t="n">
        <v>1.56</v>
      </c>
      <c r="AR35" s="9" t="n">
        <v>24.67</v>
      </c>
      <c r="AS35" s="9" t="n">
        <v>5.53</v>
      </c>
      <c r="AT35" s="9" t="n">
        <v>1.19</v>
      </c>
      <c r="AU35" s="9" t="n">
        <v>21.61</v>
      </c>
      <c r="AV35" s="9" t="n">
        <v>0.11</v>
      </c>
      <c r="AW35" s="9" t="n">
        <v>0.08</v>
      </c>
      <c r="AX35" s="9" t="n">
        <v>75</v>
      </c>
      <c r="AY35" s="9" t="n">
        <v>16.36</v>
      </c>
      <c r="AZ35" s="9" t="n">
        <v>5.14</v>
      </c>
      <c r="BA35" s="9" t="n">
        <v>31.41</v>
      </c>
      <c r="BB35" s="9" t="n">
        <v>5.39</v>
      </c>
      <c r="BC35" s="9" t="n">
        <v>5.94</v>
      </c>
      <c r="BD35" s="9" t="n">
        <v>25.17</v>
      </c>
      <c r="BE35" s="9" t="n">
        <v>3.92</v>
      </c>
      <c r="BF35" s="9" t="n">
        <v>10.5</v>
      </c>
      <c r="BG35" s="9" t="n">
        <v>16.75</v>
      </c>
      <c r="BH35" s="9" t="n">
        <v>74.36</v>
      </c>
      <c r="BI35" s="9" t="n">
        <v>29.39</v>
      </c>
      <c r="BJ35" s="9" t="n">
        <v>39.52</v>
      </c>
      <c r="BK35" s="9" t="n">
        <v>2.53</v>
      </c>
      <c r="BL35" s="9" t="n">
        <v>1.14</v>
      </c>
      <c r="BM35" s="9" t="n">
        <v>9.609999999999999</v>
      </c>
      <c r="BN35" s="9" t="n">
        <v>3.61</v>
      </c>
      <c r="BO35" s="9" t="n">
        <v>37.57</v>
      </c>
      <c r="BP35" s="9" t="n">
        <v>78.08</v>
      </c>
      <c r="BQ35" s="9" t="n">
        <v>48.06</v>
      </c>
      <c r="BR35" s="9" t="n">
        <v>61.54</v>
      </c>
      <c r="BS35" s="9" t="n">
        <v>51.42</v>
      </c>
      <c r="BT35" s="9" t="n">
        <v>22.58</v>
      </c>
      <c r="BU35" s="9" t="n">
        <v>43.92</v>
      </c>
      <c r="BV35" s="9" t="n">
        <v>3.39</v>
      </c>
      <c r="BW35" s="9" t="n">
        <v>1.39</v>
      </c>
      <c r="BX35" s="9" t="n">
        <v>40.98</v>
      </c>
      <c r="BY35" s="9" t="n">
        <v>42.31</v>
      </c>
      <c r="BZ35" s="9" t="n">
        <v>19.06</v>
      </c>
      <c r="CA35" s="9" t="n">
        <v>15.89</v>
      </c>
      <c r="CB35" s="9" t="n">
        <v>2.58</v>
      </c>
      <c r="CC35" s="9" t="n">
        <v>0.14</v>
      </c>
      <c r="CD35" s="9" t="n">
        <v>121.5</v>
      </c>
      <c r="CE35" s="9" t="n">
        <v>79.08</v>
      </c>
      <c r="CF35" s="9" t="n">
        <v>65.09</v>
      </c>
      <c r="CG35" s="9" t="n">
        <v>32.64</v>
      </c>
      <c r="CH35" s="9" t="n">
        <v>29.44</v>
      </c>
      <c r="CI35" s="9" t="n">
        <v>90.20999999999999</v>
      </c>
      <c r="CJ35" s="9" t="n">
        <v>62.78</v>
      </c>
      <c r="CK35" s="9" t="n">
        <v>46.17</v>
      </c>
      <c r="CL35" s="9" t="n">
        <v>73.54000000000001</v>
      </c>
      <c r="CM35" s="9" t="n">
        <v>48.72</v>
      </c>
      <c r="CN35" s="9" t="n">
        <v>23.56</v>
      </c>
      <c r="CO35" s="9" t="n">
        <v>48.35</v>
      </c>
      <c r="CP35" s="9" t="n">
        <v>55.22</v>
      </c>
      <c r="CQ35" s="9" t="n">
        <v>33.58</v>
      </c>
      <c r="CR35" s="9" t="n">
        <v>60.81</v>
      </c>
      <c r="CS35" s="9" t="n">
        <v>64.44</v>
      </c>
      <c r="CT35" s="9" t="n">
        <v>48.19</v>
      </c>
      <c r="CU35" s="9" t="n">
        <v>74.78</v>
      </c>
      <c r="CV35" s="9" t="n">
        <v>2.44</v>
      </c>
      <c r="CW35" s="9" t="n">
        <v>1.17</v>
      </c>
      <c r="CX35" s="9" t="n">
        <v>47.73</v>
      </c>
      <c r="CY35" s="9" t="n">
        <v>27.06</v>
      </c>
      <c r="CZ35" s="9" t="n">
        <v>21.08</v>
      </c>
      <c r="DA35" s="9" t="n">
        <v>77.93000000000001</v>
      </c>
      <c r="DB35" s="9" t="n">
        <v>7.86</v>
      </c>
      <c r="DC35" s="9" t="n">
        <v>14.16</v>
      </c>
      <c r="DD35" s="9" t="n">
        <v>2.2</v>
      </c>
      <c r="DE35" s="9" t="n">
        <v>19.48</v>
      </c>
      <c r="DF35" s="9" t="n">
        <v>19.14</v>
      </c>
      <c r="DG35" s="9" t="n">
        <v>21.14</v>
      </c>
      <c r="DH35" s="9" t="n">
        <v>6.6</v>
      </c>
      <c r="DI35" s="9" t="n">
        <v>1.14</v>
      </c>
      <c r="DJ35" s="9" t="n">
        <v>1.1</v>
      </c>
      <c r="DK35" s="9" t="n">
        <v>9.609999999999999</v>
      </c>
      <c r="DL35" s="9" t="n">
        <v>3.56</v>
      </c>
      <c r="DM35" s="9" t="n">
        <v>36.99</v>
      </c>
      <c r="DN35" s="9" t="n">
        <v>328.28</v>
      </c>
      <c r="DO35" s="9" t="n">
        <v>250.67</v>
      </c>
      <c r="DP35" s="9" t="n">
        <v>76.36</v>
      </c>
      <c r="DQ35" s="9" t="n">
        <v>54.97</v>
      </c>
      <c r="DR35" s="9" t="n">
        <v>121</v>
      </c>
      <c r="DS35" s="9" t="n">
        <v>24.22</v>
      </c>
      <c r="DT35" s="9" t="n">
        <v>47.42</v>
      </c>
      <c r="DU35" s="9" t="n">
        <v>49.36</v>
      </c>
      <c r="DV35" s="9" t="n">
        <v>88.81</v>
      </c>
      <c r="DW35" s="9" t="n">
        <v>50.08</v>
      </c>
      <c r="DX35" s="9" t="n">
        <v>29.36</v>
      </c>
      <c r="DY35" s="9" t="n">
        <v>9.359999999999999</v>
      </c>
      <c r="DZ35" s="9" t="n">
        <v>245.42</v>
      </c>
      <c r="EA35" s="9" t="n">
        <v>115.44</v>
      </c>
      <c r="EB35" s="9" t="n">
        <v>47.04</v>
      </c>
      <c r="EC35" s="9" t="n">
        <v>4.33</v>
      </c>
      <c r="ED35" s="9" t="n">
        <v>1.06</v>
      </c>
      <c r="EE35" s="9" t="n">
        <v>24.36</v>
      </c>
      <c r="EF35" s="9" t="n">
        <v>25.5</v>
      </c>
      <c r="EG35" s="9" t="n">
        <v>5.36</v>
      </c>
      <c r="EH35" s="9" t="n">
        <v>21.02</v>
      </c>
      <c r="EI35" s="9" t="n">
        <v>1.42</v>
      </c>
      <c r="EJ35" s="9" t="n">
        <v>0.36</v>
      </c>
      <c r="EK35" s="9" t="n">
        <v>25.49</v>
      </c>
      <c r="EL35" s="9" t="n">
        <v>30.33</v>
      </c>
      <c r="EM35" s="9" t="n">
        <v>3.28</v>
      </c>
      <c r="EN35" s="9" t="n">
        <v>10.81</v>
      </c>
      <c r="EO35" s="9" t="n">
        <v>4.44</v>
      </c>
      <c r="EP35" s="9" t="n">
        <v>1.42</v>
      </c>
      <c r="EQ35" s="9" t="n">
        <v>31.88</v>
      </c>
      <c r="ER35" s="9" t="n">
        <v>2.92</v>
      </c>
      <c r="ES35" s="9" t="n">
        <v>0.5600000000000001</v>
      </c>
      <c r="ET35" s="9" t="n">
        <v>19.05</v>
      </c>
      <c r="EU35" s="9" t="n">
        <v>0.11</v>
      </c>
      <c r="EV35" s="9" t="n">
        <v>0.08</v>
      </c>
      <c r="EW35" s="9" t="n">
        <v>75</v>
      </c>
      <c r="EX35" s="9" t="n">
        <v>13.33</v>
      </c>
      <c r="EY35" s="9" t="n">
        <v>3.92</v>
      </c>
      <c r="EZ35" s="9" t="n">
        <v>29.38</v>
      </c>
      <c r="FA35" s="9" t="n">
        <v>3.75</v>
      </c>
      <c r="FB35" s="9" t="n">
        <v>4.89</v>
      </c>
      <c r="FC35" s="9" t="n">
        <v>19.67</v>
      </c>
      <c r="FD35" s="9" t="n">
        <v>3.17</v>
      </c>
      <c r="FE35" s="9" t="n">
        <v>7.67</v>
      </c>
      <c r="FF35" s="9" t="n">
        <v>12.97</v>
      </c>
      <c r="FG35" s="9" t="n">
        <v>78.11</v>
      </c>
      <c r="FH35" s="9" t="n">
        <v>30.03</v>
      </c>
      <c r="FI35" s="9" t="n">
        <v>38.44</v>
      </c>
      <c r="FJ35" s="9" t="n">
        <v>0.86</v>
      </c>
      <c r="FK35" s="9" t="n">
        <v>1.81</v>
      </c>
      <c r="FL35" s="9" t="n">
        <v>13.44</v>
      </c>
      <c r="FM35" s="9" t="n">
        <v>5.25</v>
      </c>
      <c r="FN35" s="9" t="n">
        <v>39.05</v>
      </c>
      <c r="FO35" s="9" t="n">
        <v>74.33</v>
      </c>
      <c r="FP35" s="9" t="n">
        <v>44.94</v>
      </c>
      <c r="FQ35" s="9" t="n">
        <v>60.46</v>
      </c>
      <c r="FR35" s="9" t="n">
        <v>51.42</v>
      </c>
      <c r="FS35" s="9" t="n">
        <v>23.64</v>
      </c>
      <c r="FT35" s="9" t="n">
        <v>45.98</v>
      </c>
      <c r="FU35" s="9" t="n">
        <v>4.36</v>
      </c>
      <c r="FV35" s="9" t="n">
        <v>2.08</v>
      </c>
      <c r="FW35" s="9" t="n">
        <v>47.77</v>
      </c>
      <c r="FX35" s="9" t="n">
        <v>45.81</v>
      </c>
      <c r="FY35" s="9" t="n">
        <v>23.44</v>
      </c>
      <c r="FZ35" s="9" t="n">
        <v>13.89</v>
      </c>
      <c r="GA35" s="9" t="n">
        <v>2.75</v>
      </c>
      <c r="GB35" s="9" t="n">
        <v>0.19</v>
      </c>
      <c r="GC35" s="9" t="n">
        <v>134.67</v>
      </c>
      <c r="GD35" s="9" t="n">
        <v>91.56</v>
      </c>
      <c r="GE35" s="9" t="n">
        <v>67.98999999999999</v>
      </c>
      <c r="GF35" s="9" t="n">
        <v>43.28</v>
      </c>
      <c r="GG35" s="9" t="n">
        <v>39.39</v>
      </c>
      <c r="GH35" s="9" t="n">
        <v>91.01000000000001</v>
      </c>
      <c r="GI35" s="9" t="n">
        <v>100.08</v>
      </c>
      <c r="GJ35" s="9" t="n">
        <v>81.86</v>
      </c>
      <c r="GK35" s="9" t="n">
        <v>81.79000000000001</v>
      </c>
      <c r="GL35" s="9" t="n">
        <v>48.92</v>
      </c>
      <c r="GM35" s="9" t="n">
        <v>26.22</v>
      </c>
      <c r="GN35" s="9" t="n">
        <v>53.61</v>
      </c>
      <c r="GO35" s="9" t="n">
        <v>46.5</v>
      </c>
      <c r="GP35" s="9" t="n">
        <v>29.92</v>
      </c>
      <c r="GQ35" s="9" t="n">
        <v>64.34</v>
      </c>
      <c r="GR35" s="9" t="n">
        <v>71.08</v>
      </c>
      <c r="GS35" s="9" t="n">
        <v>47.56</v>
      </c>
      <c r="GT35" s="9" t="n">
        <v>66.90000000000001</v>
      </c>
      <c r="GU35" s="9" t="n">
        <v>2.72</v>
      </c>
      <c r="GV35" s="9" t="n">
        <v>1.14</v>
      </c>
      <c r="GW35" s="9" t="n">
        <v>41.84</v>
      </c>
      <c r="GX35" s="9" t="n">
        <v>24.83</v>
      </c>
      <c r="GY35" s="9" t="n">
        <v>21.5</v>
      </c>
      <c r="GZ35" s="9" t="n">
        <v>86.58</v>
      </c>
      <c r="HA35" s="9" t="n">
        <v>10.11</v>
      </c>
      <c r="HB35" s="9" t="n">
        <v>14.72</v>
      </c>
      <c r="HC35" s="9" t="n">
        <v>2.78</v>
      </c>
      <c r="HD35" s="9" t="n">
        <v>15.39</v>
      </c>
      <c r="HE35" s="9" t="n">
        <v>19.22</v>
      </c>
      <c r="HF35" s="9" t="n">
        <v>20.36</v>
      </c>
      <c r="HG35" s="9" t="n">
        <v>6.92</v>
      </c>
    </row>
    <row r="36">
      <c r="A36" s="12" t="n">
        <v>2023</v>
      </c>
      <c r="B36" s="12" t="n">
        <v>52</v>
      </c>
      <c r="C36" s="5">
        <f>(B36-AVERAGE($B$2:$B$100))/_xlfn.STDEV.P($B$2:$B$100)</f>
        <v/>
      </c>
      <c r="D36" s="12" t="n">
        <v>4</v>
      </c>
      <c r="E36" s="6">
        <f>-D36</f>
        <v/>
      </c>
      <c r="F36" s="7">
        <f>(E36-AVERAGE($E$2:$E$100))/_xlfn.STDEV.P($E$2:$E$100)</f>
        <v/>
      </c>
      <c r="G36" s="7">
        <f>sum(0.5*C36)+(0.5*F36)</f>
        <v/>
      </c>
      <c r="H36" s="12" t="inlineStr">
        <is>
          <t>East</t>
        </is>
      </c>
      <c r="I36" s="8" t="inlineStr">
        <is>
          <t>Memphis 901</t>
        </is>
      </c>
      <c r="J36" s="9" t="n">
        <v>1.71</v>
      </c>
      <c r="K36" s="9" t="n">
        <v>1.47</v>
      </c>
      <c r="L36" s="9" t="n">
        <v>12.26</v>
      </c>
      <c r="M36" s="9" t="n">
        <v>4.46</v>
      </c>
      <c r="N36" s="9" t="n">
        <v>36.36</v>
      </c>
      <c r="O36" s="9" t="n">
        <v>472.49</v>
      </c>
      <c r="P36" s="9" t="n">
        <v>398.43</v>
      </c>
      <c r="Q36" s="9" t="n">
        <v>84.33</v>
      </c>
      <c r="R36" s="9" t="n">
        <v>55.32</v>
      </c>
      <c r="S36" s="9" t="n">
        <v>103.97</v>
      </c>
      <c r="T36" s="9" t="n">
        <v>15.97</v>
      </c>
      <c r="U36" s="9" t="n">
        <v>39.06</v>
      </c>
      <c r="V36" s="9" t="n">
        <v>48.94</v>
      </c>
      <c r="W36" s="9" t="n">
        <v>81.23</v>
      </c>
      <c r="X36" s="9" t="n">
        <v>36</v>
      </c>
      <c r="Y36" s="9" t="n">
        <v>34.37</v>
      </c>
      <c r="Z36" s="9" t="n">
        <v>10.86</v>
      </c>
      <c r="AA36" s="9" t="n">
        <v>194.54</v>
      </c>
      <c r="AB36" s="9" t="n">
        <v>91.86</v>
      </c>
      <c r="AC36" s="9" t="n">
        <v>47.22</v>
      </c>
      <c r="AD36" s="9" t="n">
        <v>5.09</v>
      </c>
      <c r="AE36" s="9" t="n">
        <v>1.54</v>
      </c>
      <c r="AF36" s="9" t="n">
        <v>30.34</v>
      </c>
      <c r="AG36" s="9" t="n">
        <v>28.54</v>
      </c>
      <c r="AH36" s="9" t="n">
        <v>6.94</v>
      </c>
      <c r="AI36" s="9" t="n">
        <v>24.32</v>
      </c>
      <c r="AJ36" s="9" t="n">
        <v>1.86</v>
      </c>
      <c r="AK36" s="9" t="n">
        <v>0.83</v>
      </c>
      <c r="AL36" s="9" t="n">
        <v>44.62</v>
      </c>
      <c r="AM36" s="9" t="n">
        <v>26.06</v>
      </c>
      <c r="AN36" s="9" t="n">
        <v>3.8</v>
      </c>
      <c r="AO36" s="9" t="n">
        <v>14.58</v>
      </c>
      <c r="AP36" s="9" t="n">
        <v>4.57</v>
      </c>
      <c r="AQ36" s="9" t="n">
        <v>1.51</v>
      </c>
      <c r="AR36" s="9" t="n">
        <v>33.13</v>
      </c>
      <c r="AS36" s="9" t="n">
        <v>2.69</v>
      </c>
      <c r="AT36" s="9" t="n">
        <v>0.66</v>
      </c>
      <c r="AU36" s="9" t="n">
        <v>24.47</v>
      </c>
      <c r="AV36" s="9" t="n">
        <v>0.17</v>
      </c>
      <c r="AW36" s="9" t="n">
        <v>0.11</v>
      </c>
      <c r="AX36" s="9" t="n">
        <v>66.67</v>
      </c>
      <c r="AY36" s="9" t="n">
        <v>12.57</v>
      </c>
      <c r="AZ36" s="9" t="n">
        <v>4.06</v>
      </c>
      <c r="BA36" s="9" t="n">
        <v>32.27</v>
      </c>
      <c r="BB36" s="9" t="n">
        <v>3.63</v>
      </c>
      <c r="BC36" s="9" t="n">
        <v>8.289999999999999</v>
      </c>
      <c r="BD36" s="9" t="n">
        <v>23.57</v>
      </c>
      <c r="BE36" s="9" t="n">
        <v>3.77</v>
      </c>
      <c r="BF36" s="9" t="n">
        <v>7.23</v>
      </c>
      <c r="BG36" s="9" t="n">
        <v>18.17</v>
      </c>
      <c r="BH36" s="9" t="n">
        <v>63.37</v>
      </c>
      <c r="BI36" s="9" t="n">
        <v>25.11</v>
      </c>
      <c r="BJ36" s="9" t="n">
        <v>39.63</v>
      </c>
      <c r="BK36" s="9" t="n">
        <v>2.06</v>
      </c>
      <c r="BL36" s="9" t="n">
        <v>1.54</v>
      </c>
      <c r="BM36" s="9" t="n">
        <v>9</v>
      </c>
      <c r="BN36" s="9" t="n">
        <v>3.86</v>
      </c>
      <c r="BO36" s="9" t="n">
        <v>42.86</v>
      </c>
      <c r="BP36" s="9" t="n">
        <v>61.54</v>
      </c>
      <c r="BQ36" s="9" t="n">
        <v>36.8</v>
      </c>
      <c r="BR36" s="9" t="n">
        <v>59.8</v>
      </c>
      <c r="BS36" s="9" t="n">
        <v>37.2</v>
      </c>
      <c r="BT36" s="9" t="n">
        <v>16.51</v>
      </c>
      <c r="BU36" s="9" t="n">
        <v>44.39</v>
      </c>
      <c r="BV36" s="9" t="n">
        <v>3.09</v>
      </c>
      <c r="BW36" s="9" t="n">
        <v>1.4</v>
      </c>
      <c r="BX36" s="9" t="n">
        <v>45.37</v>
      </c>
      <c r="BY36" s="9" t="n">
        <v>37.94</v>
      </c>
      <c r="BZ36" s="9" t="n">
        <v>15.2</v>
      </c>
      <c r="CA36" s="9" t="n">
        <v>13.2</v>
      </c>
      <c r="CB36" s="9" t="n">
        <v>2.06</v>
      </c>
      <c r="CC36" s="9" t="n">
        <v>0.17</v>
      </c>
      <c r="CD36" s="9" t="n">
        <v>155.2</v>
      </c>
      <c r="CE36" s="9" t="n">
        <v>113.71</v>
      </c>
      <c r="CF36" s="9" t="n">
        <v>73.27</v>
      </c>
      <c r="CG36" s="9" t="n">
        <v>79.09</v>
      </c>
      <c r="CH36" s="9" t="n">
        <v>74.8</v>
      </c>
      <c r="CI36" s="9" t="n">
        <v>94.58</v>
      </c>
      <c r="CJ36" s="9" t="n">
        <v>174.71</v>
      </c>
      <c r="CK36" s="9" t="n">
        <v>157.94</v>
      </c>
      <c r="CL36" s="9" t="n">
        <v>90.40000000000001</v>
      </c>
      <c r="CM36" s="9" t="n">
        <v>53.57</v>
      </c>
      <c r="CN36" s="9" t="n">
        <v>29.97</v>
      </c>
      <c r="CO36" s="9" t="n">
        <v>55.95</v>
      </c>
      <c r="CP36" s="9" t="n">
        <v>59</v>
      </c>
      <c r="CQ36" s="9" t="n">
        <v>39.89</v>
      </c>
      <c r="CR36" s="9" t="n">
        <v>67.59999999999999</v>
      </c>
      <c r="CS36" s="9" t="n">
        <v>78.09</v>
      </c>
      <c r="CT36" s="9" t="n">
        <v>58.91</v>
      </c>
      <c r="CU36" s="9" t="n">
        <v>75.45</v>
      </c>
      <c r="CV36" s="9" t="n">
        <v>3.86</v>
      </c>
      <c r="CW36" s="9" t="n">
        <v>1.63</v>
      </c>
      <c r="CX36" s="9" t="n">
        <v>42.22</v>
      </c>
      <c r="CY36" s="9" t="n">
        <v>23.37</v>
      </c>
      <c r="CZ36" s="9" t="n">
        <v>22.37</v>
      </c>
      <c r="DA36" s="9" t="n">
        <v>95.72</v>
      </c>
      <c r="DB36" s="9" t="n">
        <v>6.66</v>
      </c>
      <c r="DC36" s="9" t="n">
        <v>16.61</v>
      </c>
      <c r="DD36" s="9" t="n">
        <v>4.45</v>
      </c>
      <c r="DE36" s="9" t="n">
        <v>11.65</v>
      </c>
      <c r="DF36" s="9" t="n">
        <v>18.44</v>
      </c>
      <c r="DG36" s="9" t="n">
        <v>20.36</v>
      </c>
      <c r="DH36" s="9" t="n">
        <v>10.18</v>
      </c>
      <c r="DI36" s="9" t="n">
        <v>1.54</v>
      </c>
      <c r="DJ36" s="9" t="n">
        <v>1.32</v>
      </c>
      <c r="DK36" s="9" t="n">
        <v>9</v>
      </c>
      <c r="DL36" s="9" t="n">
        <v>3.71</v>
      </c>
      <c r="DM36" s="9" t="n">
        <v>41.27</v>
      </c>
      <c r="DN36" s="9" t="n">
        <v>364</v>
      </c>
      <c r="DO36" s="9" t="n">
        <v>290.34</v>
      </c>
      <c r="DP36" s="9" t="n">
        <v>79.76000000000001</v>
      </c>
      <c r="DQ36" s="9" t="n">
        <v>44.68</v>
      </c>
      <c r="DR36" s="9" t="n">
        <v>103.43</v>
      </c>
      <c r="DS36" s="9" t="n">
        <v>18.06</v>
      </c>
      <c r="DT36" s="9" t="n">
        <v>39.26</v>
      </c>
      <c r="DU36" s="9" t="n">
        <v>46.11</v>
      </c>
      <c r="DV36" s="9" t="n">
        <v>80.73999999999999</v>
      </c>
      <c r="DW36" s="9" t="n">
        <v>37.06</v>
      </c>
      <c r="DX36" s="9" t="n">
        <v>33.71</v>
      </c>
      <c r="DY36" s="9" t="n">
        <v>9.970000000000001</v>
      </c>
      <c r="DZ36" s="9" t="n">
        <v>194.54</v>
      </c>
      <c r="EA36" s="9" t="n">
        <v>93.89</v>
      </c>
      <c r="EB36" s="9" t="n">
        <v>48.26</v>
      </c>
      <c r="EC36" s="9" t="n">
        <v>3.06</v>
      </c>
      <c r="ED36" s="9" t="n">
        <v>0.91</v>
      </c>
      <c r="EE36" s="9" t="n">
        <v>29.91</v>
      </c>
      <c r="EF36" s="9" t="n">
        <v>23.6</v>
      </c>
      <c r="EG36" s="9" t="n">
        <v>4.74</v>
      </c>
      <c r="EH36" s="9" t="n">
        <v>20.1</v>
      </c>
      <c r="EI36" s="9" t="n">
        <v>1.91</v>
      </c>
      <c r="EJ36" s="9" t="n">
        <v>0.9399999999999999</v>
      </c>
      <c r="EK36" s="9" t="n">
        <v>49.25</v>
      </c>
      <c r="EL36" s="9" t="n">
        <v>24.74</v>
      </c>
      <c r="EM36" s="9" t="n">
        <v>2.8</v>
      </c>
      <c r="EN36" s="9" t="n">
        <v>11.32</v>
      </c>
      <c r="EO36" s="9" t="n">
        <v>3.89</v>
      </c>
      <c r="EP36" s="9" t="n">
        <v>1.2</v>
      </c>
      <c r="EQ36" s="9" t="n">
        <v>30.88</v>
      </c>
      <c r="ER36" s="9" t="n">
        <v>2.83</v>
      </c>
      <c r="ES36" s="9" t="n">
        <v>0.74</v>
      </c>
      <c r="ET36" s="9" t="n">
        <v>26.26</v>
      </c>
      <c r="EU36" s="9" t="n">
        <v>0.09</v>
      </c>
      <c r="EV36" s="9" t="n">
        <v>0.06</v>
      </c>
      <c r="EW36" s="9" t="n">
        <v>66.67</v>
      </c>
      <c r="EX36" s="9" t="n">
        <v>12.31</v>
      </c>
      <c r="EY36" s="9" t="n">
        <v>4.14</v>
      </c>
      <c r="EZ36" s="9" t="n">
        <v>33.64</v>
      </c>
      <c r="FA36" s="9" t="n">
        <v>3.94</v>
      </c>
      <c r="FB36" s="9" t="n">
        <v>5.43</v>
      </c>
      <c r="FC36" s="9" t="n">
        <v>20.31</v>
      </c>
      <c r="FD36" s="9" t="n">
        <v>3.89</v>
      </c>
      <c r="FE36" s="9" t="n">
        <v>7.06</v>
      </c>
      <c r="FF36" s="9" t="n">
        <v>15.71</v>
      </c>
      <c r="FG36" s="9" t="n">
        <v>61.54</v>
      </c>
      <c r="FH36" s="9" t="n">
        <v>24.74</v>
      </c>
      <c r="FI36" s="9" t="n">
        <v>40.2</v>
      </c>
      <c r="FJ36" s="9" t="n">
        <v>3.37</v>
      </c>
      <c r="FK36" s="9" t="n">
        <v>1.71</v>
      </c>
      <c r="FL36" s="9" t="n">
        <v>12.26</v>
      </c>
      <c r="FM36" s="9" t="n">
        <v>4.69</v>
      </c>
      <c r="FN36" s="9" t="n">
        <v>38.23</v>
      </c>
      <c r="FO36" s="9" t="n">
        <v>63.37</v>
      </c>
      <c r="FP36" s="9" t="n">
        <v>38.26</v>
      </c>
      <c r="FQ36" s="9" t="n">
        <v>60.37</v>
      </c>
      <c r="FR36" s="9" t="n">
        <v>37.2</v>
      </c>
      <c r="FS36" s="9" t="n">
        <v>17.54</v>
      </c>
      <c r="FT36" s="9" t="n">
        <v>47.16</v>
      </c>
      <c r="FU36" s="9" t="n">
        <v>3.94</v>
      </c>
      <c r="FV36" s="9" t="n">
        <v>1.63</v>
      </c>
      <c r="FW36" s="9" t="n">
        <v>41.3</v>
      </c>
      <c r="FX36" s="9" t="n">
        <v>39.83</v>
      </c>
      <c r="FY36" s="9" t="n">
        <v>14.57</v>
      </c>
      <c r="FZ36" s="9" t="n">
        <v>12.8</v>
      </c>
      <c r="GA36" s="9" t="n">
        <v>2.31</v>
      </c>
      <c r="GB36" s="9" t="n">
        <v>0.09</v>
      </c>
      <c r="GC36" s="9" t="n">
        <v>129</v>
      </c>
      <c r="GD36" s="9" t="n">
        <v>85.56999999999999</v>
      </c>
      <c r="GE36" s="9" t="n">
        <v>66.33</v>
      </c>
      <c r="GF36" s="9" t="n">
        <v>53.23</v>
      </c>
      <c r="GG36" s="9" t="n">
        <v>50.03</v>
      </c>
      <c r="GH36" s="9" t="n">
        <v>93.98999999999999</v>
      </c>
      <c r="GI36" s="9" t="n">
        <v>134.4</v>
      </c>
      <c r="GJ36" s="9" t="n">
        <v>118.29</v>
      </c>
      <c r="GK36" s="9" t="n">
        <v>88.01000000000001</v>
      </c>
      <c r="GL36" s="9" t="n">
        <v>52.34</v>
      </c>
      <c r="GM36" s="9" t="n">
        <v>26.11</v>
      </c>
      <c r="GN36" s="9" t="n">
        <v>49.89</v>
      </c>
      <c r="GO36" s="9" t="n">
        <v>49.63</v>
      </c>
      <c r="GP36" s="9" t="n">
        <v>28.34</v>
      </c>
      <c r="GQ36" s="9" t="n">
        <v>57.11</v>
      </c>
      <c r="GR36" s="9" t="n">
        <v>66.48999999999999</v>
      </c>
      <c r="GS36" s="9" t="n">
        <v>45.06</v>
      </c>
      <c r="GT36" s="9" t="n">
        <v>67.77</v>
      </c>
      <c r="GU36" s="9" t="n">
        <v>3.8</v>
      </c>
      <c r="GV36" s="9" t="n">
        <v>1.4</v>
      </c>
      <c r="GW36" s="9" t="n">
        <v>36.84</v>
      </c>
      <c r="GX36" s="9" t="n">
        <v>21.46</v>
      </c>
      <c r="GY36" s="9" t="n">
        <v>19.03</v>
      </c>
      <c r="GZ36" s="9" t="n">
        <v>88.68000000000001</v>
      </c>
      <c r="HA36" s="9" t="n">
        <v>7.31</v>
      </c>
      <c r="HB36" s="9" t="n">
        <v>15.8</v>
      </c>
      <c r="HC36" s="9" t="n">
        <v>3.53</v>
      </c>
      <c r="HD36" s="9" t="n">
        <v>15.15</v>
      </c>
      <c r="HE36" s="9" t="n">
        <v>17.2</v>
      </c>
      <c r="HF36" s="9" t="n">
        <v>21.38</v>
      </c>
      <c r="HG36" s="9" t="n">
        <v>13.85</v>
      </c>
    </row>
    <row r="37">
      <c r="A37" s="12" t="n">
        <v>2023</v>
      </c>
      <c r="B37" s="12" t="n">
        <v>53</v>
      </c>
      <c r="C37" s="5">
        <f>(B37-AVERAGE($B$2:$B$100))/_xlfn.STDEV.P($B$2:$B$100)</f>
        <v/>
      </c>
      <c r="D37" s="12" t="n">
        <v>5</v>
      </c>
      <c r="E37" s="6">
        <f>-D37</f>
        <v/>
      </c>
      <c r="F37" s="7">
        <f>(E37-AVERAGE($E$2:$E$100))/_xlfn.STDEV.P($E$2:$E$100)</f>
        <v/>
      </c>
      <c r="G37" s="7">
        <f>sum(0.5*C37)+(0.5*F37)</f>
        <v/>
      </c>
      <c r="H37" s="12" t="inlineStr">
        <is>
          <t>West</t>
        </is>
      </c>
      <c r="I37" s="8" t="inlineStr">
        <is>
          <t>Colorado Springs</t>
        </is>
      </c>
      <c r="J37" s="9" t="n">
        <v>1.4</v>
      </c>
      <c r="K37" s="9" t="n">
        <v>1.32</v>
      </c>
      <c r="L37" s="9" t="n">
        <v>11.43</v>
      </c>
      <c r="M37" s="9" t="n">
        <v>4.23</v>
      </c>
      <c r="N37" s="9" t="n">
        <v>37</v>
      </c>
      <c r="O37" s="9" t="n">
        <v>422.57</v>
      </c>
      <c r="P37" s="9" t="n">
        <v>350.14</v>
      </c>
      <c r="Q37" s="9" t="n">
        <v>82.86</v>
      </c>
      <c r="R37" s="9" t="n">
        <v>51.35</v>
      </c>
      <c r="S37" s="9" t="n">
        <v>101.29</v>
      </c>
      <c r="T37" s="9" t="n">
        <v>19.8</v>
      </c>
      <c r="U37" s="9" t="n">
        <v>34.11</v>
      </c>
      <c r="V37" s="9" t="n">
        <v>47.37</v>
      </c>
      <c r="W37" s="9" t="n">
        <v>77.77</v>
      </c>
      <c r="X37" s="9" t="n">
        <v>35.74</v>
      </c>
      <c r="Y37" s="9" t="n">
        <v>29.03</v>
      </c>
      <c r="Z37" s="9" t="n">
        <v>13</v>
      </c>
      <c r="AA37" s="9" t="n">
        <v>187.06</v>
      </c>
      <c r="AB37" s="9" t="n">
        <v>87.48999999999999</v>
      </c>
      <c r="AC37" s="9" t="n">
        <v>46.77</v>
      </c>
      <c r="AD37" s="9" t="n">
        <v>4.69</v>
      </c>
      <c r="AE37" s="9" t="n">
        <v>1.26</v>
      </c>
      <c r="AF37" s="9" t="n">
        <v>26.83</v>
      </c>
      <c r="AG37" s="9" t="n">
        <v>28.66</v>
      </c>
      <c r="AH37" s="9" t="n">
        <v>6.69</v>
      </c>
      <c r="AI37" s="9" t="n">
        <v>23.33</v>
      </c>
      <c r="AJ37" s="9" t="n">
        <v>1.86</v>
      </c>
      <c r="AK37" s="9" t="n">
        <v>0.89</v>
      </c>
      <c r="AL37" s="9" t="n">
        <v>47.69</v>
      </c>
      <c r="AM37" s="9" t="n">
        <v>25.46</v>
      </c>
      <c r="AN37" s="9" t="n">
        <v>3.26</v>
      </c>
      <c r="AO37" s="9" t="n">
        <v>12.79</v>
      </c>
      <c r="AP37" s="9" t="n">
        <v>4.89</v>
      </c>
      <c r="AQ37" s="9" t="n">
        <v>1.34</v>
      </c>
      <c r="AR37" s="9" t="n">
        <v>27.49</v>
      </c>
      <c r="AS37" s="9" t="n">
        <v>1.8</v>
      </c>
      <c r="AT37" s="9" t="n">
        <v>0.49</v>
      </c>
      <c r="AU37" s="9" t="n">
        <v>26.98</v>
      </c>
      <c r="AV37" s="9" t="n">
        <v>0.23</v>
      </c>
      <c r="AW37" s="9" t="n">
        <v>0.17</v>
      </c>
      <c r="AX37" s="9" t="n">
        <v>75</v>
      </c>
      <c r="AY37" s="9" t="n">
        <v>14.2</v>
      </c>
      <c r="AZ37" s="9" t="n">
        <v>4.03</v>
      </c>
      <c r="BA37" s="9" t="n">
        <v>28.37</v>
      </c>
      <c r="BB37" s="9" t="n">
        <v>4.31</v>
      </c>
      <c r="BC37" s="9" t="n">
        <v>7.77</v>
      </c>
      <c r="BD37" s="9" t="n">
        <v>25.29</v>
      </c>
      <c r="BE37" s="9" t="n">
        <v>4.74</v>
      </c>
      <c r="BF37" s="9" t="n">
        <v>7.51</v>
      </c>
      <c r="BG37" s="9" t="n">
        <v>17.63</v>
      </c>
      <c r="BH37" s="9" t="n">
        <v>63.86</v>
      </c>
      <c r="BI37" s="9" t="n">
        <v>26.49</v>
      </c>
      <c r="BJ37" s="9" t="n">
        <v>41.48</v>
      </c>
      <c r="BK37" s="9" t="n">
        <v>2.69</v>
      </c>
      <c r="BL37" s="9" t="n">
        <v>1.23</v>
      </c>
      <c r="BM37" s="9" t="n">
        <v>11.77</v>
      </c>
      <c r="BN37" s="9" t="n">
        <v>4.29</v>
      </c>
      <c r="BO37" s="9" t="n">
        <v>36.41</v>
      </c>
      <c r="BP37" s="9" t="n">
        <v>60.69</v>
      </c>
      <c r="BQ37" s="9" t="n">
        <v>34.03</v>
      </c>
      <c r="BR37" s="9" t="n">
        <v>56.07</v>
      </c>
      <c r="BS37" s="9" t="n">
        <v>32.43</v>
      </c>
      <c r="BT37" s="9" t="n">
        <v>14.8</v>
      </c>
      <c r="BU37" s="9" t="n">
        <v>45.64</v>
      </c>
      <c r="BV37" s="9" t="n">
        <v>2.23</v>
      </c>
      <c r="BW37" s="9" t="n">
        <v>0.97</v>
      </c>
      <c r="BX37" s="9" t="n">
        <v>43.59</v>
      </c>
      <c r="BY37" s="9" t="n">
        <v>38.51</v>
      </c>
      <c r="BZ37" s="9" t="n">
        <v>15.8</v>
      </c>
      <c r="CA37" s="9" t="n">
        <v>14.43</v>
      </c>
      <c r="CB37" s="9" t="n">
        <v>2.66</v>
      </c>
      <c r="CC37" s="9" t="n">
        <v>0.14</v>
      </c>
      <c r="CD37" s="9" t="n">
        <v>145.17</v>
      </c>
      <c r="CE37" s="9" t="n">
        <v>104.54</v>
      </c>
      <c r="CF37" s="9" t="n">
        <v>72.01000000000001</v>
      </c>
      <c r="CG37" s="9" t="n">
        <v>57.11</v>
      </c>
      <c r="CH37" s="9" t="n">
        <v>53.74</v>
      </c>
      <c r="CI37" s="9" t="n">
        <v>94.09999999999999</v>
      </c>
      <c r="CJ37" s="9" t="n">
        <v>158.34</v>
      </c>
      <c r="CK37" s="9" t="n">
        <v>140.94</v>
      </c>
      <c r="CL37" s="9" t="n">
        <v>89.01000000000001</v>
      </c>
      <c r="CM37" s="9" t="n">
        <v>43.4</v>
      </c>
      <c r="CN37" s="9" t="n">
        <v>21</v>
      </c>
      <c r="CO37" s="9" t="n">
        <v>48.39</v>
      </c>
      <c r="CP37" s="9" t="n">
        <v>56.6</v>
      </c>
      <c r="CQ37" s="9" t="n">
        <v>38.37</v>
      </c>
      <c r="CR37" s="9" t="n">
        <v>67.79000000000001</v>
      </c>
      <c r="CS37" s="9" t="n">
        <v>70.48999999999999</v>
      </c>
      <c r="CT37" s="9" t="n">
        <v>51.71</v>
      </c>
      <c r="CU37" s="9" t="n">
        <v>73.37</v>
      </c>
      <c r="CV37" s="9" t="n">
        <v>4.43</v>
      </c>
      <c r="CW37" s="9" t="n">
        <v>1.69</v>
      </c>
      <c r="CX37" s="9" t="n">
        <v>38.06</v>
      </c>
      <c r="CY37" s="9" t="n">
        <v>20.17</v>
      </c>
      <c r="CZ37" s="9" t="n">
        <v>18.97</v>
      </c>
      <c r="DA37" s="9" t="n">
        <v>94.05</v>
      </c>
      <c r="DB37" s="9" t="n">
        <v>9.029999999999999</v>
      </c>
      <c r="DC37" s="9" t="n">
        <v>16.32</v>
      </c>
      <c r="DD37" s="9" t="n">
        <v>4.17</v>
      </c>
      <c r="DE37" s="9" t="n">
        <v>10.64</v>
      </c>
      <c r="DF37" s="9" t="n">
        <v>18.64</v>
      </c>
      <c r="DG37" s="9" t="n">
        <v>19.93</v>
      </c>
      <c r="DH37" s="9" t="n">
        <v>10.66</v>
      </c>
      <c r="DI37" s="9" t="n">
        <v>1.23</v>
      </c>
      <c r="DJ37" s="9" t="n">
        <v>1.36</v>
      </c>
      <c r="DK37" s="9" t="n">
        <v>11.77</v>
      </c>
      <c r="DL37" s="9" t="n">
        <v>4.09</v>
      </c>
      <c r="DM37" s="9" t="n">
        <v>34.71</v>
      </c>
      <c r="DN37" s="9" t="n">
        <v>387.09</v>
      </c>
      <c r="DO37" s="9" t="n">
        <v>317.17</v>
      </c>
      <c r="DP37" s="9" t="n">
        <v>81.94</v>
      </c>
      <c r="DQ37" s="9" t="n">
        <v>48.65</v>
      </c>
      <c r="DR37" s="9" t="n">
        <v>99.48999999999999</v>
      </c>
      <c r="DS37" s="9" t="n">
        <v>19.94</v>
      </c>
      <c r="DT37" s="9" t="n">
        <v>33.34</v>
      </c>
      <c r="DU37" s="9" t="n">
        <v>46.2</v>
      </c>
      <c r="DV37" s="9" t="n">
        <v>77.11</v>
      </c>
      <c r="DW37" s="9" t="n">
        <v>35.74</v>
      </c>
      <c r="DX37" s="9" t="n">
        <v>29.37</v>
      </c>
      <c r="DY37" s="9" t="n">
        <v>12</v>
      </c>
      <c r="DZ37" s="9" t="n">
        <v>187.06</v>
      </c>
      <c r="EA37" s="9" t="n">
        <v>91.14</v>
      </c>
      <c r="EB37" s="9" t="n">
        <v>48.72</v>
      </c>
      <c r="EC37" s="9" t="n">
        <v>5.74</v>
      </c>
      <c r="ED37" s="9" t="n">
        <v>1.66</v>
      </c>
      <c r="EE37" s="9" t="n">
        <v>28.86</v>
      </c>
      <c r="EF37" s="9" t="n">
        <v>25.83</v>
      </c>
      <c r="EG37" s="9" t="n">
        <v>6.69</v>
      </c>
      <c r="EH37" s="9" t="n">
        <v>25.88</v>
      </c>
      <c r="EI37" s="9" t="n">
        <v>1.91</v>
      </c>
      <c r="EJ37" s="9" t="n">
        <v>0.71</v>
      </c>
      <c r="EK37" s="9" t="n">
        <v>37.31</v>
      </c>
      <c r="EL37" s="9" t="n">
        <v>29.89</v>
      </c>
      <c r="EM37" s="9" t="n">
        <v>3.71</v>
      </c>
      <c r="EN37" s="9" t="n">
        <v>12.43</v>
      </c>
      <c r="EO37" s="9" t="n">
        <v>5.03</v>
      </c>
      <c r="EP37" s="9" t="n">
        <v>1.66</v>
      </c>
      <c r="EQ37" s="9" t="n">
        <v>32.95</v>
      </c>
      <c r="ER37" s="9" t="n">
        <v>2.66</v>
      </c>
      <c r="ES37" s="9" t="n">
        <v>0.49</v>
      </c>
      <c r="ET37" s="9" t="n">
        <v>18.28</v>
      </c>
      <c r="EU37" s="9" t="n">
        <v>0.09</v>
      </c>
      <c r="EV37" s="9" t="n">
        <v>0.09</v>
      </c>
      <c r="EW37" s="9" t="n">
        <v>100</v>
      </c>
      <c r="EX37" s="9" t="n">
        <v>15.6</v>
      </c>
      <c r="EY37" s="9" t="n">
        <v>5.26</v>
      </c>
      <c r="EZ37" s="9" t="n">
        <v>33.7</v>
      </c>
      <c r="FA37" s="9" t="n">
        <v>5.03</v>
      </c>
      <c r="FB37" s="9" t="n">
        <v>6.03</v>
      </c>
      <c r="FC37" s="9" t="n">
        <v>24.26</v>
      </c>
      <c r="FD37" s="9" t="n">
        <v>3.54</v>
      </c>
      <c r="FE37" s="9" t="n">
        <v>10</v>
      </c>
      <c r="FF37" s="9" t="n">
        <v>15.09</v>
      </c>
      <c r="FG37" s="9" t="n">
        <v>60.66</v>
      </c>
      <c r="FH37" s="9" t="n">
        <v>26.63</v>
      </c>
      <c r="FI37" s="9" t="n">
        <v>43.9</v>
      </c>
      <c r="FJ37" s="9" t="n">
        <v>1.97</v>
      </c>
      <c r="FK37" s="9" t="n">
        <v>1.4</v>
      </c>
      <c r="FL37" s="9" t="n">
        <v>11.43</v>
      </c>
      <c r="FM37" s="9" t="n">
        <v>4.34</v>
      </c>
      <c r="FN37" s="9" t="n">
        <v>38</v>
      </c>
      <c r="FO37" s="9" t="n">
        <v>63.86</v>
      </c>
      <c r="FP37" s="9" t="n">
        <v>37.37</v>
      </c>
      <c r="FQ37" s="9" t="n">
        <v>58.52</v>
      </c>
      <c r="FR37" s="9" t="n">
        <v>32.46</v>
      </c>
      <c r="FS37" s="9" t="n">
        <v>14.6</v>
      </c>
      <c r="FT37" s="9" t="n">
        <v>44.98</v>
      </c>
      <c r="FU37" s="9" t="n">
        <v>3.29</v>
      </c>
      <c r="FV37" s="9" t="n">
        <v>1.43</v>
      </c>
      <c r="FW37" s="9" t="n">
        <v>43.48</v>
      </c>
      <c r="FX37" s="9" t="n">
        <v>39.63</v>
      </c>
      <c r="FY37" s="9" t="n">
        <v>14.14</v>
      </c>
      <c r="FZ37" s="9" t="n">
        <v>11.29</v>
      </c>
      <c r="GA37" s="9" t="n">
        <v>2.29</v>
      </c>
      <c r="GB37" s="9" t="n">
        <v>0.14</v>
      </c>
      <c r="GC37" s="9" t="n">
        <v>130.29</v>
      </c>
      <c r="GD37" s="9" t="n">
        <v>93.06</v>
      </c>
      <c r="GE37" s="9" t="n">
        <v>71.43000000000001</v>
      </c>
      <c r="GF37" s="9" t="n">
        <v>57.17</v>
      </c>
      <c r="GG37" s="9" t="n">
        <v>53.77</v>
      </c>
      <c r="GH37" s="9" t="n">
        <v>94.05</v>
      </c>
      <c r="GI37" s="9" t="n">
        <v>146.09</v>
      </c>
      <c r="GJ37" s="9" t="n">
        <v>126.63</v>
      </c>
      <c r="GK37" s="9" t="n">
        <v>86.68000000000001</v>
      </c>
      <c r="GL37" s="9" t="n">
        <v>47.34</v>
      </c>
      <c r="GM37" s="9" t="n">
        <v>24.71</v>
      </c>
      <c r="GN37" s="9" t="n">
        <v>52.2</v>
      </c>
      <c r="GO37" s="9" t="n">
        <v>50.06</v>
      </c>
      <c r="GP37" s="9" t="n">
        <v>33.2</v>
      </c>
      <c r="GQ37" s="9" t="n">
        <v>66.31999999999999</v>
      </c>
      <c r="GR37" s="9" t="n">
        <v>67.37</v>
      </c>
      <c r="GS37" s="9" t="n">
        <v>47.34</v>
      </c>
      <c r="GT37" s="9" t="n">
        <v>70.27</v>
      </c>
      <c r="GU37" s="9" t="n">
        <v>2.31</v>
      </c>
      <c r="GV37" s="9" t="n">
        <v>0.83</v>
      </c>
      <c r="GW37" s="9" t="n">
        <v>35.8</v>
      </c>
      <c r="GX37" s="9" t="n">
        <v>19.11</v>
      </c>
      <c r="GY37" s="9" t="n">
        <v>17.26</v>
      </c>
      <c r="GZ37" s="9" t="n">
        <v>90.28</v>
      </c>
      <c r="HA37" s="9" t="n">
        <v>9.26</v>
      </c>
      <c r="HB37" s="9" t="n">
        <v>15.66</v>
      </c>
      <c r="HC37" s="9" t="n">
        <v>3.71</v>
      </c>
      <c r="HD37" s="9" t="n">
        <v>12.91</v>
      </c>
      <c r="HE37" s="9" t="n">
        <v>19.32</v>
      </c>
      <c r="HF37" s="9" t="n">
        <v>20.47</v>
      </c>
      <c r="HG37" s="9" t="n">
        <v>12.77</v>
      </c>
    </row>
    <row r="38">
      <c r="A38" s="12" t="n">
        <v>2023</v>
      </c>
      <c r="B38" s="12" t="n">
        <v>50</v>
      </c>
      <c r="C38" s="5">
        <f>(B38-AVERAGE($B$2:$B$100))/_xlfn.STDEV.P($B$2:$B$100)</f>
        <v/>
      </c>
      <c r="D38" s="12" t="n">
        <v>5</v>
      </c>
      <c r="E38" s="6">
        <f>-D38</f>
        <v/>
      </c>
      <c r="F38" s="7">
        <f>(E38-AVERAGE($E$2:$E$100))/_xlfn.STDEV.P($E$2:$E$100)</f>
        <v/>
      </c>
      <c r="G38" s="7">
        <f>sum(0.5*C38)+(0.5*F38)</f>
        <v/>
      </c>
      <c r="H38" s="12" t="inlineStr">
        <is>
          <t>East</t>
        </is>
      </c>
      <c r="I38" s="8" t="inlineStr">
        <is>
          <t>Louisville City</t>
        </is>
      </c>
      <c r="J38" s="9" t="n">
        <v>1.27</v>
      </c>
      <c r="K38" s="9" t="n">
        <v>1.43</v>
      </c>
      <c r="L38" s="9" t="n">
        <v>12.49</v>
      </c>
      <c r="M38" s="9" t="n">
        <v>3.89</v>
      </c>
      <c r="N38" s="9" t="n">
        <v>31.17</v>
      </c>
      <c r="O38" s="9" t="n">
        <v>387.3</v>
      </c>
      <c r="P38" s="9" t="n">
        <v>311.54</v>
      </c>
      <c r="Q38" s="9" t="n">
        <v>80.44</v>
      </c>
      <c r="R38" s="9" t="n">
        <v>49.68</v>
      </c>
      <c r="S38" s="9" t="n">
        <v>106.86</v>
      </c>
      <c r="T38" s="9" t="n">
        <v>16.62</v>
      </c>
      <c r="U38" s="9" t="n">
        <v>35.32</v>
      </c>
      <c r="V38" s="9" t="n">
        <v>54.92</v>
      </c>
      <c r="W38" s="9" t="n">
        <v>83.43000000000001</v>
      </c>
      <c r="X38" s="9" t="n">
        <v>33.68</v>
      </c>
      <c r="Y38" s="9" t="n">
        <v>36.54</v>
      </c>
      <c r="Z38" s="9" t="n">
        <v>13.22</v>
      </c>
      <c r="AA38" s="9" t="n">
        <v>191.22</v>
      </c>
      <c r="AB38" s="9" t="n">
        <v>90.56999999999999</v>
      </c>
      <c r="AC38" s="9" t="n">
        <v>47.36</v>
      </c>
      <c r="AD38" s="9" t="n">
        <v>5.41</v>
      </c>
      <c r="AE38" s="9" t="n">
        <v>1.3</v>
      </c>
      <c r="AF38" s="9" t="n">
        <v>24</v>
      </c>
      <c r="AG38" s="9" t="n">
        <v>30.19</v>
      </c>
      <c r="AH38" s="9" t="n">
        <v>7.14</v>
      </c>
      <c r="AI38" s="9" t="n">
        <v>23.63</v>
      </c>
      <c r="AJ38" s="9" t="n">
        <v>1.43</v>
      </c>
      <c r="AK38" s="9" t="n">
        <v>0.68</v>
      </c>
      <c r="AL38" s="9" t="n">
        <v>47.17</v>
      </c>
      <c r="AM38" s="9" t="n">
        <v>25.16</v>
      </c>
      <c r="AN38" s="9" t="n">
        <v>4.05</v>
      </c>
      <c r="AO38" s="9" t="n">
        <v>16.11</v>
      </c>
      <c r="AP38" s="9" t="n">
        <v>5.43</v>
      </c>
      <c r="AQ38" s="9" t="n">
        <v>1.89</v>
      </c>
      <c r="AR38" s="9" t="n">
        <v>34.83</v>
      </c>
      <c r="AS38" s="9" t="n">
        <v>2.89</v>
      </c>
      <c r="AT38" s="9" t="n">
        <v>0.62</v>
      </c>
      <c r="AU38" s="9" t="n">
        <v>21.5</v>
      </c>
      <c r="AV38" s="9" t="n">
        <v>0.11</v>
      </c>
      <c r="AW38" s="9" t="n">
        <v>0.11</v>
      </c>
      <c r="AX38" s="9" t="n">
        <v>100</v>
      </c>
      <c r="AY38" s="9" t="n">
        <v>16.7</v>
      </c>
      <c r="AZ38" s="9" t="n">
        <v>5.41</v>
      </c>
      <c r="BA38" s="9" t="n">
        <v>32.36</v>
      </c>
      <c r="BB38" s="9" t="n">
        <v>5.38</v>
      </c>
      <c r="BC38" s="9" t="n">
        <v>7.14</v>
      </c>
      <c r="BD38" s="9" t="n">
        <v>25.86</v>
      </c>
      <c r="BE38" s="9" t="n">
        <v>2.76</v>
      </c>
      <c r="BF38" s="9" t="n">
        <v>11.08</v>
      </c>
      <c r="BG38" s="9" t="n">
        <v>16.95</v>
      </c>
      <c r="BH38" s="9" t="n">
        <v>57.49</v>
      </c>
      <c r="BI38" s="9" t="n">
        <v>22.84</v>
      </c>
      <c r="BJ38" s="9" t="n">
        <v>39.73</v>
      </c>
      <c r="BK38" s="9" t="n">
        <v>2.16</v>
      </c>
      <c r="BL38" s="9" t="n">
        <v>1.27</v>
      </c>
      <c r="BM38" s="9" t="n">
        <v>9.859999999999999</v>
      </c>
      <c r="BN38" s="9" t="n">
        <v>3.62</v>
      </c>
      <c r="BO38" s="9" t="n">
        <v>36.71</v>
      </c>
      <c r="BP38" s="9" t="n">
        <v>58.49</v>
      </c>
      <c r="BQ38" s="9" t="n">
        <v>34.16</v>
      </c>
      <c r="BR38" s="9" t="n">
        <v>58.41</v>
      </c>
      <c r="BS38" s="9" t="n">
        <v>42.38</v>
      </c>
      <c r="BT38" s="9" t="n">
        <v>19.35</v>
      </c>
      <c r="BU38" s="9" t="n">
        <v>45.66</v>
      </c>
      <c r="BV38" s="9" t="n">
        <v>3.81</v>
      </c>
      <c r="BW38" s="9" t="n">
        <v>1.62</v>
      </c>
      <c r="BX38" s="9" t="n">
        <v>42.55</v>
      </c>
      <c r="BY38" s="9" t="n">
        <v>39.54</v>
      </c>
      <c r="BZ38" s="9" t="n">
        <v>14.62</v>
      </c>
      <c r="CA38" s="9" t="n">
        <v>14.51</v>
      </c>
      <c r="CB38" s="9" t="n">
        <v>2.08</v>
      </c>
      <c r="CC38" s="9" t="n">
        <v>0.05</v>
      </c>
      <c r="CD38" s="9" t="n">
        <v>138</v>
      </c>
      <c r="CE38" s="9" t="n">
        <v>95.76000000000001</v>
      </c>
      <c r="CF38" s="9" t="n">
        <v>69.39</v>
      </c>
      <c r="CG38" s="9" t="n">
        <v>52.97</v>
      </c>
      <c r="CH38" s="9" t="n">
        <v>49.73</v>
      </c>
      <c r="CI38" s="9" t="n">
        <v>93.88</v>
      </c>
      <c r="CJ38" s="9" t="n">
        <v>143.59</v>
      </c>
      <c r="CK38" s="9" t="n">
        <v>124.78</v>
      </c>
      <c r="CL38" s="9" t="n">
        <v>86.90000000000001</v>
      </c>
      <c r="CM38" s="9" t="n">
        <v>47.78</v>
      </c>
      <c r="CN38" s="9" t="n">
        <v>24.3</v>
      </c>
      <c r="CO38" s="9" t="n">
        <v>50.85</v>
      </c>
      <c r="CP38" s="9" t="n">
        <v>60.24</v>
      </c>
      <c r="CQ38" s="9" t="n">
        <v>38.65</v>
      </c>
      <c r="CR38" s="9" t="n">
        <v>64.15000000000001</v>
      </c>
      <c r="CS38" s="9" t="n">
        <v>69.3</v>
      </c>
      <c r="CT38" s="9" t="n">
        <v>52.38</v>
      </c>
      <c r="CU38" s="9" t="n">
        <v>75.59</v>
      </c>
      <c r="CV38" s="9" t="n">
        <v>2.86</v>
      </c>
      <c r="CW38" s="9" t="n">
        <v>0.95</v>
      </c>
      <c r="CX38" s="9" t="n">
        <v>33.02</v>
      </c>
      <c r="CY38" s="9" t="n">
        <v>23.92</v>
      </c>
      <c r="CZ38" s="9" t="n">
        <v>20.89</v>
      </c>
      <c r="DA38" s="9" t="n">
        <v>87.34</v>
      </c>
      <c r="DB38" s="9" t="n">
        <v>6.19</v>
      </c>
      <c r="DC38" s="9" t="n">
        <v>15.8</v>
      </c>
      <c r="DD38" s="9" t="n">
        <v>3.7</v>
      </c>
      <c r="DE38" s="9" t="n">
        <v>12.7</v>
      </c>
      <c r="DF38" s="9" t="n">
        <v>18.61</v>
      </c>
      <c r="DG38" s="9" t="n">
        <v>20.5</v>
      </c>
      <c r="DH38" s="9" t="n">
        <v>9.73</v>
      </c>
      <c r="DI38" s="9" t="n">
        <v>1.27</v>
      </c>
      <c r="DJ38" s="9" t="n">
        <v>1.12</v>
      </c>
      <c r="DK38" s="9" t="n">
        <v>9.859999999999999</v>
      </c>
      <c r="DL38" s="9" t="n">
        <v>3.54</v>
      </c>
      <c r="DM38" s="9" t="n">
        <v>35.89</v>
      </c>
      <c r="DN38" s="9" t="n">
        <v>393.24</v>
      </c>
      <c r="DO38" s="9" t="n">
        <v>318.11</v>
      </c>
      <c r="DP38" s="9" t="n">
        <v>80.89</v>
      </c>
      <c r="DQ38" s="9" t="n">
        <v>50.32</v>
      </c>
      <c r="DR38" s="9" t="n">
        <v>110.03</v>
      </c>
      <c r="DS38" s="9" t="n">
        <v>23</v>
      </c>
      <c r="DT38" s="9" t="n">
        <v>43.78</v>
      </c>
      <c r="DU38" s="9" t="n">
        <v>43.24</v>
      </c>
      <c r="DV38" s="9" t="n">
        <v>80</v>
      </c>
      <c r="DW38" s="9" t="n">
        <v>40.16</v>
      </c>
      <c r="DX38" s="9" t="n">
        <v>30.11</v>
      </c>
      <c r="DY38" s="9" t="n">
        <v>9.73</v>
      </c>
      <c r="DZ38" s="9" t="n">
        <v>191.22</v>
      </c>
      <c r="EA38" s="9" t="n">
        <v>90.97</v>
      </c>
      <c r="EB38" s="9" t="n">
        <v>47.58</v>
      </c>
      <c r="EC38" s="9" t="n">
        <v>4.14</v>
      </c>
      <c r="ED38" s="9" t="n">
        <v>1.03</v>
      </c>
      <c r="EE38" s="9" t="n">
        <v>24.84</v>
      </c>
      <c r="EF38" s="9" t="n">
        <v>22.11</v>
      </c>
      <c r="EG38" s="9" t="n">
        <v>5.49</v>
      </c>
      <c r="EH38" s="9" t="n">
        <v>24.82</v>
      </c>
      <c r="EI38" s="9" t="n">
        <v>1.35</v>
      </c>
      <c r="EJ38" s="9" t="n">
        <v>0.59</v>
      </c>
      <c r="EK38" s="9" t="n">
        <v>44</v>
      </c>
      <c r="EL38" s="9" t="n">
        <v>28.08</v>
      </c>
      <c r="EM38" s="9" t="n">
        <v>3.27</v>
      </c>
      <c r="EN38" s="9" t="n">
        <v>11.65</v>
      </c>
      <c r="EO38" s="9" t="n">
        <v>4.22</v>
      </c>
      <c r="EP38" s="9" t="n">
        <v>1.22</v>
      </c>
      <c r="EQ38" s="9" t="n">
        <v>28.85</v>
      </c>
      <c r="ER38" s="9" t="n">
        <v>2.27</v>
      </c>
      <c r="ES38" s="9" t="n">
        <v>0.59</v>
      </c>
      <c r="ET38" s="9" t="n">
        <v>26.19</v>
      </c>
      <c r="EU38" s="9" t="n">
        <v>0.24</v>
      </c>
      <c r="EV38" s="9" t="n">
        <v>0.19</v>
      </c>
      <c r="EW38" s="9" t="n">
        <v>77.78</v>
      </c>
      <c r="EX38" s="9" t="n">
        <v>11.7</v>
      </c>
      <c r="EY38" s="9" t="n">
        <v>3.92</v>
      </c>
      <c r="EZ38" s="9" t="n">
        <v>33.49</v>
      </c>
      <c r="FA38" s="9" t="n">
        <v>3.92</v>
      </c>
      <c r="FB38" s="9" t="n">
        <v>5.14</v>
      </c>
      <c r="FC38" s="9" t="n">
        <v>18.41</v>
      </c>
      <c r="FD38" s="9" t="n">
        <v>2.92</v>
      </c>
      <c r="FE38" s="9" t="n">
        <v>7.32</v>
      </c>
      <c r="FF38" s="9" t="n">
        <v>13.14</v>
      </c>
      <c r="FG38" s="9" t="n">
        <v>58.51</v>
      </c>
      <c r="FH38" s="9" t="n">
        <v>24.32</v>
      </c>
      <c r="FI38" s="9" t="n">
        <v>41.57</v>
      </c>
      <c r="FJ38" s="9" t="n">
        <v>2.27</v>
      </c>
      <c r="FK38" s="9" t="n">
        <v>1.27</v>
      </c>
      <c r="FL38" s="9" t="n">
        <v>12.49</v>
      </c>
      <c r="FM38" s="9" t="n">
        <v>4.05</v>
      </c>
      <c r="FN38" s="9" t="n">
        <v>32.47</v>
      </c>
      <c r="FO38" s="9" t="n">
        <v>57.46</v>
      </c>
      <c r="FP38" s="9" t="n">
        <v>34.62</v>
      </c>
      <c r="FQ38" s="9" t="n">
        <v>60.25</v>
      </c>
      <c r="FR38" s="9" t="n">
        <v>42.38</v>
      </c>
      <c r="FS38" s="9" t="n">
        <v>19.05</v>
      </c>
      <c r="FT38" s="9" t="n">
        <v>44.96</v>
      </c>
      <c r="FU38" s="9" t="n">
        <v>3.65</v>
      </c>
      <c r="FV38" s="9" t="n">
        <v>1.46</v>
      </c>
      <c r="FW38" s="9" t="n">
        <v>40</v>
      </c>
      <c r="FX38" s="9" t="n">
        <v>42.05</v>
      </c>
      <c r="FY38" s="9" t="n">
        <v>18.35</v>
      </c>
      <c r="FZ38" s="9" t="n">
        <v>12.78</v>
      </c>
      <c r="GA38" s="9" t="n">
        <v>2.38</v>
      </c>
      <c r="GB38" s="9" t="n">
        <v>0.08</v>
      </c>
      <c r="GC38" s="9" t="n">
        <v>135.22</v>
      </c>
      <c r="GD38" s="9" t="n">
        <v>90.08</v>
      </c>
      <c r="GE38" s="9" t="n">
        <v>66.62</v>
      </c>
      <c r="GF38" s="9" t="n">
        <v>62.3</v>
      </c>
      <c r="GG38" s="9" t="n">
        <v>59.27</v>
      </c>
      <c r="GH38" s="9" t="n">
        <v>95.14</v>
      </c>
      <c r="GI38" s="9" t="n">
        <v>144.86</v>
      </c>
      <c r="GJ38" s="9" t="n">
        <v>128.11</v>
      </c>
      <c r="GK38" s="9" t="n">
        <v>88.43000000000001</v>
      </c>
      <c r="GL38" s="9" t="n">
        <v>56.41</v>
      </c>
      <c r="GM38" s="9" t="n">
        <v>28.78</v>
      </c>
      <c r="GN38" s="9" t="n">
        <v>51.03</v>
      </c>
      <c r="GO38" s="9" t="n">
        <v>49.32</v>
      </c>
      <c r="GP38" s="9" t="n">
        <v>29.95</v>
      </c>
      <c r="GQ38" s="9" t="n">
        <v>60.71</v>
      </c>
      <c r="GR38" s="9" t="n">
        <v>71.23999999999999</v>
      </c>
      <c r="GS38" s="9" t="n">
        <v>46.24</v>
      </c>
      <c r="GT38" s="9" t="n">
        <v>64.91</v>
      </c>
      <c r="GU38" s="9" t="n">
        <v>2.24</v>
      </c>
      <c r="GV38" s="9" t="n">
        <v>0.84</v>
      </c>
      <c r="GW38" s="9" t="n">
        <v>37.35</v>
      </c>
      <c r="GX38" s="9" t="n">
        <v>20.76</v>
      </c>
      <c r="GY38" s="9" t="n">
        <v>18.62</v>
      </c>
      <c r="GZ38" s="9" t="n">
        <v>89.70999999999999</v>
      </c>
      <c r="HA38" s="9" t="n">
        <v>9.84</v>
      </c>
      <c r="HB38" s="9" t="n">
        <v>15.69</v>
      </c>
      <c r="HC38" s="9" t="n">
        <v>3.74</v>
      </c>
      <c r="HD38" s="9" t="n">
        <v>14.83</v>
      </c>
      <c r="HE38" s="9" t="n">
        <v>18.78</v>
      </c>
      <c r="HF38" s="9" t="n">
        <v>21.01</v>
      </c>
      <c r="HG38" s="9" t="n">
        <v>11.99</v>
      </c>
    </row>
    <row r="39">
      <c r="A39" s="12" t="n">
        <v>2023</v>
      </c>
      <c r="B39" s="12" t="n">
        <v>49</v>
      </c>
      <c r="C39" s="5">
        <f>(B39-AVERAGE($B$2:$B$100))/_xlfn.STDEV.P($B$2:$B$100)</f>
        <v/>
      </c>
      <c r="D39" s="12" t="n">
        <v>6</v>
      </c>
      <c r="E39" s="6">
        <f>-D39</f>
        <v/>
      </c>
      <c r="F39" s="7">
        <f>(E39-AVERAGE($E$2:$E$100))/_xlfn.STDEV.P($E$2:$E$100)</f>
        <v/>
      </c>
      <c r="G39" s="7">
        <f>sum(0.5*C39)+(0.5*F39)</f>
        <v/>
      </c>
      <c r="H39" s="12" t="inlineStr">
        <is>
          <t>East</t>
        </is>
      </c>
      <c r="I39" s="8" t="inlineStr">
        <is>
          <t>Indy Eleven</t>
        </is>
      </c>
      <c r="J39" s="9" t="n">
        <v>1.46</v>
      </c>
      <c r="K39" s="9" t="n">
        <v>1.36</v>
      </c>
      <c r="L39" s="9" t="n">
        <v>11.54</v>
      </c>
      <c r="M39" s="9" t="n">
        <v>4.37</v>
      </c>
      <c r="N39" s="9" t="n">
        <v>37.87</v>
      </c>
      <c r="O39" s="9" t="n">
        <v>349.46</v>
      </c>
      <c r="P39" s="9" t="n">
        <v>272.29</v>
      </c>
      <c r="Q39" s="9" t="n">
        <v>77.92</v>
      </c>
      <c r="R39" s="9" t="n">
        <v>45.37</v>
      </c>
      <c r="S39" s="9" t="n">
        <v>108.14</v>
      </c>
      <c r="T39" s="9" t="n">
        <v>18.06</v>
      </c>
      <c r="U39" s="9" t="n">
        <v>31.86</v>
      </c>
      <c r="V39" s="9" t="n">
        <v>58.23</v>
      </c>
      <c r="W39" s="9" t="n">
        <v>82.63</v>
      </c>
      <c r="X39" s="9" t="n">
        <v>34.86</v>
      </c>
      <c r="Y39" s="9" t="n">
        <v>33.06</v>
      </c>
      <c r="Z39" s="9" t="n">
        <v>14.71</v>
      </c>
      <c r="AA39" s="9" t="n">
        <v>193.29</v>
      </c>
      <c r="AB39" s="9" t="n">
        <v>88.8</v>
      </c>
      <c r="AC39" s="9" t="n">
        <v>45.94</v>
      </c>
      <c r="AD39" s="9" t="n">
        <v>4.77</v>
      </c>
      <c r="AE39" s="9" t="n">
        <v>1.63</v>
      </c>
      <c r="AF39" s="9" t="n">
        <v>34.13</v>
      </c>
      <c r="AG39" s="9" t="n">
        <v>30.23</v>
      </c>
      <c r="AH39" s="9" t="n">
        <v>6.66</v>
      </c>
      <c r="AI39" s="9" t="n">
        <v>22.02</v>
      </c>
      <c r="AJ39" s="9" t="n">
        <v>1.23</v>
      </c>
      <c r="AK39" s="9" t="n">
        <v>0.57</v>
      </c>
      <c r="AL39" s="9" t="n">
        <v>46.51</v>
      </c>
      <c r="AM39" s="9" t="n">
        <v>25.37</v>
      </c>
      <c r="AN39" s="9" t="n">
        <v>3.51</v>
      </c>
      <c r="AO39" s="9" t="n">
        <v>13.85</v>
      </c>
      <c r="AP39" s="9" t="n">
        <v>5.23</v>
      </c>
      <c r="AQ39" s="9" t="n">
        <v>1.2</v>
      </c>
      <c r="AR39" s="9" t="n">
        <v>22.95</v>
      </c>
      <c r="AS39" s="9" t="n">
        <v>2.23</v>
      </c>
      <c r="AT39" s="9" t="n">
        <v>0.66</v>
      </c>
      <c r="AU39" s="9" t="n">
        <v>29.49</v>
      </c>
      <c r="AV39" s="9" t="n">
        <v>0.2</v>
      </c>
      <c r="AW39" s="9" t="n">
        <v>0.2</v>
      </c>
      <c r="AX39" s="9" t="n">
        <v>100</v>
      </c>
      <c r="AY39" s="9" t="n">
        <v>19.23</v>
      </c>
      <c r="AZ39" s="9" t="n">
        <v>5.34</v>
      </c>
      <c r="BA39" s="9" t="n">
        <v>27.79</v>
      </c>
      <c r="BB39" s="9" t="n">
        <v>5.2</v>
      </c>
      <c r="BC39" s="9" t="n">
        <v>6.86</v>
      </c>
      <c r="BD39" s="9" t="n">
        <v>25.2</v>
      </c>
      <c r="BE39" s="9" t="n">
        <v>2.57</v>
      </c>
      <c r="BF39" s="9" t="n">
        <v>11.8</v>
      </c>
      <c r="BG39" s="9" t="n">
        <v>16.97</v>
      </c>
      <c r="BH39" s="9" t="n">
        <v>55.89</v>
      </c>
      <c r="BI39" s="9" t="n">
        <v>20.77</v>
      </c>
      <c r="BJ39" s="9" t="n">
        <v>37.17</v>
      </c>
      <c r="BK39" s="9" t="n">
        <v>1.83</v>
      </c>
      <c r="BL39" s="9" t="n">
        <v>1.51</v>
      </c>
      <c r="BM39" s="9" t="n">
        <v>12.4</v>
      </c>
      <c r="BN39" s="9" t="n">
        <v>4.51</v>
      </c>
      <c r="BO39" s="9" t="n">
        <v>36.41</v>
      </c>
      <c r="BP39" s="9" t="n">
        <v>64.45999999999999</v>
      </c>
      <c r="BQ39" s="9" t="n">
        <v>37.89</v>
      </c>
      <c r="BR39" s="9" t="n">
        <v>58.78</v>
      </c>
      <c r="BS39" s="9" t="n">
        <v>41.51</v>
      </c>
      <c r="BT39" s="9" t="n">
        <v>18.26</v>
      </c>
      <c r="BU39" s="9" t="n">
        <v>43.98</v>
      </c>
      <c r="BV39" s="9" t="n">
        <v>2.89</v>
      </c>
      <c r="BW39" s="9" t="n">
        <v>1.51</v>
      </c>
      <c r="BX39" s="9" t="n">
        <v>52.48</v>
      </c>
      <c r="BY39" s="9" t="n">
        <v>37.6</v>
      </c>
      <c r="BZ39" s="9" t="n">
        <v>15.91</v>
      </c>
      <c r="CA39" s="9" t="n">
        <v>14.89</v>
      </c>
      <c r="CB39" s="9" t="n">
        <v>2.63</v>
      </c>
      <c r="CC39" s="9" t="n">
        <v>0.06</v>
      </c>
      <c r="CD39" s="9" t="n">
        <v>132.23</v>
      </c>
      <c r="CE39" s="9" t="n">
        <v>91.31</v>
      </c>
      <c r="CF39" s="9" t="n">
        <v>69.06</v>
      </c>
      <c r="CG39" s="9" t="n">
        <v>48.49</v>
      </c>
      <c r="CH39" s="9" t="n">
        <v>44.74</v>
      </c>
      <c r="CI39" s="9" t="n">
        <v>92.28</v>
      </c>
      <c r="CJ39" s="9" t="n">
        <v>117.4</v>
      </c>
      <c r="CK39" s="9" t="n">
        <v>97.14</v>
      </c>
      <c r="CL39" s="9" t="n">
        <v>82.75</v>
      </c>
      <c r="CM39" s="9" t="n">
        <v>47.51</v>
      </c>
      <c r="CN39" s="9" t="n">
        <v>24.74</v>
      </c>
      <c r="CO39" s="9" t="n">
        <v>52.07</v>
      </c>
      <c r="CP39" s="9" t="n">
        <v>58</v>
      </c>
      <c r="CQ39" s="9" t="n">
        <v>37.09</v>
      </c>
      <c r="CR39" s="9" t="n">
        <v>63.94</v>
      </c>
      <c r="CS39" s="9" t="n">
        <v>68.40000000000001</v>
      </c>
      <c r="CT39" s="9" t="n">
        <v>51.43</v>
      </c>
      <c r="CU39" s="9" t="n">
        <v>75.19</v>
      </c>
      <c r="CV39" s="9" t="n">
        <v>1.37</v>
      </c>
      <c r="CW39" s="9" t="n">
        <v>0.49</v>
      </c>
      <c r="CX39" s="9" t="n">
        <v>35.42</v>
      </c>
      <c r="CY39" s="9" t="n">
        <v>22.11</v>
      </c>
      <c r="CZ39" s="9" t="n">
        <v>18.23</v>
      </c>
      <c r="DA39" s="9" t="n">
        <v>82.43000000000001</v>
      </c>
      <c r="DB39" s="9" t="n">
        <v>8.43</v>
      </c>
      <c r="DC39" s="9" t="n">
        <v>16.12</v>
      </c>
      <c r="DD39" s="9" t="n">
        <v>3.32</v>
      </c>
      <c r="DE39" s="9" t="n">
        <v>14.21</v>
      </c>
      <c r="DF39" s="9" t="n">
        <v>18.4</v>
      </c>
      <c r="DG39" s="9" t="n">
        <v>20.5</v>
      </c>
      <c r="DH39" s="9" t="n">
        <v>10.18</v>
      </c>
      <c r="DI39" s="9" t="n">
        <v>1.51</v>
      </c>
      <c r="DJ39" s="9" t="n">
        <v>1.39</v>
      </c>
      <c r="DK39" s="9" t="n">
        <v>12.4</v>
      </c>
      <c r="DL39" s="9" t="n">
        <v>4.26</v>
      </c>
      <c r="DM39" s="9" t="n">
        <v>34.33</v>
      </c>
      <c r="DN39" s="9" t="n">
        <v>405.03</v>
      </c>
      <c r="DO39" s="9" t="n">
        <v>330.17</v>
      </c>
      <c r="DP39" s="9" t="n">
        <v>81.52</v>
      </c>
      <c r="DQ39" s="9" t="n">
        <v>54.63</v>
      </c>
      <c r="DR39" s="9" t="n">
        <v>111.8</v>
      </c>
      <c r="DS39" s="9" t="n">
        <v>24.4</v>
      </c>
      <c r="DT39" s="9" t="n">
        <v>39.69</v>
      </c>
      <c r="DU39" s="9" t="n">
        <v>47.71</v>
      </c>
      <c r="DV39" s="9" t="n">
        <v>82.09</v>
      </c>
      <c r="DW39" s="9" t="n">
        <v>43.23</v>
      </c>
      <c r="DX39" s="9" t="n">
        <v>28.91</v>
      </c>
      <c r="DY39" s="9" t="n">
        <v>9.94</v>
      </c>
      <c r="DZ39" s="9" t="n">
        <v>193.29</v>
      </c>
      <c r="EA39" s="9" t="n">
        <v>95.89</v>
      </c>
      <c r="EB39" s="9" t="n">
        <v>49.61</v>
      </c>
      <c r="EC39" s="9" t="n">
        <v>5.54</v>
      </c>
      <c r="ED39" s="9" t="n">
        <v>1.31</v>
      </c>
      <c r="EE39" s="9" t="n">
        <v>23.71</v>
      </c>
      <c r="EF39" s="9" t="n">
        <v>27.23</v>
      </c>
      <c r="EG39" s="9" t="n">
        <v>7.66</v>
      </c>
      <c r="EH39" s="9" t="n">
        <v>28.12</v>
      </c>
      <c r="EI39" s="9" t="n">
        <v>0.9399999999999999</v>
      </c>
      <c r="EJ39" s="9" t="n">
        <v>0.51</v>
      </c>
      <c r="EK39" s="9" t="n">
        <v>54.55</v>
      </c>
      <c r="EL39" s="9" t="n">
        <v>28.8</v>
      </c>
      <c r="EM39" s="9" t="n">
        <v>3.69</v>
      </c>
      <c r="EN39" s="9" t="n">
        <v>12.8</v>
      </c>
      <c r="EO39" s="9" t="n">
        <v>5.2</v>
      </c>
      <c r="EP39" s="9" t="n">
        <v>1.51</v>
      </c>
      <c r="EQ39" s="9" t="n">
        <v>29.12</v>
      </c>
      <c r="ER39" s="9" t="n">
        <v>2.29</v>
      </c>
      <c r="ES39" s="9" t="n">
        <v>0.57</v>
      </c>
      <c r="ET39" s="9" t="n">
        <v>25</v>
      </c>
      <c r="EU39" s="9" t="n">
        <v>0.09</v>
      </c>
      <c r="EV39" s="9" t="n">
        <v>0.06</v>
      </c>
      <c r="EW39" s="9" t="n">
        <v>66.67</v>
      </c>
      <c r="EX39" s="9" t="n">
        <v>14.8</v>
      </c>
      <c r="EY39" s="9" t="n">
        <v>4.8</v>
      </c>
      <c r="EZ39" s="9" t="n">
        <v>32.43</v>
      </c>
      <c r="FA39" s="9" t="n">
        <v>4.86</v>
      </c>
      <c r="FB39" s="9" t="n">
        <v>7.49</v>
      </c>
      <c r="FC39" s="9" t="n">
        <v>25.89</v>
      </c>
      <c r="FD39" s="9" t="n">
        <v>4.11</v>
      </c>
      <c r="FE39" s="9" t="n">
        <v>9.26</v>
      </c>
      <c r="FF39" s="9" t="n">
        <v>17.6</v>
      </c>
      <c r="FG39" s="9" t="n">
        <v>64.45999999999999</v>
      </c>
      <c r="FH39" s="9" t="n">
        <v>26.57</v>
      </c>
      <c r="FI39" s="9" t="n">
        <v>41.22</v>
      </c>
      <c r="FJ39" s="9" t="n">
        <v>1.71</v>
      </c>
      <c r="FK39" s="9" t="n">
        <v>1.46</v>
      </c>
      <c r="FL39" s="9" t="n">
        <v>11.54</v>
      </c>
      <c r="FM39" s="9" t="n">
        <v>4.51</v>
      </c>
      <c r="FN39" s="9" t="n">
        <v>39.11</v>
      </c>
      <c r="FO39" s="9" t="n">
        <v>55.89</v>
      </c>
      <c r="FP39" s="9" t="n">
        <v>35.11</v>
      </c>
      <c r="FQ39" s="9" t="n">
        <v>62.83</v>
      </c>
      <c r="FR39" s="9" t="n">
        <v>41.51</v>
      </c>
      <c r="FS39" s="9" t="n">
        <v>19.89</v>
      </c>
      <c r="FT39" s="9" t="n">
        <v>47.9</v>
      </c>
      <c r="FU39" s="9" t="n">
        <v>1.86</v>
      </c>
      <c r="FV39" s="9" t="n">
        <v>0.6</v>
      </c>
      <c r="FW39" s="9" t="n">
        <v>32.31</v>
      </c>
      <c r="FX39" s="9" t="n">
        <v>44.11</v>
      </c>
      <c r="FY39" s="9" t="n">
        <v>17.74</v>
      </c>
      <c r="FZ39" s="9" t="n">
        <v>12.4</v>
      </c>
      <c r="GA39" s="9" t="n">
        <v>2.31</v>
      </c>
      <c r="GB39" s="9" t="n">
        <v>0.2</v>
      </c>
      <c r="GC39" s="9" t="n">
        <v>143.49</v>
      </c>
      <c r="GD39" s="9" t="n">
        <v>102.54</v>
      </c>
      <c r="GE39" s="9" t="n">
        <v>71.47</v>
      </c>
      <c r="GF39" s="9" t="n">
        <v>62.83</v>
      </c>
      <c r="GG39" s="9" t="n">
        <v>59.17</v>
      </c>
      <c r="GH39" s="9" t="n">
        <v>94.18000000000001</v>
      </c>
      <c r="GI39" s="9" t="n">
        <v>141.97</v>
      </c>
      <c r="GJ39" s="9" t="n">
        <v>122.83</v>
      </c>
      <c r="GK39" s="9" t="n">
        <v>86.52</v>
      </c>
      <c r="GL39" s="9" t="n">
        <v>50.51</v>
      </c>
      <c r="GM39" s="9" t="n">
        <v>27.2</v>
      </c>
      <c r="GN39" s="9" t="n">
        <v>53.85</v>
      </c>
      <c r="GO39" s="9" t="n">
        <v>51.63</v>
      </c>
      <c r="GP39" s="9" t="n">
        <v>34.69</v>
      </c>
      <c r="GQ39" s="9" t="n">
        <v>67.18000000000001</v>
      </c>
      <c r="GR39" s="9" t="n">
        <v>75.73999999999999</v>
      </c>
      <c r="GS39" s="9" t="n">
        <v>51.4</v>
      </c>
      <c r="GT39" s="9" t="n">
        <v>67.86</v>
      </c>
      <c r="GU39" s="9" t="n">
        <v>1.91</v>
      </c>
      <c r="GV39" s="9" t="n">
        <v>0.91</v>
      </c>
      <c r="GW39" s="9" t="n">
        <v>47.76</v>
      </c>
      <c r="GX39" s="9" t="n">
        <v>19.91</v>
      </c>
      <c r="GY39" s="9" t="n">
        <v>17.77</v>
      </c>
      <c r="GZ39" s="9" t="n">
        <v>89.23999999999999</v>
      </c>
      <c r="HA39" s="9" t="n">
        <v>8.4</v>
      </c>
      <c r="HB39" s="9" t="n">
        <v>15.48</v>
      </c>
      <c r="HC39" s="9" t="n">
        <v>3.79</v>
      </c>
      <c r="HD39" s="9" t="n">
        <v>13.11</v>
      </c>
      <c r="HE39" s="9" t="n">
        <v>18.96</v>
      </c>
      <c r="HF39" s="9" t="n">
        <v>20.09</v>
      </c>
      <c r="HG39" s="9" t="n">
        <v>10.51</v>
      </c>
    </row>
    <row r="40">
      <c r="A40" s="12" t="n">
        <v>2023</v>
      </c>
      <c r="B40" s="12" t="n">
        <v>48</v>
      </c>
      <c r="C40" s="5">
        <f>(B40-AVERAGE($B$2:$B$100))/_xlfn.STDEV.P($B$2:$B$100)</f>
        <v/>
      </c>
      <c r="D40" s="12" t="n">
        <v>6</v>
      </c>
      <c r="E40" s="6">
        <f>-D40</f>
        <v/>
      </c>
      <c r="F40" s="7">
        <f>(E40-AVERAGE($E$2:$E$100))/_xlfn.STDEV.P($E$2:$E$100)</f>
        <v/>
      </c>
      <c r="G40" s="7">
        <f>sum(0.5*C40)+(0.5*F40)</f>
        <v/>
      </c>
      <c r="H40" s="12" t="inlineStr">
        <is>
          <t>West</t>
        </is>
      </c>
      <c r="I40" s="8" t="inlineStr">
        <is>
          <t>Phoenix Rising</t>
        </is>
      </c>
      <c r="J40" s="9" t="n">
        <v>1.66</v>
      </c>
      <c r="K40" s="9" t="n">
        <v>1.37</v>
      </c>
      <c r="L40" s="9" t="n">
        <v>10.76</v>
      </c>
      <c r="M40" s="9" t="n">
        <v>3.58</v>
      </c>
      <c r="N40" s="9" t="n">
        <v>33.25</v>
      </c>
      <c r="O40" s="9" t="n">
        <v>467.18</v>
      </c>
      <c r="P40" s="9" t="n">
        <v>401.11</v>
      </c>
      <c r="Q40" s="9" t="n">
        <v>85.86</v>
      </c>
      <c r="R40" s="9" t="n">
        <v>55.5</v>
      </c>
      <c r="S40" s="9" t="n">
        <v>91.26000000000001</v>
      </c>
      <c r="T40" s="9" t="n">
        <v>17.32</v>
      </c>
      <c r="U40" s="9" t="n">
        <v>31.61</v>
      </c>
      <c r="V40" s="9" t="n">
        <v>42.34</v>
      </c>
      <c r="W40" s="9" t="n">
        <v>73.89</v>
      </c>
      <c r="X40" s="9" t="n">
        <v>35.58</v>
      </c>
      <c r="Y40" s="9" t="n">
        <v>27.97</v>
      </c>
      <c r="Z40" s="9" t="n">
        <v>10.34</v>
      </c>
      <c r="AA40" s="9" t="n">
        <v>187.89</v>
      </c>
      <c r="AB40" s="9" t="n">
        <v>91.55</v>
      </c>
      <c r="AC40" s="9" t="n">
        <v>48.73</v>
      </c>
      <c r="AD40" s="9" t="n">
        <v>4.24</v>
      </c>
      <c r="AE40" s="9" t="n">
        <v>0.82</v>
      </c>
      <c r="AF40" s="9" t="n">
        <v>19.25</v>
      </c>
      <c r="AG40" s="9" t="n">
        <v>26.95</v>
      </c>
      <c r="AH40" s="9" t="n">
        <v>6.29</v>
      </c>
      <c r="AI40" s="9" t="n">
        <v>23.34</v>
      </c>
      <c r="AJ40" s="9" t="n">
        <v>1.76</v>
      </c>
      <c r="AK40" s="9" t="n">
        <v>0.82</v>
      </c>
      <c r="AL40" s="9" t="n">
        <v>46.27</v>
      </c>
      <c r="AM40" s="9" t="n">
        <v>25.03</v>
      </c>
      <c r="AN40" s="9" t="n">
        <v>3.18</v>
      </c>
      <c r="AO40" s="9" t="n">
        <v>12.72</v>
      </c>
      <c r="AP40" s="9" t="n">
        <v>4.45</v>
      </c>
      <c r="AQ40" s="9" t="n">
        <v>1.29</v>
      </c>
      <c r="AR40" s="9" t="n">
        <v>28.99</v>
      </c>
      <c r="AS40" s="9" t="n">
        <v>2.29</v>
      </c>
      <c r="AT40" s="9" t="n">
        <v>0.42</v>
      </c>
      <c r="AU40" s="9" t="n">
        <v>18.39</v>
      </c>
      <c r="AV40" s="9" t="n">
        <v>0.13</v>
      </c>
      <c r="AW40" s="9" t="n">
        <v>0.08</v>
      </c>
      <c r="AX40" s="9" t="n">
        <v>60</v>
      </c>
      <c r="AY40" s="9" t="n">
        <v>13.92</v>
      </c>
      <c r="AZ40" s="9" t="n">
        <v>4.39</v>
      </c>
      <c r="BA40" s="9" t="n">
        <v>31.57</v>
      </c>
      <c r="BB40" s="9" t="n">
        <v>4.39</v>
      </c>
      <c r="BC40" s="9" t="n">
        <v>5.95</v>
      </c>
      <c r="BD40" s="9" t="n">
        <v>24.16</v>
      </c>
      <c r="BE40" s="9" t="n">
        <v>4.32</v>
      </c>
      <c r="BF40" s="9" t="n">
        <v>8.970000000000001</v>
      </c>
      <c r="BG40" s="9" t="n">
        <v>15.89</v>
      </c>
      <c r="BH40" s="9" t="n">
        <v>69.08</v>
      </c>
      <c r="BI40" s="9" t="n">
        <v>29.21</v>
      </c>
      <c r="BJ40" s="9" t="n">
        <v>42.29</v>
      </c>
      <c r="BK40" s="9" t="n">
        <v>2.16</v>
      </c>
      <c r="BL40" s="9" t="n">
        <v>1.21</v>
      </c>
      <c r="BM40" s="9" t="n">
        <v>11.66</v>
      </c>
      <c r="BN40" s="9" t="n">
        <v>4.42</v>
      </c>
      <c r="BO40" s="9" t="n">
        <v>37.92</v>
      </c>
      <c r="BP40" s="9" t="n">
        <v>62.03</v>
      </c>
      <c r="BQ40" s="9" t="n">
        <v>36.84</v>
      </c>
      <c r="BR40" s="9" t="n">
        <v>59.4</v>
      </c>
      <c r="BS40" s="9" t="n">
        <v>27.89</v>
      </c>
      <c r="BT40" s="9" t="n">
        <v>13.08</v>
      </c>
      <c r="BU40" s="9" t="n">
        <v>46.89</v>
      </c>
      <c r="BV40" s="9" t="n">
        <v>2.95</v>
      </c>
      <c r="BW40" s="9" t="n">
        <v>1.32</v>
      </c>
      <c r="BX40" s="9" t="n">
        <v>44.64</v>
      </c>
      <c r="BY40" s="9" t="n">
        <v>35.97</v>
      </c>
      <c r="BZ40" s="9" t="n">
        <v>14.16</v>
      </c>
      <c r="CA40" s="9" t="n">
        <v>12.32</v>
      </c>
      <c r="CB40" s="9" t="n">
        <v>2.68</v>
      </c>
      <c r="CC40" s="9" t="n">
        <v>0.08</v>
      </c>
      <c r="CD40" s="9" t="n">
        <v>138.82</v>
      </c>
      <c r="CE40" s="9" t="n">
        <v>105.11</v>
      </c>
      <c r="CF40" s="9" t="n">
        <v>75.72</v>
      </c>
      <c r="CG40" s="9" t="n">
        <v>69.39</v>
      </c>
      <c r="CH40" s="9" t="n">
        <v>65.63</v>
      </c>
      <c r="CI40" s="9" t="n">
        <v>94.58</v>
      </c>
      <c r="CJ40" s="9" t="n">
        <v>195.11</v>
      </c>
      <c r="CK40" s="9" t="n">
        <v>176.39</v>
      </c>
      <c r="CL40" s="9" t="n">
        <v>90.41</v>
      </c>
      <c r="CM40" s="9" t="n">
        <v>44.5</v>
      </c>
      <c r="CN40" s="9" t="n">
        <v>24.97</v>
      </c>
      <c r="CO40" s="9" t="n">
        <v>56.12</v>
      </c>
      <c r="CP40" s="9" t="n">
        <v>51</v>
      </c>
      <c r="CQ40" s="9" t="n">
        <v>35.18</v>
      </c>
      <c r="CR40" s="9" t="n">
        <v>68.98999999999999</v>
      </c>
      <c r="CS40" s="9" t="n">
        <v>66.63</v>
      </c>
      <c r="CT40" s="9" t="n">
        <v>47.55</v>
      </c>
      <c r="CU40" s="9" t="n">
        <v>71.37</v>
      </c>
      <c r="CV40" s="9" t="n">
        <v>3.71</v>
      </c>
      <c r="CW40" s="9" t="n">
        <v>1.5</v>
      </c>
      <c r="CX40" s="9" t="n">
        <v>40.43</v>
      </c>
      <c r="CY40" s="9" t="n">
        <v>17.29</v>
      </c>
      <c r="CZ40" s="9" t="n">
        <v>16.45</v>
      </c>
      <c r="DA40" s="9" t="n">
        <v>95.13</v>
      </c>
      <c r="DB40" s="9" t="n">
        <v>8.609999999999999</v>
      </c>
      <c r="DC40" s="9" t="n">
        <v>15.68</v>
      </c>
      <c r="DD40" s="9" t="n">
        <v>4.66</v>
      </c>
      <c r="DE40" s="9" t="n">
        <v>10.06</v>
      </c>
      <c r="DF40" s="9" t="n">
        <v>18.25</v>
      </c>
      <c r="DG40" s="9" t="n">
        <v>19.92</v>
      </c>
      <c r="DH40" s="9" t="n">
        <v>11.3</v>
      </c>
      <c r="DI40" s="9" t="n">
        <v>1.24</v>
      </c>
      <c r="DJ40" s="9" t="n">
        <v>1.26</v>
      </c>
      <c r="DK40" s="9" t="n">
        <v>11.66</v>
      </c>
      <c r="DL40" s="9" t="n">
        <v>4.24</v>
      </c>
      <c r="DM40" s="9" t="n">
        <v>36.34</v>
      </c>
      <c r="DN40" s="9" t="n">
        <v>378.61</v>
      </c>
      <c r="DO40" s="9" t="n">
        <v>316.34</v>
      </c>
      <c r="DP40" s="9" t="n">
        <v>83.55</v>
      </c>
      <c r="DQ40" s="9" t="n">
        <v>44.5</v>
      </c>
      <c r="DR40" s="9" t="n">
        <v>91.20999999999999</v>
      </c>
      <c r="DS40" s="9" t="n">
        <v>16</v>
      </c>
      <c r="DT40" s="9" t="n">
        <v>30.92</v>
      </c>
      <c r="DU40" s="9" t="n">
        <v>44.29</v>
      </c>
      <c r="DV40" s="9" t="n">
        <v>71.89</v>
      </c>
      <c r="DW40" s="9" t="n">
        <v>32.71</v>
      </c>
      <c r="DX40" s="9" t="n">
        <v>27.61</v>
      </c>
      <c r="DY40" s="9" t="n">
        <v>11.58</v>
      </c>
      <c r="DZ40" s="9" t="n">
        <v>187.89</v>
      </c>
      <c r="EA40" s="9" t="n">
        <v>88.29000000000001</v>
      </c>
      <c r="EB40" s="9" t="n">
        <v>46.99</v>
      </c>
      <c r="EC40" s="9" t="n">
        <v>5.37</v>
      </c>
      <c r="ED40" s="9" t="n">
        <v>1.5</v>
      </c>
      <c r="EE40" s="9" t="n">
        <v>27.94</v>
      </c>
      <c r="EF40" s="9" t="n">
        <v>27.89</v>
      </c>
      <c r="EG40" s="9" t="n">
        <v>6.68</v>
      </c>
      <c r="EH40" s="9" t="n">
        <v>23.96</v>
      </c>
      <c r="EI40" s="9" t="n">
        <v>1.68</v>
      </c>
      <c r="EJ40" s="9" t="n">
        <v>0.82</v>
      </c>
      <c r="EK40" s="9" t="n">
        <v>48.44</v>
      </c>
      <c r="EL40" s="9" t="n">
        <v>25.16</v>
      </c>
      <c r="EM40" s="9" t="n">
        <v>3.29</v>
      </c>
      <c r="EN40" s="9" t="n">
        <v>13.08</v>
      </c>
      <c r="EO40" s="9" t="n">
        <v>4.18</v>
      </c>
      <c r="EP40" s="9" t="n">
        <v>1.39</v>
      </c>
      <c r="EQ40" s="9" t="n">
        <v>33.33</v>
      </c>
      <c r="ER40" s="9" t="n">
        <v>2.66</v>
      </c>
      <c r="ES40" s="9" t="n">
        <v>0.76</v>
      </c>
      <c r="ET40" s="9" t="n">
        <v>28.71</v>
      </c>
      <c r="EU40" s="9" t="n">
        <v>0.18</v>
      </c>
      <c r="EV40" s="9" t="n">
        <v>0.16</v>
      </c>
      <c r="EW40" s="9" t="n">
        <v>85.70999999999999</v>
      </c>
      <c r="EX40" s="9" t="n">
        <v>13.26</v>
      </c>
      <c r="EY40" s="9" t="n">
        <v>3.97</v>
      </c>
      <c r="EZ40" s="9" t="n">
        <v>29.96</v>
      </c>
      <c r="FA40" s="9" t="n">
        <v>3.84</v>
      </c>
      <c r="FB40" s="9" t="n">
        <v>6.5</v>
      </c>
      <c r="FC40" s="9" t="n">
        <v>21.95</v>
      </c>
      <c r="FD40" s="9" t="n">
        <v>3.34</v>
      </c>
      <c r="FE40" s="9" t="n">
        <v>8.029999999999999</v>
      </c>
      <c r="FF40" s="9" t="n">
        <v>14.76</v>
      </c>
      <c r="FG40" s="9" t="n">
        <v>62.03</v>
      </c>
      <c r="FH40" s="9" t="n">
        <v>25.18</v>
      </c>
      <c r="FI40" s="9" t="n">
        <v>40.6</v>
      </c>
      <c r="FJ40" s="9" t="n">
        <v>1.5</v>
      </c>
      <c r="FK40" s="9" t="n">
        <v>1.63</v>
      </c>
      <c r="FL40" s="9" t="n">
        <v>10.76</v>
      </c>
      <c r="FM40" s="9" t="n">
        <v>3.74</v>
      </c>
      <c r="FN40" s="9" t="n">
        <v>34.72</v>
      </c>
      <c r="FO40" s="9" t="n">
        <v>69.08</v>
      </c>
      <c r="FP40" s="9" t="n">
        <v>39.87</v>
      </c>
      <c r="FQ40" s="9" t="n">
        <v>57.71</v>
      </c>
      <c r="FR40" s="9" t="n">
        <v>27.89</v>
      </c>
      <c r="FS40" s="9" t="n">
        <v>11.87</v>
      </c>
      <c r="FT40" s="9" t="n">
        <v>42.55</v>
      </c>
      <c r="FU40" s="9" t="n">
        <v>4.89</v>
      </c>
      <c r="FV40" s="9" t="n">
        <v>2.13</v>
      </c>
      <c r="FW40" s="9" t="n">
        <v>43.55</v>
      </c>
      <c r="FX40" s="9" t="n">
        <v>37.26</v>
      </c>
      <c r="FY40" s="9" t="n">
        <v>13.08</v>
      </c>
      <c r="FZ40" s="9" t="n">
        <v>11.21</v>
      </c>
      <c r="GA40" s="9" t="n">
        <v>1.97</v>
      </c>
      <c r="GB40" s="9" t="n">
        <v>0.03</v>
      </c>
      <c r="GC40" s="9" t="n">
        <v>130.24</v>
      </c>
      <c r="GD40" s="9" t="n">
        <v>97.16</v>
      </c>
      <c r="GE40" s="9" t="n">
        <v>74.59999999999999</v>
      </c>
      <c r="GF40" s="9" t="n">
        <v>56.82</v>
      </c>
      <c r="GG40" s="9" t="n">
        <v>53.16</v>
      </c>
      <c r="GH40" s="9" t="n">
        <v>93.56</v>
      </c>
      <c r="GI40" s="9" t="n">
        <v>136.29</v>
      </c>
      <c r="GJ40" s="9" t="n">
        <v>120.66</v>
      </c>
      <c r="GK40" s="9" t="n">
        <v>88.53</v>
      </c>
      <c r="GL40" s="9" t="n">
        <v>41.21</v>
      </c>
      <c r="GM40" s="9" t="n">
        <v>22.53</v>
      </c>
      <c r="GN40" s="9" t="n">
        <v>54.66</v>
      </c>
      <c r="GO40" s="9" t="n">
        <v>48.03</v>
      </c>
      <c r="GP40" s="9" t="n">
        <v>33.76</v>
      </c>
      <c r="GQ40" s="9" t="n">
        <v>70.3</v>
      </c>
      <c r="GR40" s="9" t="n">
        <v>63.95</v>
      </c>
      <c r="GS40" s="9" t="n">
        <v>47.82</v>
      </c>
      <c r="GT40" s="9" t="n">
        <v>74.77</v>
      </c>
      <c r="GU40" s="9" t="n">
        <v>2.66</v>
      </c>
      <c r="GV40" s="9" t="n">
        <v>0.84</v>
      </c>
      <c r="GW40" s="9" t="n">
        <v>31.68</v>
      </c>
      <c r="GX40" s="9" t="n">
        <v>18.89</v>
      </c>
      <c r="GY40" s="9" t="n">
        <v>17.16</v>
      </c>
      <c r="GZ40" s="9" t="n">
        <v>90.81</v>
      </c>
      <c r="HA40" s="9" t="n">
        <v>8.609999999999999</v>
      </c>
      <c r="HB40" s="9" t="n">
        <v>16.03</v>
      </c>
      <c r="HC40" s="9" t="n">
        <v>3.87</v>
      </c>
      <c r="HD40" s="9" t="n">
        <v>11.44</v>
      </c>
      <c r="HE40" s="9" t="n">
        <v>19.52</v>
      </c>
      <c r="HF40" s="9" t="n">
        <v>20.1</v>
      </c>
      <c r="HG40" s="9" t="n">
        <v>14.56</v>
      </c>
    </row>
    <row r="41">
      <c r="A41" s="12" t="n">
        <v>2023</v>
      </c>
      <c r="B41" s="12" t="n">
        <v>47</v>
      </c>
      <c r="C41" s="5">
        <f>(B41-AVERAGE($B$2:$B$100))/_xlfn.STDEV.P($B$2:$B$100)</f>
        <v/>
      </c>
      <c r="D41" s="12" t="n">
        <v>7</v>
      </c>
      <c r="E41" s="6">
        <f>-D41</f>
        <v/>
      </c>
      <c r="F41" s="7">
        <f>(E41-AVERAGE($E$2:$E$100))/_xlfn.STDEV.P($E$2:$E$100)</f>
        <v/>
      </c>
      <c r="G41" s="7">
        <f>sum(0.5*C41)+(0.5*F41)</f>
        <v/>
      </c>
      <c r="H41" s="12" t="inlineStr">
        <is>
          <t>West</t>
        </is>
      </c>
      <c r="I41" s="8" t="inlineStr">
        <is>
          <t>El Paso Locomotive</t>
        </is>
      </c>
      <c r="J41" s="9" t="n">
        <v>1.17</v>
      </c>
      <c r="K41" s="9" t="n">
        <v>1.12</v>
      </c>
      <c r="L41" s="9" t="n">
        <v>11.2</v>
      </c>
      <c r="M41" s="9" t="n">
        <v>3.86</v>
      </c>
      <c r="N41" s="9" t="n">
        <v>34.44</v>
      </c>
      <c r="O41" s="9" t="n">
        <v>422.31</v>
      </c>
      <c r="P41" s="9" t="n">
        <v>361.2</v>
      </c>
      <c r="Q41" s="9" t="n">
        <v>85.53</v>
      </c>
      <c r="R41" s="9" t="n">
        <v>50.52</v>
      </c>
      <c r="S41" s="9" t="n">
        <v>92.83</v>
      </c>
      <c r="T41" s="9" t="n">
        <v>18.91</v>
      </c>
      <c r="U41" s="9" t="n">
        <v>38.51</v>
      </c>
      <c r="V41" s="9" t="n">
        <v>35.4</v>
      </c>
      <c r="W41" s="9" t="n">
        <v>65.97</v>
      </c>
      <c r="X41" s="9" t="n">
        <v>36.74</v>
      </c>
      <c r="Y41" s="9" t="n">
        <v>21.74</v>
      </c>
      <c r="Z41" s="9" t="n">
        <v>7.49</v>
      </c>
      <c r="AA41" s="9" t="n">
        <v>172.11</v>
      </c>
      <c r="AB41" s="9" t="n">
        <v>79.06</v>
      </c>
      <c r="AC41" s="9" t="n">
        <v>45.93</v>
      </c>
      <c r="AD41" s="9" t="n">
        <v>5.43</v>
      </c>
      <c r="AE41" s="9" t="n">
        <v>1.6</v>
      </c>
      <c r="AF41" s="9" t="n">
        <v>29.47</v>
      </c>
      <c r="AG41" s="9" t="n">
        <v>20.43</v>
      </c>
      <c r="AH41" s="9" t="n">
        <v>5.97</v>
      </c>
      <c r="AI41" s="9" t="n">
        <v>29.23</v>
      </c>
      <c r="AJ41" s="9" t="n">
        <v>1.54</v>
      </c>
      <c r="AK41" s="9" t="n">
        <v>0.83</v>
      </c>
      <c r="AL41" s="9" t="n">
        <v>53.7</v>
      </c>
      <c r="AM41" s="9" t="n">
        <v>28.89</v>
      </c>
      <c r="AN41" s="9" t="n">
        <v>3.63</v>
      </c>
      <c r="AO41" s="9" t="n">
        <v>12.56</v>
      </c>
      <c r="AP41" s="9" t="n">
        <v>4.29</v>
      </c>
      <c r="AQ41" s="9" t="n">
        <v>1.29</v>
      </c>
      <c r="AR41" s="9" t="n">
        <v>30</v>
      </c>
      <c r="AS41" s="9" t="n">
        <v>2.26</v>
      </c>
      <c r="AT41" s="9" t="n">
        <v>0.4</v>
      </c>
      <c r="AU41" s="9" t="n">
        <v>17.72</v>
      </c>
      <c r="AV41" s="9" t="n">
        <v>0.11</v>
      </c>
      <c r="AW41" s="9" t="n">
        <v>0.09</v>
      </c>
      <c r="AX41" s="9" t="n">
        <v>75</v>
      </c>
      <c r="AY41" s="9" t="n">
        <v>10.43</v>
      </c>
      <c r="AZ41" s="9" t="n">
        <v>3.31</v>
      </c>
      <c r="BA41" s="9" t="n">
        <v>31.78</v>
      </c>
      <c r="BB41" s="9" t="n">
        <v>3.03</v>
      </c>
      <c r="BC41" s="9" t="n">
        <v>4.54</v>
      </c>
      <c r="BD41" s="9" t="n">
        <v>17.63</v>
      </c>
      <c r="BE41" s="9" t="n">
        <v>3.89</v>
      </c>
      <c r="BF41" s="9" t="n">
        <v>6.03</v>
      </c>
      <c r="BG41" s="9" t="n">
        <v>13.4</v>
      </c>
      <c r="BH41" s="9" t="n">
        <v>65.48999999999999</v>
      </c>
      <c r="BI41" s="9" t="n">
        <v>26.89</v>
      </c>
      <c r="BJ41" s="9" t="n">
        <v>41.06</v>
      </c>
      <c r="BK41" s="9" t="n">
        <v>0.83</v>
      </c>
      <c r="BL41" s="9" t="n">
        <v>1.49</v>
      </c>
      <c r="BM41" s="9" t="n">
        <v>11.37</v>
      </c>
      <c r="BN41" s="9" t="n">
        <v>4.63</v>
      </c>
      <c r="BO41" s="9" t="n">
        <v>40.7</v>
      </c>
      <c r="BP41" s="9" t="n">
        <v>56.11</v>
      </c>
      <c r="BQ41" s="9" t="n">
        <v>31.37</v>
      </c>
      <c r="BR41" s="9" t="n">
        <v>55.91</v>
      </c>
      <c r="BS41" s="9" t="n">
        <v>24.77</v>
      </c>
      <c r="BT41" s="9" t="n">
        <v>9.91</v>
      </c>
      <c r="BU41" s="9" t="n">
        <v>40.02</v>
      </c>
      <c r="BV41" s="9" t="n">
        <v>6.26</v>
      </c>
      <c r="BW41" s="9" t="n">
        <v>3.2</v>
      </c>
      <c r="BX41" s="9" t="n">
        <v>51.14</v>
      </c>
      <c r="BY41" s="9" t="n">
        <v>35.8</v>
      </c>
      <c r="BZ41" s="9" t="n">
        <v>14.09</v>
      </c>
      <c r="CA41" s="9" t="n">
        <v>13.17</v>
      </c>
      <c r="CB41" s="9" t="n">
        <v>2.86</v>
      </c>
      <c r="CC41" s="9" t="n">
        <v>0.03</v>
      </c>
      <c r="CD41" s="9" t="n">
        <v>134.37</v>
      </c>
      <c r="CE41" s="9" t="n">
        <v>101.11</v>
      </c>
      <c r="CF41" s="9" t="n">
        <v>75.25</v>
      </c>
      <c r="CG41" s="9" t="n">
        <v>70.54000000000001</v>
      </c>
      <c r="CH41" s="9" t="n">
        <v>66.91</v>
      </c>
      <c r="CI41" s="9" t="n">
        <v>94.86</v>
      </c>
      <c r="CJ41" s="9" t="n">
        <v>155.23</v>
      </c>
      <c r="CK41" s="9" t="n">
        <v>140.71</v>
      </c>
      <c r="CL41" s="9" t="n">
        <v>90.65000000000001</v>
      </c>
      <c r="CM41" s="9" t="n">
        <v>46.91</v>
      </c>
      <c r="CN41" s="9" t="n">
        <v>25.46</v>
      </c>
      <c r="CO41" s="9" t="n">
        <v>54.26</v>
      </c>
      <c r="CP41" s="9" t="n">
        <v>40.71</v>
      </c>
      <c r="CQ41" s="9" t="n">
        <v>26.97</v>
      </c>
      <c r="CR41" s="9" t="n">
        <v>66.25</v>
      </c>
      <c r="CS41" s="9" t="n">
        <v>63.89</v>
      </c>
      <c r="CT41" s="9" t="n">
        <v>43.26</v>
      </c>
      <c r="CU41" s="9" t="n">
        <v>67.70999999999999</v>
      </c>
      <c r="CV41" s="9" t="n">
        <v>2.2</v>
      </c>
      <c r="CW41" s="9" t="n">
        <v>1.2</v>
      </c>
      <c r="CX41" s="9" t="n">
        <v>54.55</v>
      </c>
      <c r="CY41" s="9" t="n">
        <v>19.6</v>
      </c>
      <c r="CZ41" s="9" t="n">
        <v>17.51</v>
      </c>
      <c r="DA41" s="9" t="n">
        <v>89.36</v>
      </c>
      <c r="DB41" s="9" t="n">
        <v>9.109999999999999</v>
      </c>
      <c r="DC41" s="9" t="n">
        <v>16.24</v>
      </c>
      <c r="DD41" s="9" t="n">
        <v>4.27</v>
      </c>
      <c r="DE41" s="9" t="n">
        <v>11.48</v>
      </c>
      <c r="DF41" s="9" t="n">
        <v>20.52</v>
      </c>
      <c r="DG41" s="9" t="n">
        <v>20</v>
      </c>
      <c r="DH41" s="9" t="n">
        <v>13.99</v>
      </c>
      <c r="DI41" s="9" t="n">
        <v>1.49</v>
      </c>
      <c r="DJ41" s="9" t="n">
        <v>1.37</v>
      </c>
      <c r="DK41" s="9" t="n">
        <v>11.37</v>
      </c>
      <c r="DL41" s="9" t="n">
        <v>4.29</v>
      </c>
      <c r="DM41" s="9" t="n">
        <v>37.69</v>
      </c>
      <c r="DN41" s="9" t="n">
        <v>419</v>
      </c>
      <c r="DO41" s="9" t="n">
        <v>351.03</v>
      </c>
      <c r="DP41" s="9" t="n">
        <v>83.78</v>
      </c>
      <c r="DQ41" s="9" t="n">
        <v>49.48</v>
      </c>
      <c r="DR41" s="9" t="n">
        <v>86.94</v>
      </c>
      <c r="DS41" s="9" t="n">
        <v>13.2</v>
      </c>
      <c r="DT41" s="9" t="n">
        <v>26</v>
      </c>
      <c r="DU41" s="9" t="n">
        <v>47.74</v>
      </c>
      <c r="DV41" s="9" t="n">
        <v>69.83</v>
      </c>
      <c r="DW41" s="9" t="n">
        <v>28.14</v>
      </c>
      <c r="DX41" s="9" t="n">
        <v>31.54</v>
      </c>
      <c r="DY41" s="9" t="n">
        <v>10.14</v>
      </c>
      <c r="DZ41" s="9" t="n">
        <v>172.11</v>
      </c>
      <c r="EA41" s="9" t="n">
        <v>85.70999999999999</v>
      </c>
      <c r="EB41" s="9" t="n">
        <v>49.8</v>
      </c>
      <c r="EC41" s="9" t="n">
        <v>4.74</v>
      </c>
      <c r="ED41" s="9" t="n">
        <v>1.43</v>
      </c>
      <c r="EE41" s="9" t="n">
        <v>30.12</v>
      </c>
      <c r="EF41" s="9" t="n">
        <v>28.66</v>
      </c>
      <c r="EG41" s="9" t="n">
        <v>6.89</v>
      </c>
      <c r="EH41" s="9" t="n">
        <v>24.03</v>
      </c>
      <c r="EI41" s="9" t="n">
        <v>1.17</v>
      </c>
      <c r="EJ41" s="9" t="n">
        <v>0.43</v>
      </c>
      <c r="EK41" s="9" t="n">
        <v>36.59</v>
      </c>
      <c r="EL41" s="9" t="n">
        <v>25.17</v>
      </c>
      <c r="EM41" s="9" t="n">
        <v>3.31</v>
      </c>
      <c r="EN41" s="9" t="n">
        <v>13.17</v>
      </c>
      <c r="EO41" s="9" t="n">
        <v>4.54</v>
      </c>
      <c r="EP41" s="9" t="n">
        <v>1.46</v>
      </c>
      <c r="EQ41" s="9" t="n">
        <v>32.08</v>
      </c>
      <c r="ER41" s="9" t="n">
        <v>2.91</v>
      </c>
      <c r="ES41" s="9" t="n">
        <v>0.63</v>
      </c>
      <c r="ET41" s="9" t="n">
        <v>21.57</v>
      </c>
      <c r="EU41" s="9" t="n">
        <v>0.2</v>
      </c>
      <c r="EV41" s="9" t="n">
        <v>0.11</v>
      </c>
      <c r="EW41" s="9" t="n">
        <v>57.14</v>
      </c>
      <c r="EX41" s="9" t="n">
        <v>15.4</v>
      </c>
      <c r="EY41" s="9" t="n">
        <v>5</v>
      </c>
      <c r="EZ41" s="9" t="n">
        <v>32.47</v>
      </c>
      <c r="FA41" s="9" t="n">
        <v>4.97</v>
      </c>
      <c r="FB41" s="9" t="n">
        <v>5.89</v>
      </c>
      <c r="FC41" s="9" t="n">
        <v>24.57</v>
      </c>
      <c r="FD41" s="9" t="n">
        <v>3.06</v>
      </c>
      <c r="FE41" s="9" t="n">
        <v>9.34</v>
      </c>
      <c r="FF41" s="9" t="n">
        <v>16.69</v>
      </c>
      <c r="FG41" s="9" t="n">
        <v>56.11</v>
      </c>
      <c r="FH41" s="9" t="n">
        <v>24.74</v>
      </c>
      <c r="FI41" s="9" t="n">
        <v>44.09</v>
      </c>
      <c r="FJ41" s="9" t="n">
        <v>2.77</v>
      </c>
      <c r="FK41" s="9" t="n">
        <v>1.17</v>
      </c>
      <c r="FL41" s="9" t="n">
        <v>11.2</v>
      </c>
      <c r="FM41" s="9" t="n">
        <v>4.03</v>
      </c>
      <c r="FN41" s="9" t="n">
        <v>35.97</v>
      </c>
      <c r="FO41" s="9" t="n">
        <v>65.48999999999999</v>
      </c>
      <c r="FP41" s="9" t="n">
        <v>38.6</v>
      </c>
      <c r="FQ41" s="9" t="n">
        <v>58.94</v>
      </c>
      <c r="FR41" s="9" t="n">
        <v>24.77</v>
      </c>
      <c r="FS41" s="9" t="n">
        <v>11.91</v>
      </c>
      <c r="FT41" s="9" t="n">
        <v>48.1</v>
      </c>
      <c r="FU41" s="9" t="n">
        <v>3.63</v>
      </c>
      <c r="FV41" s="9" t="n">
        <v>1.91</v>
      </c>
      <c r="FW41" s="9" t="n">
        <v>52.76</v>
      </c>
      <c r="FX41" s="9" t="n">
        <v>33.31</v>
      </c>
      <c r="FY41" s="9" t="n">
        <v>11.97</v>
      </c>
      <c r="FZ41" s="9" t="n">
        <v>14.66</v>
      </c>
      <c r="GA41" s="9" t="n">
        <v>2.09</v>
      </c>
      <c r="GB41" s="9" t="n">
        <v>0.06</v>
      </c>
      <c r="GC41" s="9" t="n">
        <v>131.89</v>
      </c>
      <c r="GD41" s="9" t="n">
        <v>95.66</v>
      </c>
      <c r="GE41" s="9" t="n">
        <v>72.53</v>
      </c>
      <c r="GF41" s="9" t="n">
        <v>59.74</v>
      </c>
      <c r="GG41" s="9" t="n">
        <v>56.49</v>
      </c>
      <c r="GH41" s="9" t="n">
        <v>94.55</v>
      </c>
      <c r="GI41" s="9" t="n">
        <v>168.89</v>
      </c>
      <c r="GJ41" s="9" t="n">
        <v>150.6</v>
      </c>
      <c r="GK41" s="9" t="n">
        <v>89.17</v>
      </c>
      <c r="GL41" s="9" t="n">
        <v>43.94</v>
      </c>
      <c r="GM41" s="9" t="n">
        <v>22.6</v>
      </c>
      <c r="GN41" s="9" t="n">
        <v>51.43</v>
      </c>
      <c r="GO41" s="9" t="n">
        <v>58.83</v>
      </c>
      <c r="GP41" s="9" t="n">
        <v>38.03</v>
      </c>
      <c r="GQ41" s="9" t="n">
        <v>64.64</v>
      </c>
      <c r="GR41" s="9" t="n">
        <v>66.03</v>
      </c>
      <c r="GS41" s="9" t="n">
        <v>50.91</v>
      </c>
      <c r="GT41" s="9" t="n">
        <v>77.11</v>
      </c>
      <c r="GU41" s="9" t="n">
        <v>3.86</v>
      </c>
      <c r="GV41" s="9" t="n">
        <v>1.31</v>
      </c>
      <c r="GW41" s="9" t="n">
        <v>34.07</v>
      </c>
      <c r="GX41" s="9" t="n">
        <v>19.51</v>
      </c>
      <c r="GY41" s="9" t="n">
        <v>17.97</v>
      </c>
      <c r="GZ41" s="9" t="n">
        <v>92.09</v>
      </c>
      <c r="HA41" s="9" t="n">
        <v>7.83</v>
      </c>
      <c r="HB41" s="9" t="n">
        <v>16.33</v>
      </c>
      <c r="HC41" s="9" t="n">
        <v>4.29</v>
      </c>
      <c r="HD41" s="9" t="n">
        <v>11.11</v>
      </c>
      <c r="HE41" s="9" t="n">
        <v>18.62</v>
      </c>
      <c r="HF41" s="9" t="n">
        <v>20.82</v>
      </c>
      <c r="HG41" s="9" t="n">
        <v>11.12</v>
      </c>
    </row>
    <row r="42">
      <c r="A42" s="12" t="n">
        <v>2023</v>
      </c>
      <c r="B42" s="12" t="n">
        <v>46</v>
      </c>
      <c r="C42" s="5">
        <f>(B42-AVERAGE($B$2:$B$100))/_xlfn.STDEV.P($B$2:$B$100)</f>
        <v/>
      </c>
      <c r="D42" s="12" t="n">
        <v>7</v>
      </c>
      <c r="E42" s="6">
        <f>-D42</f>
        <v/>
      </c>
      <c r="F42" s="7">
        <f>(E42-AVERAGE($E$2:$E$100))/_xlfn.STDEV.P($E$2:$E$100)</f>
        <v/>
      </c>
      <c r="G42" s="7">
        <f>sum(0.5*C42)+(0.5*F42)</f>
        <v/>
      </c>
      <c r="H42" s="12" t="inlineStr">
        <is>
          <t>East</t>
        </is>
      </c>
      <c r="I42" s="8" t="inlineStr">
        <is>
          <t>Birmingham Legion</t>
        </is>
      </c>
      <c r="J42" s="9" t="n">
        <v>1.33</v>
      </c>
      <c r="K42" s="9" t="n">
        <v>1.36</v>
      </c>
      <c r="L42" s="9" t="n">
        <v>11.42</v>
      </c>
      <c r="M42" s="9" t="n">
        <v>3.92</v>
      </c>
      <c r="N42" s="9" t="n">
        <v>34.31</v>
      </c>
      <c r="O42" s="9" t="n">
        <v>395.28</v>
      </c>
      <c r="P42" s="9" t="n">
        <v>321.58</v>
      </c>
      <c r="Q42" s="9" t="n">
        <v>81.36</v>
      </c>
      <c r="R42" s="9" t="n">
        <v>49.16</v>
      </c>
      <c r="S42" s="9" t="n">
        <v>101.25</v>
      </c>
      <c r="T42" s="9" t="n">
        <v>17.97</v>
      </c>
      <c r="U42" s="9" t="n">
        <v>36.11</v>
      </c>
      <c r="V42" s="9" t="n">
        <v>47.17</v>
      </c>
      <c r="W42" s="9" t="n">
        <v>76.75</v>
      </c>
      <c r="X42" s="9" t="n">
        <v>34.86</v>
      </c>
      <c r="Y42" s="9" t="n">
        <v>30.72</v>
      </c>
      <c r="Z42" s="9" t="n">
        <v>11.17</v>
      </c>
      <c r="AA42" s="9" t="n">
        <v>191.61</v>
      </c>
      <c r="AB42" s="9" t="n">
        <v>91.75</v>
      </c>
      <c r="AC42" s="9" t="n">
        <v>47.88</v>
      </c>
      <c r="AD42" s="9" t="n">
        <v>5.42</v>
      </c>
      <c r="AE42" s="9" t="n">
        <v>1.5</v>
      </c>
      <c r="AF42" s="9" t="n">
        <v>27.69</v>
      </c>
      <c r="AG42" s="9" t="n">
        <v>28.19</v>
      </c>
      <c r="AH42" s="9" t="n">
        <v>7.47</v>
      </c>
      <c r="AI42" s="9" t="n">
        <v>26.5</v>
      </c>
      <c r="AJ42" s="9" t="n">
        <v>1.56</v>
      </c>
      <c r="AK42" s="9" t="n">
        <v>0.36</v>
      </c>
      <c r="AL42" s="9" t="n">
        <v>23.21</v>
      </c>
      <c r="AM42" s="9" t="n">
        <v>24.97</v>
      </c>
      <c r="AN42" s="9" t="n">
        <v>2.92</v>
      </c>
      <c r="AO42" s="9" t="n">
        <v>11.68</v>
      </c>
      <c r="AP42" s="9" t="n">
        <v>4.94</v>
      </c>
      <c r="AQ42" s="9" t="n">
        <v>1.19</v>
      </c>
      <c r="AR42" s="9" t="n">
        <v>24.16</v>
      </c>
      <c r="AS42" s="9" t="n">
        <v>1.75</v>
      </c>
      <c r="AT42" s="9" t="n">
        <v>0.39</v>
      </c>
      <c r="AU42" s="9" t="n">
        <v>22.22</v>
      </c>
      <c r="AV42" s="9" t="n">
        <v>0.14</v>
      </c>
      <c r="AW42" s="9" t="n">
        <v>0.11</v>
      </c>
      <c r="AX42" s="9" t="n">
        <v>80</v>
      </c>
      <c r="AY42" s="9" t="n">
        <v>12.67</v>
      </c>
      <c r="AZ42" s="9" t="n">
        <v>3.58</v>
      </c>
      <c r="BA42" s="9" t="n">
        <v>28.29</v>
      </c>
      <c r="BB42" s="9" t="n">
        <v>3.75</v>
      </c>
      <c r="BC42" s="9" t="n">
        <v>6.83</v>
      </c>
      <c r="BD42" s="9" t="n">
        <v>23.03</v>
      </c>
      <c r="BE42" s="9" t="n">
        <v>3.72</v>
      </c>
      <c r="BF42" s="9" t="n">
        <v>7.78</v>
      </c>
      <c r="BG42" s="9" t="n">
        <v>15.39</v>
      </c>
      <c r="BH42" s="9" t="n">
        <v>67.69</v>
      </c>
      <c r="BI42" s="9" t="n">
        <v>26.11</v>
      </c>
      <c r="BJ42" s="9" t="n">
        <v>38.57</v>
      </c>
      <c r="BK42" s="9" t="n">
        <v>2.06</v>
      </c>
      <c r="BL42" s="9" t="n">
        <v>1.53</v>
      </c>
      <c r="BM42" s="9" t="n">
        <v>10.78</v>
      </c>
      <c r="BN42" s="9" t="n">
        <v>4.56</v>
      </c>
      <c r="BO42" s="9" t="n">
        <v>42.27</v>
      </c>
      <c r="BP42" s="9" t="n">
        <v>66.36</v>
      </c>
      <c r="BQ42" s="9" t="n">
        <v>40.33</v>
      </c>
      <c r="BR42" s="9" t="n">
        <v>60.78</v>
      </c>
      <c r="BS42" s="9" t="n">
        <v>30.14</v>
      </c>
      <c r="BT42" s="9" t="n">
        <v>14.08</v>
      </c>
      <c r="BU42" s="9" t="n">
        <v>46.73</v>
      </c>
      <c r="BV42" s="9" t="n">
        <v>2.5</v>
      </c>
      <c r="BW42" s="9" t="n">
        <v>1.06</v>
      </c>
      <c r="BX42" s="9" t="n">
        <v>42.22</v>
      </c>
      <c r="BY42" s="9" t="n">
        <v>36.92</v>
      </c>
      <c r="BZ42" s="9" t="n">
        <v>13.31</v>
      </c>
      <c r="CA42" s="9" t="n">
        <v>14.03</v>
      </c>
      <c r="CB42" s="9" t="n">
        <v>2.61</v>
      </c>
      <c r="CC42" s="9" t="n">
        <v>0.03</v>
      </c>
      <c r="CD42" s="9" t="n">
        <v>136.67</v>
      </c>
      <c r="CE42" s="9" t="n">
        <v>97.33</v>
      </c>
      <c r="CF42" s="9" t="n">
        <v>71.22</v>
      </c>
      <c r="CG42" s="9" t="n">
        <v>55.11</v>
      </c>
      <c r="CH42" s="9" t="n">
        <v>50.86</v>
      </c>
      <c r="CI42" s="9" t="n">
        <v>92.29000000000001</v>
      </c>
      <c r="CJ42" s="9" t="n">
        <v>145.33</v>
      </c>
      <c r="CK42" s="9" t="n">
        <v>127.22</v>
      </c>
      <c r="CL42" s="9" t="n">
        <v>87.54000000000001</v>
      </c>
      <c r="CM42" s="9" t="n">
        <v>46.86</v>
      </c>
      <c r="CN42" s="9" t="n">
        <v>25.06</v>
      </c>
      <c r="CO42" s="9" t="n">
        <v>53.47</v>
      </c>
      <c r="CP42" s="9" t="n">
        <v>53.42</v>
      </c>
      <c r="CQ42" s="9" t="n">
        <v>35.89</v>
      </c>
      <c r="CR42" s="9" t="n">
        <v>67.19</v>
      </c>
      <c r="CS42" s="9" t="n">
        <v>69.58</v>
      </c>
      <c r="CT42" s="9" t="n">
        <v>50.42</v>
      </c>
      <c r="CU42" s="9" t="n">
        <v>72.45999999999999</v>
      </c>
      <c r="CV42" s="9" t="n">
        <v>3.67</v>
      </c>
      <c r="CW42" s="9" t="n">
        <v>1.08</v>
      </c>
      <c r="CX42" s="9" t="n">
        <v>29.55</v>
      </c>
      <c r="CY42" s="9" t="n">
        <v>20.81</v>
      </c>
      <c r="CZ42" s="9" t="n">
        <v>18.69</v>
      </c>
      <c r="DA42" s="9" t="n">
        <v>89.84999999999999</v>
      </c>
      <c r="DB42" s="9" t="n">
        <v>8.92</v>
      </c>
      <c r="DC42" s="9" t="n">
        <v>15.46</v>
      </c>
      <c r="DD42" s="9" t="n">
        <v>3.83</v>
      </c>
      <c r="DE42" s="9" t="n">
        <v>11.98</v>
      </c>
      <c r="DF42" s="9" t="n">
        <v>19.84</v>
      </c>
      <c r="DG42" s="9" t="n">
        <v>20.1</v>
      </c>
      <c r="DH42" s="9" t="n">
        <v>11.85</v>
      </c>
      <c r="DI42" s="9" t="n">
        <v>1.53</v>
      </c>
      <c r="DJ42" s="9" t="n">
        <v>1.41</v>
      </c>
      <c r="DK42" s="9" t="n">
        <v>10.78</v>
      </c>
      <c r="DL42" s="9" t="n">
        <v>4.36</v>
      </c>
      <c r="DM42" s="9" t="n">
        <v>40.46</v>
      </c>
      <c r="DN42" s="9" t="n">
        <v>427.5</v>
      </c>
      <c r="DO42" s="9" t="n">
        <v>358.64</v>
      </c>
      <c r="DP42" s="9" t="n">
        <v>83.89</v>
      </c>
      <c r="DQ42" s="9" t="n">
        <v>50.84</v>
      </c>
      <c r="DR42" s="9" t="n">
        <v>100.72</v>
      </c>
      <c r="DS42" s="9" t="n">
        <v>18.5</v>
      </c>
      <c r="DT42" s="9" t="n">
        <v>36.03</v>
      </c>
      <c r="DU42" s="9" t="n">
        <v>46.19</v>
      </c>
      <c r="DV42" s="9" t="n">
        <v>79.42</v>
      </c>
      <c r="DW42" s="9" t="n">
        <v>36.5</v>
      </c>
      <c r="DX42" s="9" t="n">
        <v>31.31</v>
      </c>
      <c r="DY42" s="9" t="n">
        <v>11.61</v>
      </c>
      <c r="DZ42" s="9" t="n">
        <v>191.61</v>
      </c>
      <c r="EA42" s="9" t="n">
        <v>93.39</v>
      </c>
      <c r="EB42" s="9" t="n">
        <v>48.74</v>
      </c>
      <c r="EC42" s="9" t="n">
        <v>4.06</v>
      </c>
      <c r="ED42" s="9" t="n">
        <v>1.44</v>
      </c>
      <c r="EE42" s="9" t="n">
        <v>35.62</v>
      </c>
      <c r="EF42" s="9" t="n">
        <v>27.33</v>
      </c>
      <c r="EG42" s="9" t="n">
        <v>6.42</v>
      </c>
      <c r="EH42" s="9" t="n">
        <v>23.48</v>
      </c>
      <c r="EI42" s="9" t="n">
        <v>1.89</v>
      </c>
      <c r="EJ42" s="9" t="n">
        <v>0.75</v>
      </c>
      <c r="EK42" s="9" t="n">
        <v>39.71</v>
      </c>
      <c r="EL42" s="9" t="n">
        <v>27.22</v>
      </c>
      <c r="EM42" s="9" t="n">
        <v>3.08</v>
      </c>
      <c r="EN42" s="9" t="n">
        <v>11.33</v>
      </c>
      <c r="EO42" s="9" t="n">
        <v>4.75</v>
      </c>
      <c r="EP42" s="9" t="n">
        <v>1.17</v>
      </c>
      <c r="EQ42" s="9" t="n">
        <v>24.56</v>
      </c>
      <c r="ER42" s="9" t="n">
        <v>2.42</v>
      </c>
      <c r="ES42" s="9" t="n">
        <v>0.61</v>
      </c>
      <c r="ET42" s="9" t="n">
        <v>25.29</v>
      </c>
      <c r="EU42" s="9" t="n">
        <v>0.08</v>
      </c>
      <c r="EV42" s="9" t="n">
        <v>0.06</v>
      </c>
      <c r="EW42" s="9" t="n">
        <v>66.67</v>
      </c>
      <c r="EX42" s="9" t="n">
        <v>12.64</v>
      </c>
      <c r="EY42" s="9" t="n">
        <v>4.47</v>
      </c>
      <c r="EZ42" s="9" t="n">
        <v>35.38</v>
      </c>
      <c r="FA42" s="9" t="n">
        <v>4.33</v>
      </c>
      <c r="FB42" s="9" t="n">
        <v>6.78</v>
      </c>
      <c r="FC42" s="9" t="n">
        <v>22.5</v>
      </c>
      <c r="FD42" s="9" t="n">
        <v>3.89</v>
      </c>
      <c r="FE42" s="9" t="n">
        <v>7.44</v>
      </c>
      <c r="FF42" s="9" t="n">
        <v>16.72</v>
      </c>
      <c r="FG42" s="9" t="n">
        <v>66.36</v>
      </c>
      <c r="FH42" s="9" t="n">
        <v>26.03</v>
      </c>
      <c r="FI42" s="9" t="n">
        <v>39.22</v>
      </c>
      <c r="FJ42" s="9" t="n">
        <v>1.72</v>
      </c>
      <c r="FK42" s="9" t="n">
        <v>1.33</v>
      </c>
      <c r="FL42" s="9" t="n">
        <v>11.42</v>
      </c>
      <c r="FM42" s="9" t="n">
        <v>4.14</v>
      </c>
      <c r="FN42" s="9" t="n">
        <v>36.25</v>
      </c>
      <c r="FO42" s="9" t="n">
        <v>67.69</v>
      </c>
      <c r="FP42" s="9" t="n">
        <v>41.58</v>
      </c>
      <c r="FQ42" s="9" t="n">
        <v>61.43</v>
      </c>
      <c r="FR42" s="9" t="n">
        <v>30.14</v>
      </c>
      <c r="FS42" s="9" t="n">
        <v>13.67</v>
      </c>
      <c r="FT42" s="9" t="n">
        <v>45.35</v>
      </c>
      <c r="FU42" s="9" t="n">
        <v>4.31</v>
      </c>
      <c r="FV42" s="9" t="n">
        <v>2.08</v>
      </c>
      <c r="FW42" s="9" t="n">
        <v>48.39</v>
      </c>
      <c r="FX42" s="9" t="n">
        <v>43.42</v>
      </c>
      <c r="FY42" s="9" t="n">
        <v>14.25</v>
      </c>
      <c r="FZ42" s="9" t="n">
        <v>10.53</v>
      </c>
      <c r="GA42" s="9" t="n">
        <v>1.83</v>
      </c>
      <c r="GB42" s="9" t="n">
        <v>0</v>
      </c>
      <c r="GC42" s="9" t="n">
        <v>139.03</v>
      </c>
      <c r="GD42" s="9" t="n">
        <v>102.28</v>
      </c>
      <c r="GE42" s="9" t="n">
        <v>73.56999999999999</v>
      </c>
      <c r="GF42" s="9" t="n">
        <v>66.5</v>
      </c>
      <c r="GG42" s="9" t="n">
        <v>62.33</v>
      </c>
      <c r="GH42" s="9" t="n">
        <v>93.73</v>
      </c>
      <c r="GI42" s="9" t="n">
        <v>163.06</v>
      </c>
      <c r="GJ42" s="9" t="n">
        <v>146.14</v>
      </c>
      <c r="GK42" s="9" t="n">
        <v>89.63</v>
      </c>
      <c r="GL42" s="9" t="n">
        <v>46.28</v>
      </c>
      <c r="GM42" s="9" t="n">
        <v>25.69</v>
      </c>
      <c r="GN42" s="9" t="n">
        <v>55.52</v>
      </c>
      <c r="GO42" s="9" t="n">
        <v>54.22</v>
      </c>
      <c r="GP42" s="9" t="n">
        <v>37.08</v>
      </c>
      <c r="GQ42" s="9" t="n">
        <v>68.39</v>
      </c>
      <c r="GR42" s="9" t="n">
        <v>72.72</v>
      </c>
      <c r="GS42" s="9" t="n">
        <v>53.14</v>
      </c>
      <c r="GT42" s="9" t="n">
        <v>73.06999999999999</v>
      </c>
      <c r="GU42" s="9" t="n">
        <v>3.42</v>
      </c>
      <c r="GV42" s="9" t="n">
        <v>1.56</v>
      </c>
      <c r="GW42" s="9" t="n">
        <v>45.53</v>
      </c>
      <c r="GX42" s="9" t="n">
        <v>20.08</v>
      </c>
      <c r="GY42" s="9" t="n">
        <v>17.56</v>
      </c>
      <c r="GZ42" s="9" t="n">
        <v>87.41</v>
      </c>
      <c r="HA42" s="9" t="n">
        <v>7.72</v>
      </c>
      <c r="HB42" s="9" t="n">
        <v>16.06</v>
      </c>
      <c r="HC42" s="9" t="n">
        <v>4.07</v>
      </c>
      <c r="HD42" s="9" t="n">
        <v>11.24</v>
      </c>
      <c r="HE42" s="9" t="n">
        <v>17.82</v>
      </c>
      <c r="HF42" s="9" t="n">
        <v>20.02</v>
      </c>
      <c r="HG42" s="9" t="n">
        <v>9.380000000000001</v>
      </c>
    </row>
    <row r="43">
      <c r="A43" s="12" t="n">
        <v>2023</v>
      </c>
      <c r="B43" s="12" t="n">
        <v>46</v>
      </c>
      <c r="C43" s="5">
        <f>(B43-AVERAGE($B$2:$B$100))/_xlfn.STDEV.P($B$2:$B$100)</f>
        <v/>
      </c>
      <c r="D43" s="12" t="n">
        <v>8</v>
      </c>
      <c r="E43" s="6">
        <f>-D43</f>
        <v/>
      </c>
      <c r="F43" s="7">
        <f>(E43-AVERAGE($E$2:$E$100))/_xlfn.STDEV.P($E$2:$E$100)</f>
        <v/>
      </c>
      <c r="G43" s="7">
        <f>sum(0.5*C43)+(0.5*F43)</f>
        <v/>
      </c>
      <c r="H43" s="12" t="inlineStr">
        <is>
          <t>West</t>
        </is>
      </c>
      <c r="I43" s="8" t="inlineStr">
        <is>
          <t>New Mexico United</t>
        </is>
      </c>
      <c r="J43" s="9" t="n">
        <v>1.46</v>
      </c>
      <c r="K43" s="9" t="n">
        <v>1.27</v>
      </c>
      <c r="L43" s="9" t="n">
        <v>10.57</v>
      </c>
      <c r="M43" s="9" t="n">
        <v>4.03</v>
      </c>
      <c r="N43" s="9" t="n">
        <v>38.11</v>
      </c>
      <c r="O43" s="9" t="n">
        <v>410.94</v>
      </c>
      <c r="P43" s="9" t="n">
        <v>342.69</v>
      </c>
      <c r="Q43" s="9" t="n">
        <v>83.39</v>
      </c>
      <c r="R43" s="9" t="n">
        <v>50.42</v>
      </c>
      <c r="S43" s="9" t="n">
        <v>100.2</v>
      </c>
      <c r="T43" s="9" t="n">
        <v>18.17</v>
      </c>
      <c r="U43" s="9" t="n">
        <v>34.74</v>
      </c>
      <c r="V43" s="9" t="n">
        <v>47.29</v>
      </c>
      <c r="W43" s="9" t="n">
        <v>76.03</v>
      </c>
      <c r="X43" s="9" t="n">
        <v>35.46</v>
      </c>
      <c r="Y43" s="9" t="n">
        <v>30.09</v>
      </c>
      <c r="Z43" s="9" t="n">
        <v>10.49</v>
      </c>
      <c r="AA43" s="9" t="n">
        <v>188.46</v>
      </c>
      <c r="AB43" s="9" t="n">
        <v>89.56999999999999</v>
      </c>
      <c r="AC43" s="9" t="n">
        <v>47.53</v>
      </c>
      <c r="AD43" s="9" t="n">
        <v>4.43</v>
      </c>
      <c r="AE43" s="9" t="n">
        <v>1.09</v>
      </c>
      <c r="AF43" s="9" t="n">
        <v>24.52</v>
      </c>
      <c r="AG43" s="9" t="n">
        <v>25.77</v>
      </c>
      <c r="AH43" s="9" t="n">
        <v>6.43</v>
      </c>
      <c r="AI43" s="9" t="n">
        <v>24.94</v>
      </c>
      <c r="AJ43" s="9" t="n">
        <v>1.37</v>
      </c>
      <c r="AK43" s="9" t="n">
        <v>0.6899999999999999</v>
      </c>
      <c r="AL43" s="9" t="n">
        <v>50</v>
      </c>
      <c r="AM43" s="9" t="n">
        <v>26.34</v>
      </c>
      <c r="AN43" s="9" t="n">
        <v>3</v>
      </c>
      <c r="AO43" s="9" t="n">
        <v>11.39</v>
      </c>
      <c r="AP43" s="9" t="n">
        <v>4.34</v>
      </c>
      <c r="AQ43" s="9" t="n">
        <v>1.23</v>
      </c>
      <c r="AR43" s="9" t="n">
        <v>28.29</v>
      </c>
      <c r="AS43" s="9" t="n">
        <v>2.8</v>
      </c>
      <c r="AT43" s="9" t="n">
        <v>0.57</v>
      </c>
      <c r="AU43" s="9" t="n">
        <v>20.41</v>
      </c>
      <c r="AV43" s="9" t="n">
        <v>0.11</v>
      </c>
      <c r="AW43" s="9" t="n">
        <v>0.11</v>
      </c>
      <c r="AX43" s="9" t="n">
        <v>100</v>
      </c>
      <c r="AY43" s="9" t="n">
        <v>11.17</v>
      </c>
      <c r="AZ43" s="9" t="n">
        <v>4.11</v>
      </c>
      <c r="BA43" s="9" t="n">
        <v>36.83</v>
      </c>
      <c r="BB43" s="9" t="n">
        <v>4</v>
      </c>
      <c r="BC43" s="9" t="n">
        <v>6.34</v>
      </c>
      <c r="BD43" s="9" t="n">
        <v>21.46</v>
      </c>
      <c r="BE43" s="9" t="n">
        <v>2.51</v>
      </c>
      <c r="BF43" s="9" t="n">
        <v>7.03</v>
      </c>
      <c r="BG43" s="9" t="n">
        <v>14.89</v>
      </c>
      <c r="BH43" s="9" t="n">
        <v>61.43</v>
      </c>
      <c r="BI43" s="9" t="n">
        <v>25.34</v>
      </c>
      <c r="BJ43" s="9" t="n">
        <v>41.26</v>
      </c>
      <c r="BK43" s="9" t="n">
        <v>2.51</v>
      </c>
      <c r="BL43" s="9" t="n">
        <v>1.43</v>
      </c>
      <c r="BM43" s="9" t="n">
        <v>10.97</v>
      </c>
      <c r="BN43" s="9" t="n">
        <v>4.23</v>
      </c>
      <c r="BO43" s="9" t="n">
        <v>38.54</v>
      </c>
      <c r="BP43" s="9" t="n">
        <v>62.74</v>
      </c>
      <c r="BQ43" s="9" t="n">
        <v>36.6</v>
      </c>
      <c r="BR43" s="9" t="n">
        <v>58.33</v>
      </c>
      <c r="BS43" s="9" t="n">
        <v>34.63</v>
      </c>
      <c r="BT43" s="9" t="n">
        <v>16.06</v>
      </c>
      <c r="BU43" s="9" t="n">
        <v>46.37</v>
      </c>
      <c r="BV43" s="9" t="n">
        <v>3.89</v>
      </c>
      <c r="BW43" s="9" t="n">
        <v>1.6</v>
      </c>
      <c r="BX43" s="9" t="n">
        <v>41.18</v>
      </c>
      <c r="BY43" s="9" t="n">
        <v>38.8</v>
      </c>
      <c r="BZ43" s="9" t="n">
        <v>15.51</v>
      </c>
      <c r="CA43" s="9" t="n">
        <v>12.71</v>
      </c>
      <c r="CB43" s="9" t="n">
        <v>2.69</v>
      </c>
      <c r="CC43" s="9" t="n">
        <v>0.17</v>
      </c>
      <c r="CD43" s="9" t="n">
        <v>137.63</v>
      </c>
      <c r="CE43" s="9" t="n">
        <v>99.14</v>
      </c>
      <c r="CF43" s="9" t="n">
        <v>72.04000000000001</v>
      </c>
      <c r="CG43" s="9" t="n">
        <v>60.91</v>
      </c>
      <c r="CH43" s="9" t="n">
        <v>57.8</v>
      </c>
      <c r="CI43" s="9" t="n">
        <v>94.89</v>
      </c>
      <c r="CJ43" s="9" t="n">
        <v>154.97</v>
      </c>
      <c r="CK43" s="9" t="n">
        <v>138.43</v>
      </c>
      <c r="CL43" s="9" t="n">
        <v>89.33</v>
      </c>
      <c r="CM43" s="9" t="n">
        <v>44.4</v>
      </c>
      <c r="CN43" s="9" t="n">
        <v>23.14</v>
      </c>
      <c r="CO43" s="9" t="n">
        <v>52.12</v>
      </c>
      <c r="CP43" s="9" t="n">
        <v>52.94</v>
      </c>
      <c r="CQ43" s="9" t="n">
        <v>34.51</v>
      </c>
      <c r="CR43" s="9" t="n">
        <v>65.19</v>
      </c>
      <c r="CS43" s="9" t="n">
        <v>69.63</v>
      </c>
      <c r="CT43" s="9" t="n">
        <v>50.66</v>
      </c>
      <c r="CU43" s="9" t="n">
        <v>72.75</v>
      </c>
      <c r="CV43" s="9" t="n">
        <v>2.8</v>
      </c>
      <c r="CW43" s="9" t="n">
        <v>1.09</v>
      </c>
      <c r="CX43" s="9" t="n">
        <v>38.78</v>
      </c>
      <c r="CY43" s="9" t="n">
        <v>20.8</v>
      </c>
      <c r="CZ43" s="9" t="n">
        <v>18.6</v>
      </c>
      <c r="DA43" s="9" t="n">
        <v>89.42</v>
      </c>
      <c r="DB43" s="9" t="n">
        <v>9.199999999999999</v>
      </c>
      <c r="DC43" s="9" t="n">
        <v>16.22</v>
      </c>
      <c r="DD43" s="9" t="n">
        <v>4.02</v>
      </c>
      <c r="DE43" s="9" t="n">
        <v>11.17</v>
      </c>
      <c r="DF43" s="9" t="n">
        <v>18.68</v>
      </c>
      <c r="DG43" s="9" t="n">
        <v>20.17</v>
      </c>
      <c r="DH43" s="9" t="n">
        <v>12.13</v>
      </c>
      <c r="DI43" s="9" t="n">
        <v>1.43</v>
      </c>
      <c r="DJ43" s="9" t="n">
        <v>1.29</v>
      </c>
      <c r="DK43" s="9" t="n">
        <v>10.97</v>
      </c>
      <c r="DL43" s="9" t="n">
        <v>3.91</v>
      </c>
      <c r="DM43" s="9" t="n">
        <v>35.68</v>
      </c>
      <c r="DN43" s="9" t="n">
        <v>400.03</v>
      </c>
      <c r="DO43" s="9" t="n">
        <v>327.97</v>
      </c>
      <c r="DP43" s="9" t="n">
        <v>81.98999999999999</v>
      </c>
      <c r="DQ43" s="9" t="n">
        <v>49.58</v>
      </c>
      <c r="DR43" s="9" t="n">
        <v>98.66</v>
      </c>
      <c r="DS43" s="9" t="n">
        <v>17.4</v>
      </c>
      <c r="DT43" s="9" t="n">
        <v>34.8</v>
      </c>
      <c r="DU43" s="9" t="n">
        <v>46.46</v>
      </c>
      <c r="DV43" s="9" t="n">
        <v>78.97</v>
      </c>
      <c r="DW43" s="9" t="n">
        <v>36.57</v>
      </c>
      <c r="DX43" s="9" t="n">
        <v>31.37</v>
      </c>
      <c r="DY43" s="9" t="n">
        <v>11.03</v>
      </c>
      <c r="DZ43" s="9" t="n">
        <v>188.46</v>
      </c>
      <c r="EA43" s="9" t="n">
        <v>91.51000000000001</v>
      </c>
      <c r="EB43" s="9" t="n">
        <v>48.56</v>
      </c>
      <c r="EC43" s="9" t="n">
        <v>4.57</v>
      </c>
      <c r="ED43" s="9" t="n">
        <v>1.09</v>
      </c>
      <c r="EE43" s="9" t="n">
        <v>23.75</v>
      </c>
      <c r="EF43" s="9" t="n">
        <v>27.46</v>
      </c>
      <c r="EG43" s="9" t="n">
        <v>6.91</v>
      </c>
      <c r="EH43" s="9" t="n">
        <v>25.18</v>
      </c>
      <c r="EI43" s="9" t="n">
        <v>1.66</v>
      </c>
      <c r="EJ43" s="9" t="n">
        <v>0.6899999999999999</v>
      </c>
      <c r="EK43" s="9" t="n">
        <v>41.38</v>
      </c>
      <c r="EL43" s="9" t="n">
        <v>25.63</v>
      </c>
      <c r="EM43" s="9" t="n">
        <v>2.97</v>
      </c>
      <c r="EN43" s="9" t="n">
        <v>11.59</v>
      </c>
      <c r="EO43" s="9" t="n">
        <v>4.49</v>
      </c>
      <c r="EP43" s="9" t="n">
        <v>1.37</v>
      </c>
      <c r="EQ43" s="9" t="n">
        <v>30.57</v>
      </c>
      <c r="ER43" s="9" t="n">
        <v>2.63</v>
      </c>
      <c r="ES43" s="9" t="n">
        <v>0.54</v>
      </c>
      <c r="ET43" s="9" t="n">
        <v>20.65</v>
      </c>
      <c r="EU43" s="9" t="n">
        <v>0.06</v>
      </c>
      <c r="EV43" s="9" t="n">
        <v>0.03</v>
      </c>
      <c r="EW43" s="9" t="n">
        <v>50</v>
      </c>
      <c r="EX43" s="9" t="n">
        <v>14.03</v>
      </c>
      <c r="EY43" s="9" t="n">
        <v>4.51</v>
      </c>
      <c r="EZ43" s="9" t="n">
        <v>32.18</v>
      </c>
      <c r="FA43" s="9" t="n">
        <v>4.2</v>
      </c>
      <c r="FB43" s="9" t="n">
        <v>6.51</v>
      </c>
      <c r="FC43" s="9" t="n">
        <v>23.06</v>
      </c>
      <c r="FD43" s="9" t="n">
        <v>3.71</v>
      </c>
      <c r="FE43" s="9" t="n">
        <v>8.029999999999999</v>
      </c>
      <c r="FF43" s="9" t="n">
        <v>15.29</v>
      </c>
      <c r="FG43" s="9" t="n">
        <v>62.77</v>
      </c>
      <c r="FH43" s="9" t="n">
        <v>26.14</v>
      </c>
      <c r="FI43" s="9" t="n">
        <v>41.65</v>
      </c>
      <c r="FJ43" s="9" t="n">
        <v>1.94</v>
      </c>
      <c r="FK43" s="9" t="n">
        <v>1.46</v>
      </c>
      <c r="FL43" s="9" t="n">
        <v>10.57</v>
      </c>
      <c r="FM43" s="9" t="n">
        <v>4.14</v>
      </c>
      <c r="FN43" s="9" t="n">
        <v>39.19</v>
      </c>
      <c r="FO43" s="9" t="n">
        <v>61.4</v>
      </c>
      <c r="FP43" s="9" t="n">
        <v>36.09</v>
      </c>
      <c r="FQ43" s="9" t="n">
        <v>58.77</v>
      </c>
      <c r="FR43" s="9" t="n">
        <v>34.63</v>
      </c>
      <c r="FS43" s="9" t="n">
        <v>16.37</v>
      </c>
      <c r="FT43" s="9" t="n">
        <v>47.28</v>
      </c>
      <c r="FU43" s="9" t="n">
        <v>3.63</v>
      </c>
      <c r="FV43" s="9" t="n">
        <v>1.71</v>
      </c>
      <c r="FW43" s="9" t="n">
        <v>47.24</v>
      </c>
      <c r="FX43" s="9" t="n">
        <v>37.34</v>
      </c>
      <c r="FY43" s="9" t="n">
        <v>14.31</v>
      </c>
      <c r="FZ43" s="9" t="n">
        <v>13.06</v>
      </c>
      <c r="GA43" s="9" t="n">
        <v>2.34</v>
      </c>
      <c r="GB43" s="9" t="n">
        <v>0.03</v>
      </c>
      <c r="GC43" s="9" t="n">
        <v>139.4</v>
      </c>
      <c r="GD43" s="9" t="n">
        <v>99.29000000000001</v>
      </c>
      <c r="GE43" s="9" t="n">
        <v>71.22</v>
      </c>
      <c r="GF43" s="9" t="n">
        <v>60.11</v>
      </c>
      <c r="GG43" s="9" t="n">
        <v>56.57</v>
      </c>
      <c r="GH43" s="9" t="n">
        <v>94.11</v>
      </c>
      <c r="GI43" s="9" t="n">
        <v>143.26</v>
      </c>
      <c r="GJ43" s="9" t="n">
        <v>125.51</v>
      </c>
      <c r="GK43" s="9" t="n">
        <v>87.61</v>
      </c>
      <c r="GL43" s="9" t="n">
        <v>49.54</v>
      </c>
      <c r="GM43" s="9" t="n">
        <v>25.37</v>
      </c>
      <c r="GN43" s="9" t="n">
        <v>51.21</v>
      </c>
      <c r="GO43" s="9" t="n">
        <v>52.94</v>
      </c>
      <c r="GP43" s="9" t="n">
        <v>33.54</v>
      </c>
      <c r="GQ43" s="9" t="n">
        <v>63.36</v>
      </c>
      <c r="GR43" s="9" t="n">
        <v>71.26000000000001</v>
      </c>
      <c r="GS43" s="9" t="n">
        <v>51.37</v>
      </c>
      <c r="GT43" s="9" t="n">
        <v>72.09</v>
      </c>
      <c r="GU43" s="9" t="n">
        <v>2.94</v>
      </c>
      <c r="GV43" s="9" t="n">
        <v>1.34</v>
      </c>
      <c r="GW43" s="9" t="n">
        <v>45.63</v>
      </c>
      <c r="GX43" s="9" t="n">
        <v>20.26</v>
      </c>
      <c r="GY43" s="9" t="n">
        <v>17.74</v>
      </c>
      <c r="GZ43" s="9" t="n">
        <v>87.59</v>
      </c>
      <c r="HA43" s="9" t="n">
        <v>7.49</v>
      </c>
      <c r="HB43" s="9" t="n">
        <v>15.94</v>
      </c>
      <c r="HC43" s="9" t="n">
        <v>3.94</v>
      </c>
      <c r="HD43" s="9" t="n">
        <v>13.19</v>
      </c>
      <c r="HE43" s="9" t="n">
        <v>18.33</v>
      </c>
      <c r="HF43" s="9" t="n">
        <v>20.99</v>
      </c>
      <c r="HG43" s="9" t="n">
        <v>11.79</v>
      </c>
    </row>
    <row r="44">
      <c r="A44" s="12" t="n">
        <v>2023</v>
      </c>
      <c r="B44" s="12" t="n">
        <v>41</v>
      </c>
      <c r="C44" s="5">
        <f>(B44-AVERAGE($B$2:$B$100))/_xlfn.STDEV.P($B$2:$B$100)</f>
        <v/>
      </c>
      <c r="D44" s="12" t="n">
        <v>8</v>
      </c>
      <c r="E44" s="6">
        <f>-D44</f>
        <v/>
      </c>
      <c r="F44" s="7">
        <f>(E44-AVERAGE($E$2:$E$100))/_xlfn.STDEV.P($E$2:$E$100)</f>
        <v/>
      </c>
      <c r="G44" s="7">
        <f>sum(0.5*C44)+(0.5*F44)</f>
        <v/>
      </c>
      <c r="H44" s="12" t="inlineStr">
        <is>
          <t>East</t>
        </is>
      </c>
      <c r="I44" s="8" t="inlineStr">
        <is>
          <t>Detroit City</t>
        </is>
      </c>
      <c r="J44" s="9" t="n">
        <v>0.86</v>
      </c>
      <c r="K44" s="9" t="n">
        <v>1.01</v>
      </c>
      <c r="L44" s="9" t="n">
        <v>9.529999999999999</v>
      </c>
      <c r="M44" s="9" t="n">
        <v>2.72</v>
      </c>
      <c r="N44" s="9" t="n">
        <v>28.57</v>
      </c>
      <c r="O44" s="9" t="n">
        <v>346.42</v>
      </c>
      <c r="P44" s="9" t="n">
        <v>270.61</v>
      </c>
      <c r="Q44" s="9" t="n">
        <v>78.12</v>
      </c>
      <c r="R44" s="9" t="n">
        <v>46.56</v>
      </c>
      <c r="S44" s="9" t="n">
        <v>116.14</v>
      </c>
      <c r="T44" s="9" t="n">
        <v>20.06</v>
      </c>
      <c r="U44" s="9" t="n">
        <v>42.53</v>
      </c>
      <c r="V44" s="9" t="n">
        <v>53.56</v>
      </c>
      <c r="W44" s="9" t="n">
        <v>88.42</v>
      </c>
      <c r="X44" s="9" t="n">
        <v>39.28</v>
      </c>
      <c r="Y44" s="9" t="n">
        <v>36.22</v>
      </c>
      <c r="Z44" s="9" t="n">
        <v>12.92</v>
      </c>
      <c r="AA44" s="9" t="n">
        <v>224.06</v>
      </c>
      <c r="AB44" s="9" t="n">
        <v>106.08</v>
      </c>
      <c r="AC44" s="9" t="n">
        <v>47.35</v>
      </c>
      <c r="AD44" s="9" t="n">
        <v>4.31</v>
      </c>
      <c r="AE44" s="9" t="n">
        <v>0.89</v>
      </c>
      <c r="AF44" s="9" t="n">
        <v>20.65</v>
      </c>
      <c r="AG44" s="9" t="n">
        <v>27.56</v>
      </c>
      <c r="AH44" s="9" t="n">
        <v>5.53</v>
      </c>
      <c r="AI44" s="9" t="n">
        <v>20.06</v>
      </c>
      <c r="AJ44" s="9" t="n">
        <v>1.17</v>
      </c>
      <c r="AK44" s="9" t="n">
        <v>0.61</v>
      </c>
      <c r="AL44" s="9" t="n">
        <v>52.38</v>
      </c>
      <c r="AM44" s="9" t="n">
        <v>24.22</v>
      </c>
      <c r="AN44" s="9" t="n">
        <v>2.75</v>
      </c>
      <c r="AO44" s="9" t="n">
        <v>11.35</v>
      </c>
      <c r="AP44" s="9" t="n">
        <v>3.22</v>
      </c>
      <c r="AQ44" s="9" t="n">
        <v>0.92</v>
      </c>
      <c r="AR44" s="9" t="n">
        <v>28.45</v>
      </c>
      <c r="AS44" s="9" t="n">
        <v>3.64</v>
      </c>
      <c r="AT44" s="9" t="n">
        <v>1.06</v>
      </c>
      <c r="AU44" s="9" t="n">
        <v>29.01</v>
      </c>
      <c r="AV44" s="9" t="n">
        <v>0.06</v>
      </c>
      <c r="AW44" s="9" t="n">
        <v>0.03</v>
      </c>
      <c r="AX44" s="9" t="n">
        <v>50</v>
      </c>
      <c r="AY44" s="9" t="n">
        <v>13.25</v>
      </c>
      <c r="AZ44" s="9" t="n">
        <v>4.33</v>
      </c>
      <c r="BA44" s="9" t="n">
        <v>32.7</v>
      </c>
      <c r="BB44" s="9" t="n">
        <v>4.19</v>
      </c>
      <c r="BC44" s="9" t="n">
        <v>4.17</v>
      </c>
      <c r="BD44" s="9" t="n">
        <v>20.19</v>
      </c>
      <c r="BE44" s="9" t="n">
        <v>2.69</v>
      </c>
      <c r="BF44" s="9" t="n">
        <v>8.220000000000001</v>
      </c>
      <c r="BG44" s="9" t="n">
        <v>13.94</v>
      </c>
      <c r="BH44" s="9" t="n">
        <v>66.64</v>
      </c>
      <c r="BI44" s="9" t="n">
        <v>23.67</v>
      </c>
      <c r="BJ44" s="9" t="n">
        <v>35.51</v>
      </c>
      <c r="BK44" s="9" t="n">
        <v>1.36</v>
      </c>
      <c r="BL44" s="9" t="n">
        <v>1.19</v>
      </c>
      <c r="BM44" s="9" t="n">
        <v>12.08</v>
      </c>
      <c r="BN44" s="9" t="n">
        <v>4.14</v>
      </c>
      <c r="BO44" s="9" t="n">
        <v>34.25</v>
      </c>
      <c r="BP44" s="9" t="n">
        <v>71.72</v>
      </c>
      <c r="BQ44" s="9" t="n">
        <v>44.36</v>
      </c>
      <c r="BR44" s="9" t="n">
        <v>61.85</v>
      </c>
      <c r="BS44" s="9" t="n">
        <v>47.28</v>
      </c>
      <c r="BT44" s="9" t="n">
        <v>22.22</v>
      </c>
      <c r="BU44" s="9" t="n">
        <v>47</v>
      </c>
      <c r="BV44" s="9" t="n">
        <v>4.47</v>
      </c>
      <c r="BW44" s="9" t="n">
        <v>2.31</v>
      </c>
      <c r="BX44" s="9" t="n">
        <v>51.55</v>
      </c>
      <c r="BY44" s="9" t="n">
        <v>46.56</v>
      </c>
      <c r="BZ44" s="9" t="n">
        <v>14.19</v>
      </c>
      <c r="CA44" s="9" t="n">
        <v>11.92</v>
      </c>
      <c r="CB44" s="9" t="n">
        <v>1.97</v>
      </c>
      <c r="CC44" s="9" t="n">
        <v>0.08</v>
      </c>
      <c r="CD44" s="9" t="n">
        <v>132.25</v>
      </c>
      <c r="CE44" s="9" t="n">
        <v>88.17</v>
      </c>
      <c r="CF44" s="9" t="n">
        <v>66.67</v>
      </c>
      <c r="CG44" s="9" t="n">
        <v>53</v>
      </c>
      <c r="CH44" s="9" t="n">
        <v>49.92</v>
      </c>
      <c r="CI44" s="9" t="n">
        <v>94.18000000000001</v>
      </c>
      <c r="CJ44" s="9" t="n">
        <v>113.56</v>
      </c>
      <c r="CK44" s="9" t="n">
        <v>95.58</v>
      </c>
      <c r="CL44" s="9" t="n">
        <v>84.17</v>
      </c>
      <c r="CM44" s="9" t="n">
        <v>56.17</v>
      </c>
      <c r="CN44" s="9" t="n">
        <v>30.22</v>
      </c>
      <c r="CO44" s="9" t="n">
        <v>53.81</v>
      </c>
      <c r="CP44" s="9" t="n">
        <v>52.47</v>
      </c>
      <c r="CQ44" s="9" t="n">
        <v>31.69</v>
      </c>
      <c r="CR44" s="9" t="n">
        <v>60.4</v>
      </c>
      <c r="CS44" s="9" t="n">
        <v>70.08</v>
      </c>
      <c r="CT44" s="9" t="n">
        <v>50.08</v>
      </c>
      <c r="CU44" s="9" t="n">
        <v>71.45999999999999</v>
      </c>
      <c r="CV44" s="9" t="n">
        <v>2.19</v>
      </c>
      <c r="CW44" s="9" t="n">
        <v>0.64</v>
      </c>
      <c r="CX44" s="9" t="n">
        <v>29.11</v>
      </c>
      <c r="CY44" s="9" t="n">
        <v>23.94</v>
      </c>
      <c r="CZ44" s="9" t="n">
        <v>20.67</v>
      </c>
      <c r="DA44" s="9" t="n">
        <v>86.31</v>
      </c>
      <c r="DB44" s="9" t="n">
        <v>8.859999999999999</v>
      </c>
      <c r="DC44" s="9" t="n">
        <v>15.04</v>
      </c>
      <c r="DD44" s="9" t="n">
        <v>3.19</v>
      </c>
      <c r="DE44" s="9" t="n">
        <v>16.88</v>
      </c>
      <c r="DF44" s="9" t="n">
        <v>19.14</v>
      </c>
      <c r="DG44" s="9" t="n">
        <v>21.47</v>
      </c>
      <c r="DH44" s="9" t="n">
        <v>10.2</v>
      </c>
      <c r="DI44" s="9" t="n">
        <v>1.19</v>
      </c>
      <c r="DJ44" s="9" t="n">
        <v>1.56</v>
      </c>
      <c r="DK44" s="9" t="n">
        <v>12.08</v>
      </c>
      <c r="DL44" s="9" t="n">
        <v>4.06</v>
      </c>
      <c r="DM44" s="9" t="n">
        <v>33.56</v>
      </c>
      <c r="DN44" s="9" t="n">
        <v>421.58</v>
      </c>
      <c r="DO44" s="9" t="n">
        <v>342.17</v>
      </c>
      <c r="DP44" s="9" t="n">
        <v>81.16</v>
      </c>
      <c r="DQ44" s="9" t="n">
        <v>53.44</v>
      </c>
      <c r="DR44" s="9" t="n">
        <v>114.58</v>
      </c>
      <c r="DS44" s="9" t="n">
        <v>20.33</v>
      </c>
      <c r="DT44" s="9" t="n">
        <v>43.19</v>
      </c>
      <c r="DU44" s="9" t="n">
        <v>51.06</v>
      </c>
      <c r="DV44" s="9" t="n">
        <v>88.58</v>
      </c>
      <c r="DW44" s="9" t="n">
        <v>40.78</v>
      </c>
      <c r="DX44" s="9" t="n">
        <v>35.92</v>
      </c>
      <c r="DY44" s="9" t="n">
        <v>11.89</v>
      </c>
      <c r="DZ44" s="9" t="n">
        <v>224.06</v>
      </c>
      <c r="EA44" s="9" t="n">
        <v>106.56</v>
      </c>
      <c r="EB44" s="9" t="n">
        <v>47.56</v>
      </c>
      <c r="EC44" s="9" t="n">
        <v>4.86</v>
      </c>
      <c r="ED44" s="9" t="n">
        <v>1.11</v>
      </c>
      <c r="EE44" s="9" t="n">
        <v>22.86</v>
      </c>
      <c r="EF44" s="9" t="n">
        <v>28.81</v>
      </c>
      <c r="EG44" s="9" t="n">
        <v>7.25</v>
      </c>
      <c r="EH44" s="9" t="n">
        <v>25.17</v>
      </c>
      <c r="EI44" s="9" t="n">
        <v>1.69</v>
      </c>
      <c r="EJ44" s="9" t="n">
        <v>0.6899999999999999</v>
      </c>
      <c r="EK44" s="9" t="n">
        <v>40.98</v>
      </c>
      <c r="EL44" s="9" t="n">
        <v>24.19</v>
      </c>
      <c r="EM44" s="9" t="n">
        <v>3.42</v>
      </c>
      <c r="EN44" s="9" t="n">
        <v>14.12</v>
      </c>
      <c r="EO44" s="9" t="n">
        <v>4.06</v>
      </c>
      <c r="EP44" s="9" t="n">
        <v>1.36</v>
      </c>
      <c r="EQ44" s="9" t="n">
        <v>33.56</v>
      </c>
      <c r="ER44" s="9" t="n">
        <v>2.39</v>
      </c>
      <c r="ES44" s="9" t="n">
        <v>0.44</v>
      </c>
      <c r="ET44" s="9" t="n">
        <v>18.6</v>
      </c>
      <c r="EU44" s="9" t="n">
        <v>0.22</v>
      </c>
      <c r="EV44" s="9" t="n">
        <v>0.22</v>
      </c>
      <c r="EW44" s="9" t="n">
        <v>100</v>
      </c>
      <c r="EX44" s="9" t="n">
        <v>15.39</v>
      </c>
      <c r="EY44" s="9" t="n">
        <v>5.22</v>
      </c>
      <c r="EZ44" s="9" t="n">
        <v>33.94</v>
      </c>
      <c r="FA44" s="9" t="n">
        <v>5.17</v>
      </c>
      <c r="FB44" s="9" t="n">
        <v>6.44</v>
      </c>
      <c r="FC44" s="9" t="n">
        <v>24.58</v>
      </c>
      <c r="FD44" s="9" t="n">
        <v>4.11</v>
      </c>
      <c r="FE44" s="9" t="n">
        <v>9.109999999999999</v>
      </c>
      <c r="FF44" s="9" t="n">
        <v>17.28</v>
      </c>
      <c r="FG44" s="9" t="n">
        <v>71.78</v>
      </c>
      <c r="FH44" s="9" t="n">
        <v>27.39</v>
      </c>
      <c r="FI44" s="9" t="n">
        <v>38.16</v>
      </c>
      <c r="FJ44" s="9" t="n">
        <v>1.81</v>
      </c>
      <c r="FK44" s="9" t="n">
        <v>0.86</v>
      </c>
      <c r="FL44" s="9" t="n">
        <v>9.529999999999999</v>
      </c>
      <c r="FM44" s="9" t="n">
        <v>2.94</v>
      </c>
      <c r="FN44" s="9" t="n">
        <v>30.9</v>
      </c>
      <c r="FO44" s="9" t="n">
        <v>66.58</v>
      </c>
      <c r="FP44" s="9" t="n">
        <v>42.92</v>
      </c>
      <c r="FQ44" s="9" t="n">
        <v>64.45999999999999</v>
      </c>
      <c r="FR44" s="9" t="n">
        <v>47.28</v>
      </c>
      <c r="FS44" s="9" t="n">
        <v>20.83</v>
      </c>
      <c r="FT44" s="9" t="n">
        <v>44.07</v>
      </c>
      <c r="FU44" s="9" t="n">
        <v>3.69</v>
      </c>
      <c r="FV44" s="9" t="n">
        <v>1.75</v>
      </c>
      <c r="FW44" s="9" t="n">
        <v>47.37</v>
      </c>
      <c r="FX44" s="9" t="n">
        <v>39.97</v>
      </c>
      <c r="FY44" s="9" t="n">
        <v>18.31</v>
      </c>
      <c r="FZ44" s="9" t="n">
        <v>13</v>
      </c>
      <c r="GA44" s="9" t="n">
        <v>2.19</v>
      </c>
      <c r="GB44" s="9" t="n">
        <v>0.06</v>
      </c>
      <c r="GC44" s="9" t="n">
        <v>149.19</v>
      </c>
      <c r="GD44" s="9" t="n">
        <v>105.83</v>
      </c>
      <c r="GE44" s="9" t="n">
        <v>70.94</v>
      </c>
      <c r="GF44" s="9" t="n">
        <v>59.47</v>
      </c>
      <c r="GG44" s="9" t="n">
        <v>55.64</v>
      </c>
      <c r="GH44" s="9" t="n">
        <v>93.55</v>
      </c>
      <c r="GI44" s="9" t="n">
        <v>150.36</v>
      </c>
      <c r="GJ44" s="9" t="n">
        <v>130.17</v>
      </c>
      <c r="GK44" s="9" t="n">
        <v>86.56999999999999</v>
      </c>
      <c r="GL44" s="9" t="n">
        <v>53.39</v>
      </c>
      <c r="GM44" s="9" t="n">
        <v>27.89</v>
      </c>
      <c r="GN44" s="9" t="n">
        <v>52.24</v>
      </c>
      <c r="GO44" s="9" t="n">
        <v>56.56</v>
      </c>
      <c r="GP44" s="9" t="n">
        <v>36.42</v>
      </c>
      <c r="GQ44" s="9" t="n">
        <v>64.39</v>
      </c>
      <c r="GR44" s="9" t="n">
        <v>74.92</v>
      </c>
      <c r="GS44" s="9" t="n">
        <v>53.42</v>
      </c>
      <c r="GT44" s="9" t="n">
        <v>71.3</v>
      </c>
      <c r="GU44" s="9" t="n">
        <v>3.42</v>
      </c>
      <c r="GV44" s="9" t="n">
        <v>1.33</v>
      </c>
      <c r="GW44" s="9" t="n">
        <v>39.02</v>
      </c>
      <c r="GX44" s="9" t="n">
        <v>24.33</v>
      </c>
      <c r="GY44" s="9" t="n">
        <v>20.81</v>
      </c>
      <c r="GZ44" s="9" t="n">
        <v>85.5</v>
      </c>
      <c r="HA44" s="9" t="n">
        <v>8.33</v>
      </c>
      <c r="HB44" s="9" t="n">
        <v>15.89</v>
      </c>
      <c r="HC44" s="9" t="n">
        <v>3.84</v>
      </c>
      <c r="HD44" s="9" t="n">
        <v>13.27</v>
      </c>
      <c r="HE44" s="9" t="n">
        <v>18.32</v>
      </c>
      <c r="HF44" s="9" t="n">
        <v>20.07</v>
      </c>
      <c r="HG44" s="9" t="n">
        <v>8.65</v>
      </c>
    </row>
    <row r="45">
      <c r="A45" s="12" t="n">
        <v>2023</v>
      </c>
      <c r="B45" s="12" t="n">
        <v>43</v>
      </c>
      <c r="C45" s="5">
        <f>(B45-AVERAGE($B$2:$B$100))/_xlfn.STDEV.P($B$2:$B$100)</f>
        <v/>
      </c>
      <c r="D45" s="12" t="n">
        <v>9</v>
      </c>
      <c r="E45" s="6">
        <f>-D45</f>
        <v/>
      </c>
      <c r="F45" s="7">
        <f>(E45-AVERAGE($E$2:$E$100))/_xlfn.STDEV.P($E$2:$E$100)</f>
        <v/>
      </c>
      <c r="G45" s="7">
        <f>sum(0.5*C45)+(0.5*F45)</f>
        <v/>
      </c>
      <c r="H45" s="12" t="inlineStr">
        <is>
          <t>West</t>
        </is>
      </c>
      <c r="I45" s="8" t="inlineStr">
        <is>
          <t>Rio Grande Valley</t>
        </is>
      </c>
      <c r="J45" s="9" t="n">
        <v>1.26</v>
      </c>
      <c r="K45" s="9" t="n">
        <v>1.19</v>
      </c>
      <c r="L45" s="9" t="n">
        <v>11.62</v>
      </c>
      <c r="M45" s="9" t="n">
        <v>4.53</v>
      </c>
      <c r="N45" s="9" t="n">
        <v>38.99</v>
      </c>
      <c r="O45" s="9" t="n">
        <v>412.44</v>
      </c>
      <c r="P45" s="9" t="n">
        <v>339.41</v>
      </c>
      <c r="Q45" s="9" t="n">
        <v>82.29000000000001</v>
      </c>
      <c r="R45" s="9" t="n">
        <v>50.33</v>
      </c>
      <c r="S45" s="9" t="n">
        <v>102.24</v>
      </c>
      <c r="T45" s="9" t="n">
        <v>17.06</v>
      </c>
      <c r="U45" s="9" t="n">
        <v>36.32</v>
      </c>
      <c r="V45" s="9" t="n">
        <v>48.85</v>
      </c>
      <c r="W45" s="9" t="n">
        <v>79.34999999999999</v>
      </c>
      <c r="X45" s="9" t="n">
        <v>36.68</v>
      </c>
      <c r="Y45" s="9" t="n">
        <v>31.29</v>
      </c>
      <c r="Z45" s="9" t="n">
        <v>11.38</v>
      </c>
      <c r="AA45" s="9" t="n">
        <v>198.29</v>
      </c>
      <c r="AB45" s="9" t="n">
        <v>97.15000000000001</v>
      </c>
      <c r="AC45" s="9" t="n">
        <v>48.99</v>
      </c>
      <c r="AD45" s="9" t="n">
        <v>5.94</v>
      </c>
      <c r="AE45" s="9" t="n">
        <v>1.79</v>
      </c>
      <c r="AF45" s="9" t="n">
        <v>30.2</v>
      </c>
      <c r="AG45" s="9" t="n">
        <v>28.53</v>
      </c>
      <c r="AH45" s="9" t="n">
        <v>6.76</v>
      </c>
      <c r="AI45" s="9" t="n">
        <v>23.71</v>
      </c>
      <c r="AJ45" s="9" t="n">
        <v>2.26</v>
      </c>
      <c r="AK45" s="9" t="n">
        <v>0.82</v>
      </c>
      <c r="AL45" s="9" t="n">
        <v>36.36</v>
      </c>
      <c r="AM45" s="9" t="n">
        <v>28.26</v>
      </c>
      <c r="AN45" s="9" t="n">
        <v>3.32</v>
      </c>
      <c r="AO45" s="9" t="n">
        <v>11.76</v>
      </c>
      <c r="AP45" s="9" t="n">
        <v>4.82</v>
      </c>
      <c r="AQ45" s="9" t="n">
        <v>1.18</v>
      </c>
      <c r="AR45" s="9" t="n">
        <v>24.39</v>
      </c>
      <c r="AS45" s="9" t="n">
        <v>2.68</v>
      </c>
      <c r="AT45" s="9" t="n">
        <v>0.5600000000000001</v>
      </c>
      <c r="AU45" s="9" t="n">
        <v>20.88</v>
      </c>
      <c r="AV45" s="9" t="n">
        <v>0.06</v>
      </c>
      <c r="AW45" s="9" t="n">
        <v>0.06</v>
      </c>
      <c r="AX45" s="9" t="n">
        <v>100</v>
      </c>
      <c r="AY45" s="9" t="n">
        <v>13.74</v>
      </c>
      <c r="AZ45" s="9" t="n">
        <v>3.91</v>
      </c>
      <c r="BA45" s="9" t="n">
        <v>28.48</v>
      </c>
      <c r="BB45" s="9" t="n">
        <v>3.76</v>
      </c>
      <c r="BC45" s="9" t="n">
        <v>6.53</v>
      </c>
      <c r="BD45" s="9" t="n">
        <v>22.53</v>
      </c>
      <c r="BE45" s="9" t="n">
        <v>4.65</v>
      </c>
      <c r="BF45" s="9" t="n">
        <v>7.76</v>
      </c>
      <c r="BG45" s="9" t="n">
        <v>15.47</v>
      </c>
      <c r="BH45" s="9" t="n">
        <v>71.12</v>
      </c>
      <c r="BI45" s="9" t="n">
        <v>30</v>
      </c>
      <c r="BJ45" s="9" t="n">
        <v>42.18</v>
      </c>
      <c r="BK45" s="9" t="n">
        <v>2.09</v>
      </c>
      <c r="BL45" s="9" t="n">
        <v>1.41</v>
      </c>
      <c r="BM45" s="9" t="n">
        <v>9.119999999999999</v>
      </c>
      <c r="BN45" s="9" t="n">
        <v>4.15</v>
      </c>
      <c r="BO45" s="9" t="n">
        <v>45.48</v>
      </c>
      <c r="BP45" s="9" t="n">
        <v>68.79000000000001</v>
      </c>
      <c r="BQ45" s="9" t="n">
        <v>41.18</v>
      </c>
      <c r="BR45" s="9" t="n">
        <v>59.85</v>
      </c>
      <c r="BS45" s="9" t="n">
        <v>29.76</v>
      </c>
      <c r="BT45" s="9" t="n">
        <v>13.41</v>
      </c>
      <c r="BU45" s="9" t="n">
        <v>45.06</v>
      </c>
      <c r="BV45" s="9" t="n">
        <v>3.65</v>
      </c>
      <c r="BW45" s="9" t="n">
        <v>1.71</v>
      </c>
      <c r="BX45" s="9" t="n">
        <v>46.77</v>
      </c>
      <c r="BY45" s="9" t="n">
        <v>40.74</v>
      </c>
      <c r="BZ45" s="9" t="n">
        <v>14.35</v>
      </c>
      <c r="CA45" s="9" t="n">
        <v>13.29</v>
      </c>
      <c r="CB45" s="9" t="n">
        <v>2.18</v>
      </c>
      <c r="CC45" s="9" t="n">
        <v>0.21</v>
      </c>
      <c r="CD45" s="9" t="n">
        <v>140.62</v>
      </c>
      <c r="CE45" s="9" t="n">
        <v>100.71</v>
      </c>
      <c r="CF45" s="9" t="n">
        <v>71.62</v>
      </c>
      <c r="CG45" s="9" t="n">
        <v>60.71</v>
      </c>
      <c r="CH45" s="9" t="n">
        <v>56.76</v>
      </c>
      <c r="CI45" s="9" t="n">
        <v>93.51000000000001</v>
      </c>
      <c r="CJ45" s="9" t="n">
        <v>154.62</v>
      </c>
      <c r="CK45" s="9" t="n">
        <v>136.79</v>
      </c>
      <c r="CL45" s="9" t="n">
        <v>88.47</v>
      </c>
      <c r="CM45" s="9" t="n">
        <v>49.82</v>
      </c>
      <c r="CN45" s="9" t="n">
        <v>26.44</v>
      </c>
      <c r="CO45" s="9" t="n">
        <v>53.07</v>
      </c>
      <c r="CP45" s="9" t="n">
        <v>57.53</v>
      </c>
      <c r="CQ45" s="9" t="n">
        <v>39.38</v>
      </c>
      <c r="CR45" s="9" t="n">
        <v>68.45999999999999</v>
      </c>
      <c r="CS45" s="9" t="n">
        <v>72.5</v>
      </c>
      <c r="CT45" s="9" t="n">
        <v>53.68</v>
      </c>
      <c r="CU45" s="9" t="n">
        <v>74.04000000000001</v>
      </c>
      <c r="CV45" s="9" t="n">
        <v>3.29</v>
      </c>
      <c r="CW45" s="9" t="n">
        <v>1.35</v>
      </c>
      <c r="CX45" s="9" t="n">
        <v>41.07</v>
      </c>
      <c r="CY45" s="9" t="n">
        <v>21.97</v>
      </c>
      <c r="CZ45" s="9" t="n">
        <v>20.38</v>
      </c>
      <c r="DA45" s="9" t="n">
        <v>92.77</v>
      </c>
      <c r="DB45" s="9" t="n">
        <v>6.68</v>
      </c>
      <c r="DC45" s="9" t="n">
        <v>16.04</v>
      </c>
      <c r="DD45" s="9" t="n">
        <v>3.81</v>
      </c>
      <c r="DE45" s="9" t="n">
        <v>12.49</v>
      </c>
      <c r="DF45" s="9" t="n">
        <v>19.94</v>
      </c>
      <c r="DG45" s="9" t="n">
        <v>20.8</v>
      </c>
      <c r="DH45" s="9" t="n">
        <v>12.21</v>
      </c>
      <c r="DI45" s="9" t="n">
        <v>1.41</v>
      </c>
      <c r="DJ45" s="9" t="n">
        <v>1.28</v>
      </c>
      <c r="DK45" s="9" t="n">
        <v>9.119999999999999</v>
      </c>
      <c r="DL45" s="9" t="n">
        <v>3.79</v>
      </c>
      <c r="DM45" s="9" t="n">
        <v>41.61</v>
      </c>
      <c r="DN45" s="9" t="n">
        <v>415.59</v>
      </c>
      <c r="DO45" s="9" t="n">
        <v>344.88</v>
      </c>
      <c r="DP45" s="9" t="n">
        <v>82.98999999999999</v>
      </c>
      <c r="DQ45" s="9" t="n">
        <v>49.67</v>
      </c>
      <c r="DR45" s="9" t="n">
        <v>101.12</v>
      </c>
      <c r="DS45" s="9" t="n">
        <v>17.09</v>
      </c>
      <c r="DT45" s="9" t="n">
        <v>37.21</v>
      </c>
      <c r="DU45" s="9" t="n">
        <v>46.82</v>
      </c>
      <c r="DV45" s="9" t="n">
        <v>76.20999999999999</v>
      </c>
      <c r="DW45" s="9" t="n">
        <v>35.88</v>
      </c>
      <c r="DX45" s="9" t="n">
        <v>30.29</v>
      </c>
      <c r="DY45" s="9" t="n">
        <v>10.03</v>
      </c>
      <c r="DZ45" s="9" t="n">
        <v>198.29</v>
      </c>
      <c r="EA45" s="9" t="n">
        <v>93.70999999999999</v>
      </c>
      <c r="EB45" s="9" t="n">
        <v>47.26</v>
      </c>
      <c r="EC45" s="9" t="n">
        <v>3.47</v>
      </c>
      <c r="ED45" s="9" t="n">
        <v>0.91</v>
      </c>
      <c r="EE45" s="9" t="n">
        <v>26.27</v>
      </c>
      <c r="EF45" s="9" t="n">
        <v>26.41</v>
      </c>
      <c r="EG45" s="9" t="n">
        <v>4.59</v>
      </c>
      <c r="EH45" s="9" t="n">
        <v>17.37</v>
      </c>
      <c r="EI45" s="9" t="n">
        <v>2</v>
      </c>
      <c r="EJ45" s="9" t="n">
        <v>0.79</v>
      </c>
      <c r="EK45" s="9" t="n">
        <v>39.71</v>
      </c>
      <c r="EL45" s="9" t="n">
        <v>27.12</v>
      </c>
      <c r="EM45" s="9" t="n">
        <v>3</v>
      </c>
      <c r="EN45" s="9" t="n">
        <v>11.06</v>
      </c>
      <c r="EO45" s="9" t="n">
        <v>4.91</v>
      </c>
      <c r="EP45" s="9" t="n">
        <v>0.9399999999999999</v>
      </c>
      <c r="EQ45" s="9" t="n">
        <v>19.16</v>
      </c>
      <c r="ER45" s="9" t="n">
        <v>2.65</v>
      </c>
      <c r="ES45" s="9" t="n">
        <v>0.71</v>
      </c>
      <c r="ET45" s="9" t="n">
        <v>26.67</v>
      </c>
      <c r="EU45" s="9" t="n">
        <v>0.24</v>
      </c>
      <c r="EV45" s="9" t="n">
        <v>0.24</v>
      </c>
      <c r="EW45" s="9" t="n">
        <v>100</v>
      </c>
      <c r="EX45" s="9" t="n">
        <v>12.85</v>
      </c>
      <c r="EY45" s="9" t="n">
        <v>4.53</v>
      </c>
      <c r="EZ45" s="9" t="n">
        <v>35.24</v>
      </c>
      <c r="FA45" s="9" t="n">
        <v>4.44</v>
      </c>
      <c r="FB45" s="9" t="n">
        <v>5.41</v>
      </c>
      <c r="FC45" s="9" t="n">
        <v>20.82</v>
      </c>
      <c r="FD45" s="9" t="n">
        <v>3.06</v>
      </c>
      <c r="FE45" s="9" t="n">
        <v>7.79</v>
      </c>
      <c r="FF45" s="9" t="n">
        <v>14</v>
      </c>
      <c r="FG45" s="9" t="n">
        <v>68.79000000000001</v>
      </c>
      <c r="FH45" s="9" t="n">
        <v>27.62</v>
      </c>
      <c r="FI45" s="9" t="n">
        <v>40.15</v>
      </c>
      <c r="FJ45" s="9" t="n">
        <v>2.38</v>
      </c>
      <c r="FK45" s="9" t="n">
        <v>1.26</v>
      </c>
      <c r="FL45" s="9" t="n">
        <v>11.62</v>
      </c>
      <c r="FM45" s="9" t="n">
        <v>4.68</v>
      </c>
      <c r="FN45" s="9" t="n">
        <v>40.25</v>
      </c>
      <c r="FO45" s="9" t="n">
        <v>71.12</v>
      </c>
      <c r="FP45" s="9" t="n">
        <v>41.12</v>
      </c>
      <c r="FQ45" s="9" t="n">
        <v>57.82</v>
      </c>
      <c r="FR45" s="9" t="n">
        <v>29.76</v>
      </c>
      <c r="FS45" s="9" t="n">
        <v>13.94</v>
      </c>
      <c r="FT45" s="9" t="n">
        <v>46.84</v>
      </c>
      <c r="FU45" s="9" t="n">
        <v>4.18</v>
      </c>
      <c r="FV45" s="9" t="n">
        <v>1.91</v>
      </c>
      <c r="FW45" s="9" t="n">
        <v>45.77</v>
      </c>
      <c r="FX45" s="9" t="n">
        <v>39.06</v>
      </c>
      <c r="FY45" s="9" t="n">
        <v>15.94</v>
      </c>
      <c r="FZ45" s="9" t="n">
        <v>15.38</v>
      </c>
      <c r="GA45" s="9" t="n">
        <v>2.62</v>
      </c>
      <c r="GB45" s="9" t="n">
        <v>0.12</v>
      </c>
      <c r="GC45" s="9" t="n">
        <v>143.21</v>
      </c>
      <c r="GD45" s="9" t="n">
        <v>105.56</v>
      </c>
      <c r="GE45" s="9" t="n">
        <v>73.70999999999999</v>
      </c>
      <c r="GF45" s="9" t="n">
        <v>63.15</v>
      </c>
      <c r="GG45" s="9" t="n">
        <v>59.12</v>
      </c>
      <c r="GH45" s="9" t="n">
        <v>93.62</v>
      </c>
      <c r="GI45" s="9" t="n">
        <v>148.38</v>
      </c>
      <c r="GJ45" s="9" t="n">
        <v>130.53</v>
      </c>
      <c r="GK45" s="9" t="n">
        <v>87.97</v>
      </c>
      <c r="GL45" s="9" t="n">
        <v>42</v>
      </c>
      <c r="GM45" s="9" t="n">
        <v>21.65</v>
      </c>
      <c r="GN45" s="9" t="n">
        <v>51.54</v>
      </c>
      <c r="GO45" s="9" t="n">
        <v>50.24</v>
      </c>
      <c r="GP45" s="9" t="n">
        <v>33.56</v>
      </c>
      <c r="GQ45" s="9" t="n">
        <v>66.8</v>
      </c>
      <c r="GR45" s="9" t="n">
        <v>69.44</v>
      </c>
      <c r="GS45" s="9" t="n">
        <v>49.85</v>
      </c>
      <c r="GT45" s="9" t="n">
        <v>71.79000000000001</v>
      </c>
      <c r="GU45" s="9" t="n">
        <v>4.21</v>
      </c>
      <c r="GV45" s="9" t="n">
        <v>1.44</v>
      </c>
      <c r="GW45" s="9" t="n">
        <v>34.27</v>
      </c>
      <c r="GX45" s="9" t="n">
        <v>23.59</v>
      </c>
      <c r="GY45" s="9" t="n">
        <v>20.82</v>
      </c>
      <c r="GZ45" s="9" t="n">
        <v>88.28</v>
      </c>
      <c r="HA45" s="9" t="n">
        <v>8.029999999999999</v>
      </c>
      <c r="HB45" s="9" t="n">
        <v>16.11</v>
      </c>
      <c r="HC45" s="9" t="n">
        <v>3.89</v>
      </c>
      <c r="HD45" s="9" t="n">
        <v>10.87</v>
      </c>
      <c r="HE45" s="9" t="n">
        <v>17.76</v>
      </c>
      <c r="HF45" s="9" t="n">
        <v>19.62</v>
      </c>
      <c r="HG45" s="9" t="n">
        <v>10.4</v>
      </c>
    </row>
    <row r="46">
      <c r="A46" s="12" t="n">
        <v>2023</v>
      </c>
      <c r="B46" s="12" t="n">
        <v>41</v>
      </c>
      <c r="C46" s="5">
        <f>(B46-AVERAGE($B$2:$B$100))/_xlfn.STDEV.P($B$2:$B$100)</f>
        <v/>
      </c>
      <c r="D46" s="12" t="n">
        <v>9</v>
      </c>
      <c r="E46" s="6">
        <f>-D46</f>
        <v/>
      </c>
      <c r="F46" s="7">
        <f>(E46-AVERAGE($E$2:$E$100))/_xlfn.STDEV.P($E$2:$E$100)</f>
        <v/>
      </c>
      <c r="G46" s="7">
        <f>sum(0.5*C46)+(0.5*F46)</f>
        <v/>
      </c>
      <c r="H46" s="12" t="inlineStr">
        <is>
          <t>East</t>
        </is>
      </c>
      <c r="I46" s="8" t="inlineStr">
        <is>
          <t>Miami</t>
        </is>
      </c>
      <c r="J46" s="9" t="n">
        <v>1.26</v>
      </c>
      <c r="K46" s="9" t="n">
        <v>1.23</v>
      </c>
      <c r="L46" s="9" t="n">
        <v>8.970000000000001</v>
      </c>
      <c r="M46" s="9" t="n">
        <v>3.71</v>
      </c>
      <c r="N46" s="9" t="n">
        <v>41.31</v>
      </c>
      <c r="O46" s="9" t="n">
        <v>426.47</v>
      </c>
      <c r="P46" s="9" t="n">
        <v>356.91</v>
      </c>
      <c r="Q46" s="9" t="n">
        <v>83.69</v>
      </c>
      <c r="R46" s="9" t="n">
        <v>48.81</v>
      </c>
      <c r="S46" s="9" t="n">
        <v>99.59</v>
      </c>
      <c r="T46" s="9" t="n">
        <v>17.24</v>
      </c>
      <c r="U46" s="9" t="n">
        <v>37.35</v>
      </c>
      <c r="V46" s="9" t="n">
        <v>45</v>
      </c>
      <c r="W46" s="9" t="n">
        <v>78.12</v>
      </c>
      <c r="X46" s="9" t="n">
        <v>34.41</v>
      </c>
      <c r="Y46" s="9" t="n">
        <v>32</v>
      </c>
      <c r="Z46" s="9" t="n">
        <v>11.71</v>
      </c>
      <c r="AA46" s="9" t="n">
        <v>175.97</v>
      </c>
      <c r="AB46" s="9" t="n">
        <v>86.23999999999999</v>
      </c>
      <c r="AC46" s="9" t="n">
        <v>49.01</v>
      </c>
      <c r="AD46" s="9" t="n">
        <v>3.59</v>
      </c>
      <c r="AE46" s="9" t="n">
        <v>1.35</v>
      </c>
      <c r="AF46" s="9" t="n">
        <v>37.7</v>
      </c>
      <c r="AG46" s="9" t="n">
        <v>25.68</v>
      </c>
      <c r="AH46" s="9" t="n">
        <v>4.82</v>
      </c>
      <c r="AI46" s="9" t="n">
        <v>18.79</v>
      </c>
      <c r="AJ46" s="9" t="n">
        <v>1.18</v>
      </c>
      <c r="AK46" s="9" t="n">
        <v>0.44</v>
      </c>
      <c r="AL46" s="9" t="n">
        <v>37.5</v>
      </c>
      <c r="AM46" s="9" t="n">
        <v>25.88</v>
      </c>
      <c r="AN46" s="9" t="n">
        <v>2.88</v>
      </c>
      <c r="AO46" s="9" t="n">
        <v>11.14</v>
      </c>
      <c r="AP46" s="9" t="n">
        <v>3.85</v>
      </c>
      <c r="AQ46" s="9" t="n">
        <v>1.24</v>
      </c>
      <c r="AR46" s="9" t="n">
        <v>32.06</v>
      </c>
      <c r="AS46" s="9" t="n">
        <v>2.74</v>
      </c>
      <c r="AT46" s="9" t="n">
        <v>0.68</v>
      </c>
      <c r="AU46" s="9" t="n">
        <v>24.73</v>
      </c>
      <c r="AV46" s="9" t="n">
        <v>0.29</v>
      </c>
      <c r="AW46" s="9" t="n">
        <v>0.24</v>
      </c>
      <c r="AX46" s="9" t="n">
        <v>80</v>
      </c>
      <c r="AY46" s="9" t="n">
        <v>11.29</v>
      </c>
      <c r="AZ46" s="9" t="n">
        <v>3.5</v>
      </c>
      <c r="BA46" s="9" t="n">
        <v>30.99</v>
      </c>
      <c r="BB46" s="9" t="n">
        <v>3.38</v>
      </c>
      <c r="BC46" s="9" t="n">
        <v>5.32</v>
      </c>
      <c r="BD46" s="9" t="n">
        <v>18.53</v>
      </c>
      <c r="BE46" s="9" t="n">
        <v>2.35</v>
      </c>
      <c r="BF46" s="9" t="n">
        <v>7.09</v>
      </c>
      <c r="BG46" s="9" t="n">
        <v>12.44</v>
      </c>
      <c r="BH46" s="9" t="n">
        <v>56.74</v>
      </c>
      <c r="BI46" s="9" t="n">
        <v>24.09</v>
      </c>
      <c r="BJ46" s="9" t="n">
        <v>42.46</v>
      </c>
      <c r="BK46" s="9" t="n">
        <v>1.74</v>
      </c>
      <c r="BL46" s="9" t="n">
        <v>1.29</v>
      </c>
      <c r="BM46" s="9" t="n">
        <v>11.85</v>
      </c>
      <c r="BN46" s="9" t="n">
        <v>4.44</v>
      </c>
      <c r="BO46" s="9" t="n">
        <v>37.47</v>
      </c>
      <c r="BP46" s="9" t="n">
        <v>54.97</v>
      </c>
      <c r="BQ46" s="9" t="n">
        <v>32.82</v>
      </c>
      <c r="BR46" s="9" t="n">
        <v>59.71</v>
      </c>
      <c r="BS46" s="9" t="n">
        <v>36.29</v>
      </c>
      <c r="BT46" s="9" t="n">
        <v>17.82</v>
      </c>
      <c r="BU46" s="9" t="n">
        <v>49.11</v>
      </c>
      <c r="BV46" s="9" t="n">
        <v>3.91</v>
      </c>
      <c r="BW46" s="9" t="n">
        <v>1.97</v>
      </c>
      <c r="BX46" s="9" t="n">
        <v>50.38</v>
      </c>
      <c r="BY46" s="9" t="n">
        <v>37.29</v>
      </c>
      <c r="BZ46" s="9" t="n">
        <v>14.62</v>
      </c>
      <c r="CA46" s="9" t="n">
        <v>11.94</v>
      </c>
      <c r="CB46" s="9" t="n">
        <v>2.24</v>
      </c>
      <c r="CC46" s="9" t="n">
        <v>0.12</v>
      </c>
      <c r="CD46" s="9" t="n">
        <v>132.62</v>
      </c>
      <c r="CE46" s="9" t="n">
        <v>93.79000000000001</v>
      </c>
      <c r="CF46" s="9" t="n">
        <v>70.73</v>
      </c>
      <c r="CG46" s="9" t="n">
        <v>65.70999999999999</v>
      </c>
      <c r="CH46" s="9" t="n">
        <v>61.88</v>
      </c>
      <c r="CI46" s="9" t="n">
        <v>94.18000000000001</v>
      </c>
      <c r="CJ46" s="9" t="n">
        <v>162.65</v>
      </c>
      <c r="CK46" s="9" t="n">
        <v>147.12</v>
      </c>
      <c r="CL46" s="9" t="n">
        <v>90.45</v>
      </c>
      <c r="CM46" s="9" t="n">
        <v>47.29</v>
      </c>
      <c r="CN46" s="9" t="n">
        <v>23.97</v>
      </c>
      <c r="CO46" s="9" t="n">
        <v>50.68</v>
      </c>
      <c r="CP46" s="9" t="n">
        <v>52.62</v>
      </c>
      <c r="CQ46" s="9" t="n">
        <v>33.91</v>
      </c>
      <c r="CR46" s="9" t="n">
        <v>64.45</v>
      </c>
      <c r="CS46" s="9" t="n">
        <v>64.56</v>
      </c>
      <c r="CT46" s="9" t="n">
        <v>46.35</v>
      </c>
      <c r="CU46" s="9" t="n">
        <v>71.8</v>
      </c>
      <c r="CV46" s="9" t="n">
        <v>2.44</v>
      </c>
      <c r="CW46" s="9" t="n">
        <v>0.9399999999999999</v>
      </c>
      <c r="CX46" s="9" t="n">
        <v>38.55</v>
      </c>
      <c r="CY46" s="9" t="n">
        <v>19.24</v>
      </c>
      <c r="CZ46" s="9" t="n">
        <v>16.38</v>
      </c>
      <c r="DA46" s="9" t="n">
        <v>85.17</v>
      </c>
      <c r="DB46" s="9" t="n">
        <v>8.380000000000001</v>
      </c>
      <c r="DC46" s="9" t="n">
        <v>16.7</v>
      </c>
      <c r="DD46" s="9" t="n">
        <v>4.23</v>
      </c>
      <c r="DE46" s="9" t="n">
        <v>11.41</v>
      </c>
      <c r="DF46" s="9" t="n">
        <v>18.22</v>
      </c>
      <c r="DG46" s="9" t="n">
        <v>19.51</v>
      </c>
      <c r="DH46" s="9" t="n">
        <v>12.63</v>
      </c>
      <c r="DI46" s="9" t="n">
        <v>1.29</v>
      </c>
      <c r="DJ46" s="9" t="n">
        <v>1.41</v>
      </c>
      <c r="DK46" s="9" t="n">
        <v>11.85</v>
      </c>
      <c r="DL46" s="9" t="n">
        <v>4.18</v>
      </c>
      <c r="DM46" s="9" t="n">
        <v>35.24</v>
      </c>
      <c r="DN46" s="9" t="n">
        <v>444.76</v>
      </c>
      <c r="DO46" s="9" t="n">
        <v>376.29</v>
      </c>
      <c r="DP46" s="9" t="n">
        <v>84.61</v>
      </c>
      <c r="DQ46" s="9" t="n">
        <v>51.19</v>
      </c>
      <c r="DR46" s="9" t="n">
        <v>98.29000000000001</v>
      </c>
      <c r="DS46" s="9" t="n">
        <v>17.44</v>
      </c>
      <c r="DT46" s="9" t="n">
        <v>37.18</v>
      </c>
      <c r="DU46" s="9" t="n">
        <v>43.68</v>
      </c>
      <c r="DV46" s="9" t="n">
        <v>75.84999999999999</v>
      </c>
      <c r="DW46" s="9" t="n">
        <v>34.56</v>
      </c>
      <c r="DX46" s="9" t="n">
        <v>30.85</v>
      </c>
      <c r="DY46" s="9" t="n">
        <v>10.44</v>
      </c>
      <c r="DZ46" s="9" t="n">
        <v>175.97</v>
      </c>
      <c r="EA46" s="9" t="n">
        <v>82.26000000000001</v>
      </c>
      <c r="EB46" s="9" t="n">
        <v>46.75</v>
      </c>
      <c r="EC46" s="9" t="n">
        <v>5.47</v>
      </c>
      <c r="ED46" s="9" t="n">
        <v>1.15</v>
      </c>
      <c r="EE46" s="9" t="n">
        <v>20.97</v>
      </c>
      <c r="EF46" s="9" t="n">
        <v>27.44</v>
      </c>
      <c r="EG46" s="9" t="n">
        <v>7.06</v>
      </c>
      <c r="EH46" s="9" t="n">
        <v>25.72</v>
      </c>
      <c r="EI46" s="9" t="n">
        <v>1.41</v>
      </c>
      <c r="EJ46" s="9" t="n">
        <v>0.5</v>
      </c>
      <c r="EK46" s="9" t="n">
        <v>35.42</v>
      </c>
      <c r="EL46" s="9" t="n">
        <v>23.71</v>
      </c>
      <c r="EM46" s="9" t="n">
        <v>3.44</v>
      </c>
      <c r="EN46" s="9" t="n">
        <v>14.52</v>
      </c>
      <c r="EO46" s="9" t="n">
        <v>4.97</v>
      </c>
      <c r="EP46" s="9" t="n">
        <v>1.35</v>
      </c>
      <c r="EQ46" s="9" t="n">
        <v>27.22</v>
      </c>
      <c r="ER46" s="9" t="n">
        <v>2.29</v>
      </c>
      <c r="ES46" s="9" t="n">
        <v>0.74</v>
      </c>
      <c r="ET46" s="9" t="n">
        <v>32.05</v>
      </c>
      <c r="EU46" s="9" t="n">
        <v>0.26</v>
      </c>
      <c r="EV46" s="9" t="n">
        <v>0.24</v>
      </c>
      <c r="EW46" s="9" t="n">
        <v>88.89</v>
      </c>
      <c r="EX46" s="9" t="n">
        <v>14.56</v>
      </c>
      <c r="EY46" s="9" t="n">
        <v>4.62</v>
      </c>
      <c r="EZ46" s="9" t="n">
        <v>31.72</v>
      </c>
      <c r="FA46" s="9" t="n">
        <v>4.68</v>
      </c>
      <c r="FB46" s="9" t="n">
        <v>7.09</v>
      </c>
      <c r="FC46" s="9" t="n">
        <v>24.12</v>
      </c>
      <c r="FD46" s="9" t="n">
        <v>4.06</v>
      </c>
      <c r="FE46" s="9" t="n">
        <v>8.91</v>
      </c>
      <c r="FF46" s="9" t="n">
        <v>17.09</v>
      </c>
      <c r="FG46" s="9" t="n">
        <v>54.97</v>
      </c>
      <c r="FH46" s="9" t="n">
        <v>22.15</v>
      </c>
      <c r="FI46" s="9" t="n">
        <v>40.29</v>
      </c>
      <c r="FJ46" s="9" t="n">
        <v>1.18</v>
      </c>
      <c r="FK46" s="9" t="n">
        <v>1.26</v>
      </c>
      <c r="FL46" s="9" t="n">
        <v>8.970000000000001</v>
      </c>
      <c r="FM46" s="9" t="n">
        <v>3.82</v>
      </c>
      <c r="FN46" s="9" t="n">
        <v>42.62</v>
      </c>
      <c r="FO46" s="9" t="n">
        <v>56.74</v>
      </c>
      <c r="FP46" s="9" t="n">
        <v>32.65</v>
      </c>
      <c r="FQ46" s="9" t="n">
        <v>57.54</v>
      </c>
      <c r="FR46" s="9" t="n">
        <v>36.29</v>
      </c>
      <c r="FS46" s="9" t="n">
        <v>15.97</v>
      </c>
      <c r="FT46" s="9" t="n">
        <v>44</v>
      </c>
      <c r="FU46" s="9" t="n">
        <v>3.09</v>
      </c>
      <c r="FV46" s="9" t="n">
        <v>1.12</v>
      </c>
      <c r="FW46" s="9" t="n">
        <v>36.19</v>
      </c>
      <c r="FX46" s="9" t="n">
        <v>37.59</v>
      </c>
      <c r="FY46" s="9" t="n">
        <v>14.41</v>
      </c>
      <c r="FZ46" s="9" t="n">
        <v>14.06</v>
      </c>
      <c r="GA46" s="9" t="n">
        <v>2.59</v>
      </c>
      <c r="GB46" s="9" t="n">
        <v>0.03</v>
      </c>
      <c r="GC46" s="9" t="n">
        <v>142.71</v>
      </c>
      <c r="GD46" s="9" t="n">
        <v>106.35</v>
      </c>
      <c r="GE46" s="9" t="n">
        <v>74.53</v>
      </c>
      <c r="GF46" s="9" t="n">
        <v>68.65000000000001</v>
      </c>
      <c r="GG46" s="9" t="n">
        <v>64.91</v>
      </c>
      <c r="GH46" s="9" t="n">
        <v>94.56</v>
      </c>
      <c r="GI46" s="9" t="n">
        <v>168.91</v>
      </c>
      <c r="GJ46" s="9" t="n">
        <v>151.88</v>
      </c>
      <c r="GK46" s="9" t="n">
        <v>89.92</v>
      </c>
      <c r="GL46" s="9" t="n">
        <v>44.09</v>
      </c>
      <c r="GM46" s="9" t="n">
        <v>25.18</v>
      </c>
      <c r="GN46" s="9" t="n">
        <v>57.1</v>
      </c>
      <c r="GO46" s="9" t="n">
        <v>52.41</v>
      </c>
      <c r="GP46" s="9" t="n">
        <v>37.32</v>
      </c>
      <c r="GQ46" s="9" t="n">
        <v>71.20999999999999</v>
      </c>
      <c r="GR46" s="9" t="n">
        <v>71.38</v>
      </c>
      <c r="GS46" s="9" t="n">
        <v>52.56</v>
      </c>
      <c r="GT46" s="9" t="n">
        <v>73.63</v>
      </c>
      <c r="GU46" s="9" t="n">
        <v>3.24</v>
      </c>
      <c r="GV46" s="9" t="n">
        <v>1.29</v>
      </c>
      <c r="GW46" s="9" t="n">
        <v>40</v>
      </c>
      <c r="GX46" s="9" t="n">
        <v>19.82</v>
      </c>
      <c r="GY46" s="9" t="n">
        <v>18.29</v>
      </c>
      <c r="GZ46" s="9" t="n">
        <v>92.28</v>
      </c>
      <c r="HA46" s="9" t="n">
        <v>6.38</v>
      </c>
      <c r="HB46" s="9" t="n">
        <v>16.65</v>
      </c>
      <c r="HC46" s="9" t="n">
        <v>4.51</v>
      </c>
      <c r="HD46" s="9" t="n">
        <v>10.19</v>
      </c>
      <c r="HE46" s="9" t="n">
        <v>18.72</v>
      </c>
      <c r="HF46" s="9" t="n">
        <v>19.39</v>
      </c>
      <c r="HG46" s="9" t="n">
        <v>12.05</v>
      </c>
    </row>
    <row r="47">
      <c r="A47" s="12" t="n">
        <v>2023</v>
      </c>
      <c r="B47" s="12" t="n">
        <v>42</v>
      </c>
      <c r="C47" s="5">
        <f>(B47-AVERAGE($B$2:$B$100))/_xlfn.STDEV.P($B$2:$B$100)</f>
        <v/>
      </c>
      <c r="D47" s="12" t="n">
        <v>10</v>
      </c>
      <c r="E47" s="6">
        <f>-D47</f>
        <v/>
      </c>
      <c r="F47" s="7">
        <f>(E47-AVERAGE($E$2:$E$100))/_xlfn.STDEV.P($E$2:$E$100)</f>
        <v/>
      </c>
      <c r="G47" s="7">
        <f>sum(0.5*C47)+(0.5*F47)</f>
        <v/>
      </c>
      <c r="H47" s="12" t="inlineStr">
        <is>
          <t>West</t>
        </is>
      </c>
      <c r="I47" s="8" t="inlineStr">
        <is>
          <t>Oakland Roots</t>
        </is>
      </c>
      <c r="J47" s="9" t="n">
        <v>1.32</v>
      </c>
      <c r="K47" s="9" t="n">
        <v>1.44</v>
      </c>
      <c r="L47" s="9" t="n">
        <v>11.12</v>
      </c>
      <c r="M47" s="9" t="n">
        <v>4.21</v>
      </c>
      <c r="N47" s="9" t="n">
        <v>37.83</v>
      </c>
      <c r="O47" s="9" t="n">
        <v>434.82</v>
      </c>
      <c r="P47" s="9" t="n">
        <v>362</v>
      </c>
      <c r="Q47" s="9" t="n">
        <v>83.25</v>
      </c>
      <c r="R47" s="9" t="n">
        <v>51.64</v>
      </c>
      <c r="S47" s="9" t="n">
        <v>104.15</v>
      </c>
      <c r="T47" s="9" t="n">
        <v>17.44</v>
      </c>
      <c r="U47" s="9" t="n">
        <v>37.38</v>
      </c>
      <c r="V47" s="9" t="n">
        <v>49.32</v>
      </c>
      <c r="W47" s="9" t="n">
        <v>81.91</v>
      </c>
      <c r="X47" s="9" t="n">
        <v>36.44</v>
      </c>
      <c r="Y47" s="9" t="n">
        <v>32.97</v>
      </c>
      <c r="Z47" s="9" t="n">
        <v>12.5</v>
      </c>
      <c r="AA47" s="9" t="n">
        <v>190.59</v>
      </c>
      <c r="AB47" s="9" t="n">
        <v>88.44</v>
      </c>
      <c r="AC47" s="9" t="n">
        <v>46.4</v>
      </c>
      <c r="AD47" s="9" t="n">
        <v>4.62</v>
      </c>
      <c r="AE47" s="9" t="n">
        <v>1.32</v>
      </c>
      <c r="AF47" s="9" t="n">
        <v>28.66</v>
      </c>
      <c r="AG47" s="9" t="n">
        <v>28.24</v>
      </c>
      <c r="AH47" s="9" t="n">
        <v>6.32</v>
      </c>
      <c r="AI47" s="9" t="n">
        <v>22.4</v>
      </c>
      <c r="AJ47" s="9" t="n">
        <v>1.32</v>
      </c>
      <c r="AK47" s="9" t="n">
        <v>0.38</v>
      </c>
      <c r="AL47" s="9" t="n">
        <v>28.89</v>
      </c>
      <c r="AM47" s="9" t="n">
        <v>27.38</v>
      </c>
      <c r="AN47" s="9" t="n">
        <v>3.88</v>
      </c>
      <c r="AO47" s="9" t="n">
        <v>14.18</v>
      </c>
      <c r="AP47" s="9" t="n">
        <v>4.94</v>
      </c>
      <c r="AQ47" s="9" t="n">
        <v>1.53</v>
      </c>
      <c r="AR47" s="9" t="n">
        <v>30.95</v>
      </c>
      <c r="AS47" s="9" t="n">
        <v>2.56</v>
      </c>
      <c r="AT47" s="9" t="n">
        <v>0.65</v>
      </c>
      <c r="AU47" s="9" t="n">
        <v>25.29</v>
      </c>
      <c r="AV47" s="9" t="n">
        <v>0.21</v>
      </c>
      <c r="AW47" s="9" t="n">
        <v>0.15</v>
      </c>
      <c r="AX47" s="9" t="n">
        <v>71.43000000000001</v>
      </c>
      <c r="AY47" s="9" t="n">
        <v>12.62</v>
      </c>
      <c r="AZ47" s="9" t="n">
        <v>4.35</v>
      </c>
      <c r="BA47" s="9" t="n">
        <v>34.5</v>
      </c>
      <c r="BB47" s="9" t="n">
        <v>4.24</v>
      </c>
      <c r="BC47" s="9" t="n">
        <v>7.56</v>
      </c>
      <c r="BD47" s="9" t="n">
        <v>22.82</v>
      </c>
      <c r="BE47" s="9" t="n">
        <v>3.15</v>
      </c>
      <c r="BF47" s="9" t="n">
        <v>7.29</v>
      </c>
      <c r="BG47" s="9" t="n">
        <v>15.82</v>
      </c>
      <c r="BH47" s="9" t="n">
        <v>65.88</v>
      </c>
      <c r="BI47" s="9" t="n">
        <v>25.62</v>
      </c>
      <c r="BJ47" s="9" t="n">
        <v>38.88</v>
      </c>
      <c r="BK47" s="9" t="n">
        <v>1.79</v>
      </c>
      <c r="BL47" s="9" t="n">
        <v>1.41</v>
      </c>
      <c r="BM47" s="9" t="n">
        <v>10.56</v>
      </c>
      <c r="BN47" s="9" t="n">
        <v>4.85</v>
      </c>
      <c r="BO47" s="9" t="n">
        <v>45.96</v>
      </c>
      <c r="BP47" s="9" t="n">
        <v>62.24</v>
      </c>
      <c r="BQ47" s="9" t="n">
        <v>35.76</v>
      </c>
      <c r="BR47" s="9" t="n">
        <v>57.47</v>
      </c>
      <c r="BS47" s="9" t="n">
        <v>32.56</v>
      </c>
      <c r="BT47" s="9" t="n">
        <v>14</v>
      </c>
      <c r="BU47" s="9" t="n">
        <v>43</v>
      </c>
      <c r="BV47" s="9" t="n">
        <v>2.65</v>
      </c>
      <c r="BW47" s="9" t="n">
        <v>1</v>
      </c>
      <c r="BX47" s="9" t="n">
        <v>37.78</v>
      </c>
      <c r="BY47" s="9" t="n">
        <v>38.97</v>
      </c>
      <c r="BZ47" s="9" t="n">
        <v>14.38</v>
      </c>
      <c r="CA47" s="9" t="n">
        <v>12.41</v>
      </c>
      <c r="CB47" s="9" t="n">
        <v>2.74</v>
      </c>
      <c r="CC47" s="9" t="n">
        <v>0.15</v>
      </c>
      <c r="CD47" s="9" t="n">
        <v>140.68</v>
      </c>
      <c r="CE47" s="9" t="n">
        <v>101.26</v>
      </c>
      <c r="CF47" s="9" t="n">
        <v>71.98</v>
      </c>
      <c r="CG47" s="9" t="n">
        <v>67.15000000000001</v>
      </c>
      <c r="CH47" s="9" t="n">
        <v>62.53</v>
      </c>
      <c r="CI47" s="9" t="n">
        <v>93.12</v>
      </c>
      <c r="CJ47" s="9" t="n">
        <v>167.03</v>
      </c>
      <c r="CK47" s="9" t="n">
        <v>148.76</v>
      </c>
      <c r="CL47" s="9" t="n">
        <v>89.06</v>
      </c>
      <c r="CM47" s="9" t="n">
        <v>46.47</v>
      </c>
      <c r="CN47" s="9" t="n">
        <v>23.85</v>
      </c>
      <c r="CO47" s="9" t="n">
        <v>51.33</v>
      </c>
      <c r="CP47" s="9" t="n">
        <v>54.82</v>
      </c>
      <c r="CQ47" s="9" t="n">
        <v>36.15</v>
      </c>
      <c r="CR47" s="9" t="n">
        <v>65.93000000000001</v>
      </c>
      <c r="CS47" s="9" t="n">
        <v>72.81999999999999</v>
      </c>
      <c r="CT47" s="9" t="n">
        <v>53.26</v>
      </c>
      <c r="CU47" s="9" t="n">
        <v>73.14</v>
      </c>
      <c r="CV47" s="9" t="n">
        <v>3.74</v>
      </c>
      <c r="CW47" s="9" t="n">
        <v>1.09</v>
      </c>
      <c r="CX47" s="9" t="n">
        <v>29.13</v>
      </c>
      <c r="CY47" s="9" t="n">
        <v>20.44</v>
      </c>
      <c r="CZ47" s="9" t="n">
        <v>18.79</v>
      </c>
      <c r="DA47" s="9" t="n">
        <v>91.94</v>
      </c>
      <c r="DB47" s="9" t="n">
        <v>7.32</v>
      </c>
      <c r="DC47" s="9" t="n">
        <v>16.36</v>
      </c>
      <c r="DD47" s="9" t="n">
        <v>4.09</v>
      </c>
      <c r="DE47" s="9" t="n">
        <v>11.24</v>
      </c>
      <c r="DF47" s="9" t="n">
        <v>18.5</v>
      </c>
      <c r="DG47" s="9" t="n">
        <v>20.11</v>
      </c>
      <c r="DH47" s="9" t="n">
        <v>11.28</v>
      </c>
      <c r="DI47" s="9" t="n">
        <v>1.41</v>
      </c>
      <c r="DJ47" s="9" t="n">
        <v>1.26</v>
      </c>
      <c r="DK47" s="9" t="n">
        <v>10.56</v>
      </c>
      <c r="DL47" s="9" t="n">
        <v>4.71</v>
      </c>
      <c r="DM47" s="9" t="n">
        <v>44.57</v>
      </c>
      <c r="DN47" s="9" t="n">
        <v>398.65</v>
      </c>
      <c r="DO47" s="9" t="n">
        <v>326.32</v>
      </c>
      <c r="DP47" s="9" t="n">
        <v>81.86</v>
      </c>
      <c r="DQ47" s="9" t="n">
        <v>48.36</v>
      </c>
      <c r="DR47" s="9" t="n">
        <v>104.32</v>
      </c>
      <c r="DS47" s="9" t="n">
        <v>20.21</v>
      </c>
      <c r="DT47" s="9" t="n">
        <v>37.32</v>
      </c>
      <c r="DU47" s="9" t="n">
        <v>46.79</v>
      </c>
      <c r="DV47" s="9" t="n">
        <v>82.23999999999999</v>
      </c>
      <c r="DW47" s="9" t="n">
        <v>38.62</v>
      </c>
      <c r="DX47" s="9" t="n">
        <v>32.62</v>
      </c>
      <c r="DY47" s="9" t="n">
        <v>11</v>
      </c>
      <c r="DZ47" s="9" t="n">
        <v>190.59</v>
      </c>
      <c r="EA47" s="9" t="n">
        <v>95.06</v>
      </c>
      <c r="EB47" s="9" t="n">
        <v>49.88</v>
      </c>
      <c r="EC47" s="9" t="n">
        <v>4.59</v>
      </c>
      <c r="ED47" s="9" t="n">
        <v>1.71</v>
      </c>
      <c r="EE47" s="9" t="n">
        <v>37.18</v>
      </c>
      <c r="EF47" s="9" t="n">
        <v>26</v>
      </c>
      <c r="EG47" s="9" t="n">
        <v>6.21</v>
      </c>
      <c r="EH47" s="9" t="n">
        <v>23.87</v>
      </c>
      <c r="EI47" s="9" t="n">
        <v>2.35</v>
      </c>
      <c r="EJ47" s="9" t="n">
        <v>0.85</v>
      </c>
      <c r="EK47" s="9" t="n">
        <v>36.25</v>
      </c>
      <c r="EL47" s="9" t="n">
        <v>23.68</v>
      </c>
      <c r="EM47" s="9" t="n">
        <v>2.88</v>
      </c>
      <c r="EN47" s="9" t="n">
        <v>12.17</v>
      </c>
      <c r="EO47" s="9" t="n">
        <v>3.85</v>
      </c>
      <c r="EP47" s="9" t="n">
        <v>1.03</v>
      </c>
      <c r="EQ47" s="9" t="n">
        <v>26.72</v>
      </c>
      <c r="ER47" s="9" t="n">
        <v>2.91</v>
      </c>
      <c r="ES47" s="9" t="n">
        <v>0.5</v>
      </c>
      <c r="ET47" s="9" t="n">
        <v>17.17</v>
      </c>
      <c r="EU47" s="9" t="n">
        <v>0.09</v>
      </c>
      <c r="EV47" s="9" t="n">
        <v>0.09</v>
      </c>
      <c r="EW47" s="9" t="n">
        <v>100</v>
      </c>
      <c r="EX47" s="9" t="n">
        <v>11.85</v>
      </c>
      <c r="EY47" s="9" t="n">
        <v>3.76</v>
      </c>
      <c r="EZ47" s="9" t="n">
        <v>31.76</v>
      </c>
      <c r="FA47" s="9" t="n">
        <v>3.65</v>
      </c>
      <c r="FB47" s="9" t="n">
        <v>6.21</v>
      </c>
      <c r="FC47" s="9" t="n">
        <v>21.59</v>
      </c>
      <c r="FD47" s="9" t="n">
        <v>4.06</v>
      </c>
      <c r="FE47" s="9" t="n">
        <v>7.21</v>
      </c>
      <c r="FF47" s="9" t="n">
        <v>15.06</v>
      </c>
      <c r="FG47" s="9" t="n">
        <v>62.24</v>
      </c>
      <c r="FH47" s="9" t="n">
        <v>26.47</v>
      </c>
      <c r="FI47" s="9" t="n">
        <v>42.53</v>
      </c>
      <c r="FJ47" s="9" t="n">
        <v>1.85</v>
      </c>
      <c r="FK47" s="9" t="n">
        <v>1.32</v>
      </c>
      <c r="FL47" s="9" t="n">
        <v>11.12</v>
      </c>
      <c r="FM47" s="9" t="n">
        <v>4.5</v>
      </c>
      <c r="FN47" s="9" t="n">
        <v>40.48</v>
      </c>
      <c r="FO47" s="9" t="n">
        <v>65.91</v>
      </c>
      <c r="FP47" s="9" t="n">
        <v>40.26</v>
      </c>
      <c r="FQ47" s="9" t="n">
        <v>61.09</v>
      </c>
      <c r="FR47" s="9" t="n">
        <v>32.53</v>
      </c>
      <c r="FS47" s="9" t="n">
        <v>15.85</v>
      </c>
      <c r="FT47" s="9" t="n">
        <v>48.73</v>
      </c>
      <c r="FU47" s="9" t="n">
        <v>3.68</v>
      </c>
      <c r="FV47" s="9" t="n">
        <v>1.68</v>
      </c>
      <c r="FW47" s="9" t="n">
        <v>45.6</v>
      </c>
      <c r="FX47" s="9" t="n">
        <v>41.35</v>
      </c>
      <c r="FY47" s="9" t="n">
        <v>15.53</v>
      </c>
      <c r="FZ47" s="9" t="n">
        <v>14.38</v>
      </c>
      <c r="GA47" s="9" t="n">
        <v>2.59</v>
      </c>
      <c r="GB47" s="9" t="n">
        <v>0.09</v>
      </c>
      <c r="GC47" s="9" t="n">
        <v>137.18</v>
      </c>
      <c r="GD47" s="9" t="n">
        <v>96.84999999999999</v>
      </c>
      <c r="GE47" s="9" t="n">
        <v>70.59999999999999</v>
      </c>
      <c r="GF47" s="9" t="n">
        <v>59.32</v>
      </c>
      <c r="GG47" s="9" t="n">
        <v>55.65</v>
      </c>
      <c r="GH47" s="9" t="n">
        <v>93.8</v>
      </c>
      <c r="GI47" s="9" t="n">
        <v>144.68</v>
      </c>
      <c r="GJ47" s="9" t="n">
        <v>127</v>
      </c>
      <c r="GK47" s="9" t="n">
        <v>87.78</v>
      </c>
      <c r="GL47" s="9" t="n">
        <v>46.91</v>
      </c>
      <c r="GM47" s="9" t="n">
        <v>23.79</v>
      </c>
      <c r="GN47" s="9" t="n">
        <v>50.72</v>
      </c>
      <c r="GO47" s="9" t="n">
        <v>51.94</v>
      </c>
      <c r="GP47" s="9" t="n">
        <v>32.97</v>
      </c>
      <c r="GQ47" s="9" t="n">
        <v>63.48</v>
      </c>
      <c r="GR47" s="9" t="n">
        <v>69.29000000000001</v>
      </c>
      <c r="GS47" s="9" t="n">
        <v>48.79</v>
      </c>
      <c r="GT47" s="9" t="n">
        <v>70.42</v>
      </c>
      <c r="GU47" s="9" t="n">
        <v>2.47</v>
      </c>
      <c r="GV47" s="9" t="n">
        <v>0.9399999999999999</v>
      </c>
      <c r="GW47" s="9" t="n">
        <v>38.1</v>
      </c>
      <c r="GX47" s="9" t="n">
        <v>18.06</v>
      </c>
      <c r="GY47" s="9" t="n">
        <v>16</v>
      </c>
      <c r="GZ47" s="9" t="n">
        <v>88.59999999999999</v>
      </c>
      <c r="HA47" s="9" t="n">
        <v>7.15</v>
      </c>
      <c r="HB47" s="9" t="n">
        <v>16.03</v>
      </c>
      <c r="HC47" s="9" t="n">
        <v>3.94</v>
      </c>
      <c r="HD47" s="9" t="n">
        <v>12.37</v>
      </c>
      <c r="HE47" s="9" t="n">
        <v>18.84</v>
      </c>
      <c r="HF47" s="9" t="n">
        <v>19.92</v>
      </c>
      <c r="HG47" s="9" t="n">
        <v>11.46</v>
      </c>
    </row>
    <row r="48">
      <c r="A48" s="12" t="n">
        <v>2023</v>
      </c>
      <c r="B48" s="12" t="n">
        <v>39</v>
      </c>
      <c r="C48" s="5">
        <f>(B48-AVERAGE($B$2:$B$100))/_xlfn.STDEV.P($B$2:$B$100)</f>
        <v/>
      </c>
      <c r="D48" s="12" t="n">
        <v>10</v>
      </c>
      <c r="E48" s="6">
        <f>-D48</f>
        <v/>
      </c>
      <c r="F48" s="7">
        <f>(E48-AVERAGE($E$2:$E$100))/_xlfn.STDEV.P($E$2:$E$100)</f>
        <v/>
      </c>
      <c r="G48" s="7">
        <f>sum(0.5*C48)+(0.5*F48)</f>
        <v/>
      </c>
      <c r="H48" s="12" t="inlineStr">
        <is>
          <t>East</t>
        </is>
      </c>
      <c r="I48" s="8" t="inlineStr">
        <is>
          <t>FC Tulsa</t>
        </is>
      </c>
      <c r="J48" s="9" t="n">
        <v>1.26</v>
      </c>
      <c r="K48" s="9" t="n">
        <v>1.29</v>
      </c>
      <c r="L48" s="9" t="n">
        <v>10</v>
      </c>
      <c r="M48" s="9" t="n">
        <v>3.68</v>
      </c>
      <c r="N48" s="9" t="n">
        <v>36.76</v>
      </c>
      <c r="O48" s="9" t="n">
        <v>441.21</v>
      </c>
      <c r="P48" s="9" t="n">
        <v>368.21</v>
      </c>
      <c r="Q48" s="9" t="n">
        <v>83.45</v>
      </c>
      <c r="R48" s="9" t="n">
        <v>51.06</v>
      </c>
      <c r="S48" s="9" t="n">
        <v>104.5</v>
      </c>
      <c r="T48" s="9" t="n">
        <v>22.62</v>
      </c>
      <c r="U48" s="9" t="n">
        <v>43.76</v>
      </c>
      <c r="V48" s="9" t="n">
        <v>38.12</v>
      </c>
      <c r="W48" s="9" t="n">
        <v>80.26000000000001</v>
      </c>
      <c r="X48" s="9" t="n">
        <v>42.21</v>
      </c>
      <c r="Y48" s="9" t="n">
        <v>30.18</v>
      </c>
      <c r="Z48" s="9" t="n">
        <v>7.88</v>
      </c>
      <c r="AA48" s="9" t="n">
        <v>204.15</v>
      </c>
      <c r="AB48" s="9" t="n">
        <v>99.53</v>
      </c>
      <c r="AC48" s="9" t="n">
        <v>48.75</v>
      </c>
      <c r="AD48" s="9" t="n">
        <v>3.82</v>
      </c>
      <c r="AE48" s="9" t="n">
        <v>0.88</v>
      </c>
      <c r="AF48" s="9" t="n">
        <v>23.08</v>
      </c>
      <c r="AG48" s="9" t="n">
        <v>22.03</v>
      </c>
      <c r="AH48" s="9" t="n">
        <v>6.21</v>
      </c>
      <c r="AI48" s="9" t="n">
        <v>28.17</v>
      </c>
      <c r="AJ48" s="9" t="n">
        <v>1.5</v>
      </c>
      <c r="AK48" s="9" t="n">
        <v>0.53</v>
      </c>
      <c r="AL48" s="9" t="n">
        <v>35.29</v>
      </c>
      <c r="AM48" s="9" t="n">
        <v>27.26</v>
      </c>
      <c r="AN48" s="9" t="n">
        <v>2.68</v>
      </c>
      <c r="AO48" s="9" t="n">
        <v>9.82</v>
      </c>
      <c r="AP48" s="9" t="n">
        <v>3.47</v>
      </c>
      <c r="AQ48" s="9" t="n">
        <v>1.35</v>
      </c>
      <c r="AR48" s="9" t="n">
        <v>38.98</v>
      </c>
      <c r="AS48" s="9" t="n">
        <v>2.26</v>
      </c>
      <c r="AT48" s="9" t="n">
        <v>0.47</v>
      </c>
      <c r="AU48" s="9" t="n">
        <v>20.78</v>
      </c>
      <c r="AV48" s="9" t="n">
        <v>0.21</v>
      </c>
      <c r="AW48" s="9" t="n">
        <v>0.21</v>
      </c>
      <c r="AX48" s="9" t="n">
        <v>100</v>
      </c>
      <c r="AY48" s="9" t="n">
        <v>9.94</v>
      </c>
      <c r="AZ48" s="9" t="n">
        <v>3.26</v>
      </c>
      <c r="BA48" s="9" t="n">
        <v>32.84</v>
      </c>
      <c r="BB48" s="9" t="n">
        <v>2.97</v>
      </c>
      <c r="BC48" s="9" t="n">
        <v>6</v>
      </c>
      <c r="BD48" s="9" t="n">
        <v>18.97</v>
      </c>
      <c r="BE48" s="9" t="n">
        <v>4.06</v>
      </c>
      <c r="BF48" s="9" t="n">
        <v>5.82</v>
      </c>
      <c r="BG48" s="9" t="n">
        <v>14.41</v>
      </c>
      <c r="BH48" s="9" t="n">
        <v>63.85</v>
      </c>
      <c r="BI48" s="9" t="n">
        <v>25.15</v>
      </c>
      <c r="BJ48" s="9" t="n">
        <v>39.38</v>
      </c>
      <c r="BK48" s="9" t="n">
        <v>1.5</v>
      </c>
      <c r="BL48" s="9" t="n">
        <v>1.62</v>
      </c>
      <c r="BM48" s="9" t="n">
        <v>13.62</v>
      </c>
      <c r="BN48" s="9" t="n">
        <v>4.82</v>
      </c>
      <c r="BO48" s="9" t="n">
        <v>35.42</v>
      </c>
      <c r="BP48" s="9" t="n">
        <v>72</v>
      </c>
      <c r="BQ48" s="9" t="n">
        <v>44.85</v>
      </c>
      <c r="BR48" s="9" t="n">
        <v>62.3</v>
      </c>
      <c r="BS48" s="9" t="n">
        <v>35.29</v>
      </c>
      <c r="BT48" s="9" t="n">
        <v>15.53</v>
      </c>
      <c r="BU48" s="9" t="n">
        <v>44</v>
      </c>
      <c r="BV48" s="9" t="n">
        <v>5.41</v>
      </c>
      <c r="BW48" s="9" t="n">
        <v>2.47</v>
      </c>
      <c r="BX48" s="9" t="n">
        <v>45.65</v>
      </c>
      <c r="BY48" s="9" t="n">
        <v>39.59</v>
      </c>
      <c r="BZ48" s="9" t="n">
        <v>16.56</v>
      </c>
      <c r="CA48" s="9" t="n">
        <v>13.85</v>
      </c>
      <c r="CB48" s="9" t="n">
        <v>2.85</v>
      </c>
      <c r="CC48" s="9" t="n">
        <v>0.03</v>
      </c>
      <c r="CD48" s="9" t="n">
        <v>153</v>
      </c>
      <c r="CE48" s="9" t="n">
        <v>112.06</v>
      </c>
      <c r="CF48" s="9" t="n">
        <v>73.23999999999999</v>
      </c>
      <c r="CG48" s="9" t="n">
        <v>67.91</v>
      </c>
      <c r="CH48" s="9" t="n">
        <v>63.65</v>
      </c>
      <c r="CI48" s="9" t="n">
        <v>93.72</v>
      </c>
      <c r="CJ48" s="9" t="n">
        <v>159.91</v>
      </c>
      <c r="CK48" s="9" t="n">
        <v>143.5</v>
      </c>
      <c r="CL48" s="9" t="n">
        <v>89.73999999999999</v>
      </c>
      <c r="CM48" s="9" t="n">
        <v>47.44</v>
      </c>
      <c r="CN48" s="9" t="n">
        <v>26.26</v>
      </c>
      <c r="CO48" s="9" t="n">
        <v>55.36</v>
      </c>
      <c r="CP48" s="9" t="n">
        <v>46.94</v>
      </c>
      <c r="CQ48" s="9" t="n">
        <v>30.65</v>
      </c>
      <c r="CR48" s="9" t="n">
        <v>65.29000000000001</v>
      </c>
      <c r="CS48" s="9" t="n">
        <v>72.47</v>
      </c>
      <c r="CT48" s="9" t="n">
        <v>48.59</v>
      </c>
      <c r="CU48" s="9" t="n">
        <v>67.05</v>
      </c>
      <c r="CV48" s="9" t="n">
        <v>3.5</v>
      </c>
      <c r="CW48" s="9" t="n">
        <v>1.15</v>
      </c>
      <c r="CX48" s="9" t="n">
        <v>32.77</v>
      </c>
      <c r="CY48" s="9" t="n">
        <v>19.97</v>
      </c>
      <c r="CZ48" s="9" t="n">
        <v>18.29</v>
      </c>
      <c r="DA48" s="9" t="n">
        <v>91.61</v>
      </c>
      <c r="DB48" s="9" t="n">
        <v>9.119999999999999</v>
      </c>
      <c r="DC48" s="9" t="n">
        <v>16.98</v>
      </c>
      <c r="DD48" s="9" t="n">
        <v>4.16</v>
      </c>
      <c r="DE48" s="9" t="n">
        <v>11.15</v>
      </c>
      <c r="DF48" s="9" t="n">
        <v>18.14</v>
      </c>
      <c r="DG48" s="9" t="n">
        <v>19.64</v>
      </c>
      <c r="DH48" s="9" t="n">
        <v>10.94</v>
      </c>
      <c r="DI48" s="9" t="n">
        <v>1.62</v>
      </c>
      <c r="DJ48" s="9" t="n">
        <v>1.74</v>
      </c>
      <c r="DK48" s="9" t="n">
        <v>13.62</v>
      </c>
      <c r="DL48" s="9" t="n">
        <v>4.62</v>
      </c>
      <c r="DM48" s="9" t="n">
        <v>33.91</v>
      </c>
      <c r="DN48" s="9" t="n">
        <v>407.12</v>
      </c>
      <c r="DO48" s="9" t="n">
        <v>339.71</v>
      </c>
      <c r="DP48" s="9" t="n">
        <v>83.44</v>
      </c>
      <c r="DQ48" s="9" t="n">
        <v>48.94</v>
      </c>
      <c r="DR48" s="9" t="n">
        <v>100.68</v>
      </c>
      <c r="DS48" s="9" t="n">
        <v>13.56</v>
      </c>
      <c r="DT48" s="9" t="n">
        <v>35.29</v>
      </c>
      <c r="DU48" s="9" t="n">
        <v>51.82</v>
      </c>
      <c r="DV48" s="9" t="n">
        <v>83.41</v>
      </c>
      <c r="DW48" s="9" t="n">
        <v>30.03</v>
      </c>
      <c r="DX48" s="9" t="n">
        <v>37.88</v>
      </c>
      <c r="DY48" s="9" t="n">
        <v>15.5</v>
      </c>
      <c r="DZ48" s="9" t="n">
        <v>204.15</v>
      </c>
      <c r="EA48" s="9" t="n">
        <v>96.23999999999999</v>
      </c>
      <c r="EB48" s="9" t="n">
        <v>47.14</v>
      </c>
      <c r="EC48" s="9" t="n">
        <v>5.35</v>
      </c>
      <c r="ED48" s="9" t="n">
        <v>1.65</v>
      </c>
      <c r="EE48" s="9" t="n">
        <v>30.77</v>
      </c>
      <c r="EF48" s="9" t="n">
        <v>32.82</v>
      </c>
      <c r="EG48" s="9" t="n">
        <v>8.35</v>
      </c>
      <c r="EH48" s="9" t="n">
        <v>25.45</v>
      </c>
      <c r="EI48" s="9" t="n">
        <v>1.21</v>
      </c>
      <c r="EJ48" s="9" t="n">
        <v>0.71</v>
      </c>
      <c r="EK48" s="9" t="n">
        <v>58.54</v>
      </c>
      <c r="EL48" s="9" t="n">
        <v>25.41</v>
      </c>
      <c r="EM48" s="9" t="n">
        <v>3.76</v>
      </c>
      <c r="EN48" s="9" t="n">
        <v>14.81</v>
      </c>
      <c r="EO48" s="9" t="n">
        <v>4.68</v>
      </c>
      <c r="EP48" s="9" t="n">
        <v>1.56</v>
      </c>
      <c r="EQ48" s="9" t="n">
        <v>33.33</v>
      </c>
      <c r="ER48" s="9" t="n">
        <v>2.85</v>
      </c>
      <c r="ES48" s="9" t="n">
        <v>0.85</v>
      </c>
      <c r="ET48" s="9" t="n">
        <v>29.9</v>
      </c>
      <c r="EU48" s="9" t="n">
        <v>0.18</v>
      </c>
      <c r="EV48" s="9" t="n">
        <v>0.09</v>
      </c>
      <c r="EW48" s="9" t="n">
        <v>50</v>
      </c>
      <c r="EX48" s="9" t="n">
        <v>16.29</v>
      </c>
      <c r="EY48" s="9" t="n">
        <v>6.59</v>
      </c>
      <c r="EZ48" s="9" t="n">
        <v>40.43</v>
      </c>
      <c r="FA48" s="9" t="n">
        <v>6.26</v>
      </c>
      <c r="FB48" s="9" t="n">
        <v>8.619999999999999</v>
      </c>
      <c r="FC48" s="9" t="n">
        <v>27.12</v>
      </c>
      <c r="FD48" s="9" t="n">
        <v>5.03</v>
      </c>
      <c r="FE48" s="9" t="n">
        <v>9.26</v>
      </c>
      <c r="FF48" s="9" t="n">
        <v>21.59</v>
      </c>
      <c r="FG48" s="9" t="n">
        <v>72</v>
      </c>
      <c r="FH48" s="9" t="n">
        <v>27.15</v>
      </c>
      <c r="FI48" s="9" t="n">
        <v>37.7</v>
      </c>
      <c r="FJ48" s="9" t="n">
        <v>1.68</v>
      </c>
      <c r="FK48" s="9" t="n">
        <v>1.26</v>
      </c>
      <c r="FL48" s="9" t="n">
        <v>10</v>
      </c>
      <c r="FM48" s="9" t="n">
        <v>3.76</v>
      </c>
      <c r="FN48" s="9" t="n">
        <v>37.65</v>
      </c>
      <c r="FO48" s="9" t="n">
        <v>63.85</v>
      </c>
      <c r="FP48" s="9" t="n">
        <v>38.71</v>
      </c>
      <c r="FQ48" s="9" t="n">
        <v>60.62</v>
      </c>
      <c r="FR48" s="9" t="n">
        <v>35.29</v>
      </c>
      <c r="FS48" s="9" t="n">
        <v>16.94</v>
      </c>
      <c r="FT48" s="9" t="n">
        <v>48</v>
      </c>
      <c r="FU48" s="9" t="n">
        <v>3.53</v>
      </c>
      <c r="FV48" s="9" t="n">
        <v>1.53</v>
      </c>
      <c r="FW48" s="9" t="n">
        <v>43.33</v>
      </c>
      <c r="FX48" s="9" t="n">
        <v>37.35</v>
      </c>
      <c r="FY48" s="9" t="n">
        <v>11.62</v>
      </c>
      <c r="FZ48" s="9" t="n">
        <v>14.62</v>
      </c>
      <c r="GA48" s="9" t="n">
        <v>2.74</v>
      </c>
      <c r="GB48" s="9" t="n">
        <v>0.12</v>
      </c>
      <c r="GC48" s="9" t="n">
        <v>135.65</v>
      </c>
      <c r="GD48" s="9" t="n">
        <v>100.18</v>
      </c>
      <c r="GE48" s="9" t="n">
        <v>73.84999999999999</v>
      </c>
      <c r="GF48" s="9" t="n">
        <v>63.03</v>
      </c>
      <c r="GG48" s="9" t="n">
        <v>59.21</v>
      </c>
      <c r="GH48" s="9" t="n">
        <v>93.93000000000001</v>
      </c>
      <c r="GI48" s="9" t="n">
        <v>148.41</v>
      </c>
      <c r="GJ48" s="9" t="n">
        <v>131.79</v>
      </c>
      <c r="GK48" s="9" t="n">
        <v>88.8</v>
      </c>
      <c r="GL48" s="9" t="n">
        <v>46.62</v>
      </c>
      <c r="GM48" s="9" t="n">
        <v>25.03</v>
      </c>
      <c r="GN48" s="9" t="n">
        <v>53.69</v>
      </c>
      <c r="GO48" s="9" t="n">
        <v>55.47</v>
      </c>
      <c r="GP48" s="9" t="n">
        <v>36.71</v>
      </c>
      <c r="GQ48" s="9" t="n">
        <v>66.17</v>
      </c>
      <c r="GR48" s="9" t="n">
        <v>70.81999999999999</v>
      </c>
      <c r="GS48" s="9" t="n">
        <v>55.62</v>
      </c>
      <c r="GT48" s="9" t="n">
        <v>78.53</v>
      </c>
      <c r="GU48" s="9" t="n">
        <v>3.35</v>
      </c>
      <c r="GV48" s="9" t="n">
        <v>1.35</v>
      </c>
      <c r="GW48" s="9" t="n">
        <v>40.35</v>
      </c>
      <c r="GX48" s="9" t="n">
        <v>22.15</v>
      </c>
      <c r="GY48" s="9" t="n">
        <v>19.35</v>
      </c>
      <c r="GZ48" s="9" t="n">
        <v>87.38</v>
      </c>
      <c r="HA48" s="9" t="n">
        <v>7.29</v>
      </c>
      <c r="HB48" s="9" t="n">
        <v>16.38</v>
      </c>
      <c r="HC48" s="9" t="n">
        <v>3.84</v>
      </c>
      <c r="HD48" s="9" t="n">
        <v>11.99</v>
      </c>
      <c r="HE48" s="9" t="n">
        <v>17.66</v>
      </c>
      <c r="HF48" s="9" t="n">
        <v>20.21</v>
      </c>
      <c r="HG48" s="9" t="n">
        <v>10.41</v>
      </c>
    </row>
    <row r="49">
      <c r="A49" s="12" t="n">
        <v>2023</v>
      </c>
      <c r="B49" s="12" t="n">
        <v>41</v>
      </c>
      <c r="C49" s="5">
        <f>(B49-AVERAGE($B$2:$B$100))/_xlfn.STDEV.P($B$2:$B$100)</f>
        <v/>
      </c>
      <c r="D49" s="12" t="n">
        <v>11</v>
      </c>
      <c r="E49" s="6">
        <f>-D49</f>
        <v/>
      </c>
      <c r="F49" s="7">
        <f>(E49-AVERAGE($E$2:$E$100))/_xlfn.STDEV.P($E$2:$E$100)</f>
        <v/>
      </c>
      <c r="G49" s="7">
        <f>sum(0.5*C49)+(0.5*F49)</f>
        <v/>
      </c>
      <c r="H49" s="12" t="inlineStr">
        <is>
          <t>West</t>
        </is>
      </c>
      <c r="I49" s="8" t="inlineStr">
        <is>
          <t>Monterey Bay FC</t>
        </is>
      </c>
      <c r="J49" s="9" t="n">
        <v>1.21</v>
      </c>
      <c r="K49" s="9" t="n">
        <v>1.11</v>
      </c>
      <c r="L49" s="9" t="n">
        <v>8.67</v>
      </c>
      <c r="M49" s="9" t="n">
        <v>3.12</v>
      </c>
      <c r="N49" s="9" t="n">
        <v>36.01</v>
      </c>
      <c r="O49" s="9" t="n">
        <v>402.61</v>
      </c>
      <c r="P49" s="9" t="n">
        <v>330.64</v>
      </c>
      <c r="Q49" s="9" t="n">
        <v>82.12</v>
      </c>
      <c r="R49" s="9" t="n">
        <v>46.54</v>
      </c>
      <c r="S49" s="9" t="n">
        <v>106</v>
      </c>
      <c r="T49" s="9" t="n">
        <v>19.82</v>
      </c>
      <c r="U49" s="9" t="n">
        <v>37.79</v>
      </c>
      <c r="V49" s="9" t="n">
        <v>48.39</v>
      </c>
      <c r="W49" s="9" t="n">
        <v>79.42</v>
      </c>
      <c r="X49" s="9" t="n">
        <v>38.45</v>
      </c>
      <c r="Y49" s="9" t="n">
        <v>30.39</v>
      </c>
      <c r="Z49" s="9" t="n">
        <v>10.58</v>
      </c>
      <c r="AA49" s="9" t="n">
        <v>192</v>
      </c>
      <c r="AB49" s="9" t="n">
        <v>90.58</v>
      </c>
      <c r="AC49" s="9" t="n">
        <v>47.17</v>
      </c>
      <c r="AD49" s="9" t="n">
        <v>3.39</v>
      </c>
      <c r="AE49" s="9" t="n">
        <v>0.61</v>
      </c>
      <c r="AF49" s="9" t="n">
        <v>17.86</v>
      </c>
      <c r="AG49" s="9" t="n">
        <v>26.61</v>
      </c>
      <c r="AH49" s="9" t="n">
        <v>4.7</v>
      </c>
      <c r="AI49" s="9" t="n">
        <v>17.65</v>
      </c>
      <c r="AJ49" s="9" t="n">
        <v>2.55</v>
      </c>
      <c r="AK49" s="9" t="n">
        <v>0.9399999999999999</v>
      </c>
      <c r="AL49" s="9" t="n">
        <v>36.9</v>
      </c>
      <c r="AM49" s="9" t="n">
        <v>24.91</v>
      </c>
      <c r="AN49" s="9" t="n">
        <v>2.64</v>
      </c>
      <c r="AO49" s="9" t="n">
        <v>10.58</v>
      </c>
      <c r="AP49" s="9" t="n">
        <v>4.03</v>
      </c>
      <c r="AQ49" s="9" t="n">
        <v>0.88</v>
      </c>
      <c r="AR49" s="9" t="n">
        <v>21.8</v>
      </c>
      <c r="AS49" s="9" t="n">
        <v>2.33</v>
      </c>
      <c r="AT49" s="9" t="n">
        <v>0.58</v>
      </c>
      <c r="AU49" s="9" t="n">
        <v>24.68</v>
      </c>
      <c r="AV49" s="9" t="n">
        <v>0.18</v>
      </c>
      <c r="AW49" s="9" t="n">
        <v>0.15</v>
      </c>
      <c r="AX49" s="9" t="n">
        <v>83.33</v>
      </c>
      <c r="AY49" s="9" t="n">
        <v>15.03</v>
      </c>
      <c r="AZ49" s="9" t="n">
        <v>5.06</v>
      </c>
      <c r="BA49" s="9" t="n">
        <v>33.67</v>
      </c>
      <c r="BB49" s="9" t="n">
        <v>4.67</v>
      </c>
      <c r="BC49" s="9" t="n">
        <v>5.88</v>
      </c>
      <c r="BD49" s="9" t="n">
        <v>21.48</v>
      </c>
      <c r="BE49" s="9" t="n">
        <v>2.33</v>
      </c>
      <c r="BF49" s="9" t="n">
        <v>9.449999999999999</v>
      </c>
      <c r="BG49" s="9" t="n">
        <v>13.79</v>
      </c>
      <c r="BH49" s="9" t="n">
        <v>60.03</v>
      </c>
      <c r="BI49" s="9" t="n">
        <v>22.79</v>
      </c>
      <c r="BJ49" s="9" t="n">
        <v>37.96</v>
      </c>
      <c r="BK49" s="9" t="n">
        <v>1.67</v>
      </c>
      <c r="BL49" s="9" t="n">
        <v>1.58</v>
      </c>
      <c r="BM49" s="9" t="n">
        <v>12.55</v>
      </c>
      <c r="BN49" s="9" t="n">
        <v>4.91</v>
      </c>
      <c r="BO49" s="9" t="n">
        <v>39.13</v>
      </c>
      <c r="BP49" s="9" t="n">
        <v>62.88</v>
      </c>
      <c r="BQ49" s="9" t="n">
        <v>37.94</v>
      </c>
      <c r="BR49" s="9" t="n">
        <v>60.34</v>
      </c>
      <c r="BS49" s="9" t="n">
        <v>39.52</v>
      </c>
      <c r="BT49" s="9" t="n">
        <v>17.52</v>
      </c>
      <c r="BU49" s="9" t="n">
        <v>44.33</v>
      </c>
      <c r="BV49" s="9" t="n">
        <v>4.15</v>
      </c>
      <c r="BW49" s="9" t="n">
        <v>2.24</v>
      </c>
      <c r="BX49" s="9" t="n">
        <v>54.01</v>
      </c>
      <c r="BY49" s="9" t="n">
        <v>40.55</v>
      </c>
      <c r="BZ49" s="9" t="n">
        <v>16.55</v>
      </c>
      <c r="CA49" s="9" t="n">
        <v>11.67</v>
      </c>
      <c r="CB49" s="9" t="n">
        <v>1.91</v>
      </c>
      <c r="CC49" s="9" t="n">
        <v>0.03</v>
      </c>
      <c r="CD49" s="9" t="n">
        <v>137.73</v>
      </c>
      <c r="CE49" s="9" t="n">
        <v>98.64</v>
      </c>
      <c r="CF49" s="9" t="n">
        <v>71.62</v>
      </c>
      <c r="CG49" s="9" t="n">
        <v>60.88</v>
      </c>
      <c r="CH49" s="9" t="n">
        <v>57.12</v>
      </c>
      <c r="CI49" s="9" t="n">
        <v>93.83</v>
      </c>
      <c r="CJ49" s="9" t="n">
        <v>147.97</v>
      </c>
      <c r="CK49" s="9" t="n">
        <v>130.27</v>
      </c>
      <c r="CL49" s="9" t="n">
        <v>88.04000000000001</v>
      </c>
      <c r="CM49" s="9" t="n">
        <v>47.55</v>
      </c>
      <c r="CN49" s="9" t="n">
        <v>26.39</v>
      </c>
      <c r="CO49" s="9" t="n">
        <v>55.51</v>
      </c>
      <c r="CP49" s="9" t="n">
        <v>52.55</v>
      </c>
      <c r="CQ49" s="9" t="n">
        <v>35.21</v>
      </c>
      <c r="CR49" s="9" t="n">
        <v>67.01000000000001</v>
      </c>
      <c r="CS49" s="9" t="n">
        <v>70.84999999999999</v>
      </c>
      <c r="CT49" s="9" t="n">
        <v>50.97</v>
      </c>
      <c r="CU49" s="9" t="n">
        <v>71.94</v>
      </c>
      <c r="CV49" s="9" t="n">
        <v>2.79</v>
      </c>
      <c r="CW49" s="9" t="n">
        <v>1.06</v>
      </c>
      <c r="CX49" s="9" t="n">
        <v>38.04</v>
      </c>
      <c r="CY49" s="9" t="n">
        <v>22.55</v>
      </c>
      <c r="CZ49" s="9" t="n">
        <v>19.24</v>
      </c>
      <c r="DA49" s="9" t="n">
        <v>85.34999999999999</v>
      </c>
      <c r="DB49" s="9" t="n">
        <v>9.119999999999999</v>
      </c>
      <c r="DC49" s="9" t="n">
        <v>16.44</v>
      </c>
      <c r="DD49" s="9" t="n">
        <v>3.83</v>
      </c>
      <c r="DE49" s="9" t="n">
        <v>12.39</v>
      </c>
      <c r="DF49" s="9" t="n">
        <v>17.37</v>
      </c>
      <c r="DG49" s="9" t="n">
        <v>20.25</v>
      </c>
      <c r="DH49" s="9" t="n">
        <v>13.36</v>
      </c>
      <c r="DI49" s="9" t="n">
        <v>1.58</v>
      </c>
      <c r="DJ49" s="9" t="n">
        <v>1.46</v>
      </c>
      <c r="DK49" s="9" t="n">
        <v>12.55</v>
      </c>
      <c r="DL49" s="9" t="n">
        <v>4.76</v>
      </c>
      <c r="DM49" s="9" t="n">
        <v>37.92</v>
      </c>
      <c r="DN49" s="9" t="n">
        <v>452</v>
      </c>
      <c r="DO49" s="9" t="n">
        <v>377.88</v>
      </c>
      <c r="DP49" s="9" t="n">
        <v>83.59999999999999</v>
      </c>
      <c r="DQ49" s="9" t="n">
        <v>53.46</v>
      </c>
      <c r="DR49" s="9" t="n">
        <v>103.82</v>
      </c>
      <c r="DS49" s="9" t="n">
        <v>17.15</v>
      </c>
      <c r="DT49" s="9" t="n">
        <v>36.12</v>
      </c>
      <c r="DU49" s="9" t="n">
        <v>50.55</v>
      </c>
      <c r="DV49" s="9" t="n">
        <v>80.45</v>
      </c>
      <c r="DW49" s="9" t="n">
        <v>35.82</v>
      </c>
      <c r="DX49" s="9" t="n">
        <v>32.67</v>
      </c>
      <c r="DY49" s="9" t="n">
        <v>11.97</v>
      </c>
      <c r="DZ49" s="9" t="n">
        <v>192</v>
      </c>
      <c r="EA49" s="9" t="n">
        <v>92.91</v>
      </c>
      <c r="EB49" s="9" t="n">
        <v>48.39</v>
      </c>
      <c r="EC49" s="9" t="n">
        <v>5.52</v>
      </c>
      <c r="ED49" s="9" t="n">
        <v>1.67</v>
      </c>
      <c r="EE49" s="9" t="n">
        <v>30.22</v>
      </c>
      <c r="EF49" s="9" t="n">
        <v>30.94</v>
      </c>
      <c r="EG49" s="9" t="n">
        <v>7.39</v>
      </c>
      <c r="EH49" s="9" t="n">
        <v>23.9</v>
      </c>
      <c r="EI49" s="9" t="n">
        <v>1.58</v>
      </c>
      <c r="EJ49" s="9" t="n">
        <v>0.48</v>
      </c>
      <c r="EK49" s="9" t="n">
        <v>30.77</v>
      </c>
      <c r="EL49" s="9" t="n">
        <v>23.82</v>
      </c>
      <c r="EM49" s="9" t="n">
        <v>3.97</v>
      </c>
      <c r="EN49" s="9" t="n">
        <v>16.67</v>
      </c>
      <c r="EO49" s="9" t="n">
        <v>4.82</v>
      </c>
      <c r="EP49" s="9" t="n">
        <v>1.58</v>
      </c>
      <c r="EQ49" s="9" t="n">
        <v>32.7</v>
      </c>
      <c r="ER49" s="9" t="n">
        <v>2.39</v>
      </c>
      <c r="ES49" s="9" t="n">
        <v>0.67</v>
      </c>
      <c r="ET49" s="9" t="n">
        <v>27.85</v>
      </c>
      <c r="EU49" s="9" t="n">
        <v>0.18</v>
      </c>
      <c r="EV49" s="9" t="n">
        <v>0.12</v>
      </c>
      <c r="EW49" s="9" t="n">
        <v>66.67</v>
      </c>
      <c r="EX49" s="9" t="n">
        <v>15.61</v>
      </c>
      <c r="EY49" s="9" t="n">
        <v>5.33</v>
      </c>
      <c r="EZ49" s="9" t="n">
        <v>34.17</v>
      </c>
      <c r="FA49" s="9" t="n">
        <v>5.21</v>
      </c>
      <c r="FB49" s="9" t="n">
        <v>6.7</v>
      </c>
      <c r="FC49" s="9" t="n">
        <v>24.73</v>
      </c>
      <c r="FD49" s="9" t="n">
        <v>4.06</v>
      </c>
      <c r="FE49" s="9" t="n">
        <v>9.880000000000001</v>
      </c>
      <c r="FF49" s="9" t="n">
        <v>16.85</v>
      </c>
      <c r="FG49" s="9" t="n">
        <v>62.91</v>
      </c>
      <c r="FH49" s="9" t="n">
        <v>24.94</v>
      </c>
      <c r="FI49" s="9" t="n">
        <v>39.64</v>
      </c>
      <c r="FJ49" s="9" t="n">
        <v>1.88</v>
      </c>
      <c r="FK49" s="9" t="n">
        <v>1.21</v>
      </c>
      <c r="FL49" s="9" t="n">
        <v>8.67</v>
      </c>
      <c r="FM49" s="9" t="n">
        <v>3.3</v>
      </c>
      <c r="FN49" s="9" t="n">
        <v>38.11</v>
      </c>
      <c r="FO49" s="9" t="n">
        <v>60</v>
      </c>
      <c r="FP49" s="9" t="n">
        <v>37.21</v>
      </c>
      <c r="FQ49" s="9" t="n">
        <v>62.02</v>
      </c>
      <c r="FR49" s="9" t="n">
        <v>39.52</v>
      </c>
      <c r="FS49" s="9" t="n">
        <v>18.48</v>
      </c>
      <c r="FT49" s="9" t="n">
        <v>46.78</v>
      </c>
      <c r="FU49" s="9" t="n">
        <v>3.94</v>
      </c>
      <c r="FV49" s="9" t="n">
        <v>1.85</v>
      </c>
      <c r="FW49" s="9" t="n">
        <v>46.92</v>
      </c>
      <c r="FX49" s="9" t="n">
        <v>38.52</v>
      </c>
      <c r="FY49" s="9" t="n">
        <v>17.39</v>
      </c>
      <c r="FZ49" s="9" t="n">
        <v>12.3</v>
      </c>
      <c r="GA49" s="9" t="n">
        <v>2.18</v>
      </c>
      <c r="GB49" s="9" t="n">
        <v>0.27</v>
      </c>
      <c r="GC49" s="9" t="n">
        <v>147.27</v>
      </c>
      <c r="GD49" s="9" t="n">
        <v>106.88</v>
      </c>
      <c r="GE49" s="9" t="n">
        <v>72.56999999999999</v>
      </c>
      <c r="GF49" s="9" t="n">
        <v>68.58</v>
      </c>
      <c r="GG49" s="9" t="n">
        <v>64.94</v>
      </c>
      <c r="GH49" s="9" t="n">
        <v>94.7</v>
      </c>
      <c r="GI49" s="9" t="n">
        <v>173.73</v>
      </c>
      <c r="GJ49" s="9" t="n">
        <v>154.85</v>
      </c>
      <c r="GK49" s="9" t="n">
        <v>89.13</v>
      </c>
      <c r="GL49" s="9" t="n">
        <v>49.33</v>
      </c>
      <c r="GM49" s="9" t="n">
        <v>26.18</v>
      </c>
      <c r="GN49" s="9" t="n">
        <v>53.07</v>
      </c>
      <c r="GO49" s="9" t="n">
        <v>60.55</v>
      </c>
      <c r="GP49" s="9" t="n">
        <v>40.48</v>
      </c>
      <c r="GQ49" s="9" t="n">
        <v>66.87</v>
      </c>
      <c r="GR49" s="9" t="n">
        <v>74.55</v>
      </c>
      <c r="GS49" s="9" t="n">
        <v>56.55</v>
      </c>
      <c r="GT49" s="9" t="n">
        <v>75.84999999999999</v>
      </c>
      <c r="GU49" s="9" t="n">
        <v>3.55</v>
      </c>
      <c r="GV49" s="9" t="n">
        <v>1.18</v>
      </c>
      <c r="GW49" s="9" t="n">
        <v>33.33</v>
      </c>
      <c r="GX49" s="9" t="n">
        <v>23.7</v>
      </c>
      <c r="GY49" s="9" t="n">
        <v>20.97</v>
      </c>
      <c r="GZ49" s="9" t="n">
        <v>88.48999999999999</v>
      </c>
      <c r="HA49" s="9" t="n">
        <v>6.76</v>
      </c>
      <c r="HB49" s="9" t="n">
        <v>16.01</v>
      </c>
      <c r="HC49" s="9" t="n">
        <v>4.29</v>
      </c>
      <c r="HD49" s="9" t="n">
        <v>11.52</v>
      </c>
      <c r="HE49" s="9" t="n">
        <v>18.46</v>
      </c>
      <c r="HF49" s="9" t="n">
        <v>20.29</v>
      </c>
      <c r="HG49" s="9" t="n">
        <v>10.82</v>
      </c>
    </row>
    <row r="50">
      <c r="A50" s="12" t="n">
        <v>2023</v>
      </c>
      <c r="B50" s="12" t="n">
        <v>25</v>
      </c>
      <c r="C50" s="5">
        <f>(B50-AVERAGE($B$2:$B$100))/_xlfn.STDEV.P($B$2:$B$100)</f>
        <v/>
      </c>
      <c r="D50" s="12" t="n">
        <v>11</v>
      </c>
      <c r="E50" s="6">
        <f>-D50</f>
        <v/>
      </c>
      <c r="F50" s="7">
        <f>(E50-AVERAGE($E$2:$E$100))/_xlfn.STDEV.P($E$2:$E$100)</f>
        <v/>
      </c>
      <c r="G50" s="7">
        <f>sum(0.5*C50)+(0.5*F50)</f>
        <v/>
      </c>
      <c r="H50" s="12" t="inlineStr">
        <is>
          <t>East</t>
        </is>
      </c>
      <c r="I50" s="8" t="inlineStr">
        <is>
          <t>Loudoun United</t>
        </is>
      </c>
      <c r="J50" s="9" t="n">
        <v>1.06</v>
      </c>
      <c r="K50" s="9" t="n">
        <v>1.12</v>
      </c>
      <c r="L50" s="9" t="n">
        <v>10.21</v>
      </c>
      <c r="M50" s="9" t="n">
        <v>3.91</v>
      </c>
      <c r="N50" s="9" t="n">
        <v>38.33</v>
      </c>
      <c r="O50" s="9" t="n">
        <v>419.06</v>
      </c>
      <c r="P50" s="9" t="n">
        <v>348.68</v>
      </c>
      <c r="Q50" s="9" t="n">
        <v>83.2</v>
      </c>
      <c r="R50" s="9" t="n">
        <v>50.57</v>
      </c>
      <c r="S50" s="9" t="n">
        <v>100.82</v>
      </c>
      <c r="T50" s="9" t="n">
        <v>20.15</v>
      </c>
      <c r="U50" s="9" t="n">
        <v>36.65</v>
      </c>
      <c r="V50" s="9" t="n">
        <v>44.03</v>
      </c>
      <c r="W50" s="9" t="n">
        <v>80.84999999999999</v>
      </c>
      <c r="X50" s="9" t="n">
        <v>39.65</v>
      </c>
      <c r="Y50" s="9" t="n">
        <v>31.06</v>
      </c>
      <c r="Z50" s="9" t="n">
        <v>10.15</v>
      </c>
      <c r="AA50" s="9" t="n">
        <v>204.59</v>
      </c>
      <c r="AB50" s="9" t="n">
        <v>96.18000000000001</v>
      </c>
      <c r="AC50" s="9" t="n">
        <v>47.01</v>
      </c>
      <c r="AD50" s="9" t="n">
        <v>4.24</v>
      </c>
      <c r="AE50" s="9" t="n">
        <v>1.24</v>
      </c>
      <c r="AF50" s="9" t="n">
        <v>29.17</v>
      </c>
      <c r="AG50" s="9" t="n">
        <v>26.12</v>
      </c>
      <c r="AH50" s="9" t="n">
        <v>6.09</v>
      </c>
      <c r="AI50" s="9" t="n">
        <v>23.31</v>
      </c>
      <c r="AJ50" s="9" t="n">
        <v>1.74</v>
      </c>
      <c r="AK50" s="9" t="n">
        <v>0.88</v>
      </c>
      <c r="AL50" s="9" t="n">
        <v>50.85</v>
      </c>
      <c r="AM50" s="9" t="n">
        <v>25.5</v>
      </c>
      <c r="AN50" s="9" t="n">
        <v>2.85</v>
      </c>
      <c r="AO50" s="9" t="n">
        <v>11.19</v>
      </c>
      <c r="AP50" s="9" t="n">
        <v>4.21</v>
      </c>
      <c r="AQ50" s="9" t="n">
        <v>0.97</v>
      </c>
      <c r="AR50" s="9" t="n">
        <v>23.08</v>
      </c>
      <c r="AS50" s="9" t="n">
        <v>2.41</v>
      </c>
      <c r="AT50" s="9" t="n">
        <v>0.71</v>
      </c>
      <c r="AU50" s="9" t="n">
        <v>29.27</v>
      </c>
      <c r="AV50" s="9" t="n">
        <v>0.15</v>
      </c>
      <c r="AW50" s="9" t="n">
        <v>0.12</v>
      </c>
      <c r="AX50" s="9" t="n">
        <v>80</v>
      </c>
      <c r="AY50" s="9" t="n">
        <v>12.18</v>
      </c>
      <c r="AZ50" s="9" t="n">
        <v>4.21</v>
      </c>
      <c r="BA50" s="9" t="n">
        <v>34.54</v>
      </c>
      <c r="BB50" s="9" t="n">
        <v>4.06</v>
      </c>
      <c r="BC50" s="9" t="n">
        <v>6.97</v>
      </c>
      <c r="BD50" s="9" t="n">
        <v>21.18</v>
      </c>
      <c r="BE50" s="9" t="n">
        <v>3.21</v>
      </c>
      <c r="BF50" s="9" t="n">
        <v>7.38</v>
      </c>
      <c r="BG50" s="9" t="n">
        <v>14.88</v>
      </c>
      <c r="BH50" s="9" t="n">
        <v>70.23999999999999</v>
      </c>
      <c r="BI50" s="9" t="n">
        <v>27.88</v>
      </c>
      <c r="BJ50" s="9" t="n">
        <v>39.7</v>
      </c>
      <c r="BK50" s="9" t="n">
        <v>1.74</v>
      </c>
      <c r="BL50" s="9" t="n">
        <v>1.79</v>
      </c>
      <c r="BM50" s="9" t="n">
        <v>12.03</v>
      </c>
      <c r="BN50" s="9" t="n">
        <v>4.88</v>
      </c>
      <c r="BO50" s="9" t="n">
        <v>40.59</v>
      </c>
      <c r="BP50" s="9" t="n">
        <v>68.15000000000001</v>
      </c>
      <c r="BQ50" s="9" t="n">
        <v>40.32</v>
      </c>
      <c r="BR50" s="9" t="n">
        <v>59.17</v>
      </c>
      <c r="BS50" s="9" t="n">
        <v>33.03</v>
      </c>
      <c r="BT50" s="9" t="n">
        <v>14.62</v>
      </c>
      <c r="BU50" s="9" t="n">
        <v>44.26</v>
      </c>
      <c r="BV50" s="9" t="n">
        <v>4.32</v>
      </c>
      <c r="BW50" s="9" t="n">
        <v>2.24</v>
      </c>
      <c r="BX50" s="9" t="n">
        <v>51.7</v>
      </c>
      <c r="BY50" s="9" t="n">
        <v>41.74</v>
      </c>
      <c r="BZ50" s="9" t="n">
        <v>15.71</v>
      </c>
      <c r="CA50" s="9" t="n">
        <v>13.18</v>
      </c>
      <c r="CB50" s="9" t="n">
        <v>2.56</v>
      </c>
      <c r="CC50" s="9" t="n">
        <v>0.18</v>
      </c>
      <c r="CD50" s="9" t="n">
        <v>138.62</v>
      </c>
      <c r="CE50" s="9" t="n">
        <v>99.56</v>
      </c>
      <c r="CF50" s="9" t="n">
        <v>71.81999999999999</v>
      </c>
      <c r="CG50" s="9" t="n">
        <v>61.26</v>
      </c>
      <c r="CH50" s="9" t="n">
        <v>57.94</v>
      </c>
      <c r="CI50" s="9" t="n">
        <v>94.58</v>
      </c>
      <c r="CJ50" s="9" t="n">
        <v>159.88</v>
      </c>
      <c r="CK50" s="9" t="n">
        <v>142.12</v>
      </c>
      <c r="CL50" s="9" t="n">
        <v>88.89</v>
      </c>
      <c r="CM50" s="9" t="n">
        <v>49.26</v>
      </c>
      <c r="CN50" s="9" t="n">
        <v>26.41</v>
      </c>
      <c r="CO50" s="9" t="n">
        <v>53.61</v>
      </c>
      <c r="CP50" s="9" t="n">
        <v>52.97</v>
      </c>
      <c r="CQ50" s="9" t="n">
        <v>33.76</v>
      </c>
      <c r="CR50" s="9" t="n">
        <v>63.74</v>
      </c>
      <c r="CS50" s="9" t="n">
        <v>71.94</v>
      </c>
      <c r="CT50" s="9" t="n">
        <v>50.24</v>
      </c>
      <c r="CU50" s="9" t="n">
        <v>69.83</v>
      </c>
      <c r="CV50" s="9" t="n">
        <v>3.47</v>
      </c>
      <c r="CW50" s="9" t="n">
        <v>1.53</v>
      </c>
      <c r="CX50" s="9" t="n">
        <v>44.07</v>
      </c>
      <c r="CY50" s="9" t="n">
        <v>20.59</v>
      </c>
      <c r="CZ50" s="9" t="n">
        <v>17.94</v>
      </c>
      <c r="DA50" s="9" t="n">
        <v>87.14</v>
      </c>
      <c r="DB50" s="9" t="n">
        <v>8.24</v>
      </c>
      <c r="DC50" s="9" t="n">
        <v>16.01</v>
      </c>
      <c r="DD50" s="9" t="n">
        <v>3.92</v>
      </c>
      <c r="DE50" s="9" t="n">
        <v>11.89</v>
      </c>
      <c r="DF50" s="9" t="n">
        <v>18.71</v>
      </c>
      <c r="DG50" s="9" t="n">
        <v>20.28</v>
      </c>
      <c r="DH50" s="9" t="n">
        <v>11.72</v>
      </c>
      <c r="DI50" s="9" t="n">
        <v>1.79</v>
      </c>
      <c r="DJ50" s="9" t="n">
        <v>1.83</v>
      </c>
      <c r="DK50" s="9" t="n">
        <v>12.03</v>
      </c>
      <c r="DL50" s="9" t="n">
        <v>4.56</v>
      </c>
      <c r="DM50" s="9" t="n">
        <v>37.9</v>
      </c>
      <c r="DN50" s="9" t="n">
        <v>415.97</v>
      </c>
      <c r="DO50" s="9" t="n">
        <v>343.38</v>
      </c>
      <c r="DP50" s="9" t="n">
        <v>82.55</v>
      </c>
      <c r="DQ50" s="9" t="n">
        <v>49.43</v>
      </c>
      <c r="DR50" s="9" t="n">
        <v>101.18</v>
      </c>
      <c r="DS50" s="9" t="n">
        <v>15.18</v>
      </c>
      <c r="DT50" s="9" t="n">
        <v>34.41</v>
      </c>
      <c r="DU50" s="9" t="n">
        <v>51.59</v>
      </c>
      <c r="DV50" s="9" t="n">
        <v>79.12</v>
      </c>
      <c r="DW50" s="9" t="n">
        <v>34.82</v>
      </c>
      <c r="DX50" s="9" t="n">
        <v>31.35</v>
      </c>
      <c r="DY50" s="9" t="n">
        <v>12.94</v>
      </c>
      <c r="DZ50" s="9" t="n">
        <v>204.59</v>
      </c>
      <c r="EA50" s="9" t="n">
        <v>99.5</v>
      </c>
      <c r="EB50" s="9" t="n">
        <v>48.63</v>
      </c>
      <c r="EC50" s="9" t="n">
        <v>4.68</v>
      </c>
      <c r="ED50" s="9" t="n">
        <v>1.21</v>
      </c>
      <c r="EE50" s="9" t="n">
        <v>25.79</v>
      </c>
      <c r="EF50" s="9" t="n">
        <v>30.15</v>
      </c>
      <c r="EG50" s="9" t="n">
        <v>7.15</v>
      </c>
      <c r="EH50" s="9" t="n">
        <v>23.71</v>
      </c>
      <c r="EI50" s="9" t="n">
        <v>1.65</v>
      </c>
      <c r="EJ50" s="9" t="n">
        <v>0.74</v>
      </c>
      <c r="EK50" s="9" t="n">
        <v>44.64</v>
      </c>
      <c r="EL50" s="9" t="n">
        <v>26.06</v>
      </c>
      <c r="EM50" s="9" t="n">
        <v>3.21</v>
      </c>
      <c r="EN50" s="9" t="n">
        <v>12.3</v>
      </c>
      <c r="EO50" s="9" t="n">
        <v>5.65</v>
      </c>
      <c r="EP50" s="9" t="n">
        <v>1.74</v>
      </c>
      <c r="EQ50" s="9" t="n">
        <v>30.73</v>
      </c>
      <c r="ER50" s="9" t="n">
        <v>2.88</v>
      </c>
      <c r="ES50" s="9" t="n">
        <v>0.53</v>
      </c>
      <c r="ET50" s="9" t="n">
        <v>18.37</v>
      </c>
      <c r="EU50" s="9" t="n">
        <v>0.18</v>
      </c>
      <c r="EV50" s="9" t="n">
        <v>0.15</v>
      </c>
      <c r="EW50" s="9" t="n">
        <v>83.33</v>
      </c>
      <c r="EX50" s="9" t="n">
        <v>14.18</v>
      </c>
      <c r="EY50" s="9" t="n">
        <v>3.82</v>
      </c>
      <c r="EZ50" s="9" t="n">
        <v>26.97</v>
      </c>
      <c r="FA50" s="9" t="n">
        <v>3.97</v>
      </c>
      <c r="FB50" s="9" t="n">
        <v>7.15</v>
      </c>
      <c r="FC50" s="9" t="n">
        <v>22.53</v>
      </c>
      <c r="FD50" s="9" t="n">
        <v>3.62</v>
      </c>
      <c r="FE50" s="9" t="n">
        <v>8.470000000000001</v>
      </c>
      <c r="FF50" s="9" t="n">
        <v>17.53</v>
      </c>
      <c r="FG50" s="9" t="n">
        <v>68.15000000000001</v>
      </c>
      <c r="FH50" s="9" t="n">
        <v>27.82</v>
      </c>
      <c r="FI50" s="9" t="n">
        <v>40.83</v>
      </c>
      <c r="FJ50" s="9" t="n">
        <v>2.24</v>
      </c>
      <c r="FK50" s="9" t="n">
        <v>1.06</v>
      </c>
      <c r="FL50" s="9" t="n">
        <v>10.21</v>
      </c>
      <c r="FM50" s="9" t="n">
        <v>4.15</v>
      </c>
      <c r="FN50" s="9" t="n">
        <v>40.63</v>
      </c>
      <c r="FO50" s="9" t="n">
        <v>70.23999999999999</v>
      </c>
      <c r="FP50" s="9" t="n">
        <v>42.35</v>
      </c>
      <c r="FQ50" s="9" t="n">
        <v>60.3</v>
      </c>
      <c r="FR50" s="9" t="n">
        <v>33.03</v>
      </c>
      <c r="FS50" s="9" t="n">
        <v>15.56</v>
      </c>
      <c r="FT50" s="9" t="n">
        <v>47.11</v>
      </c>
      <c r="FU50" s="9" t="n">
        <v>4.32</v>
      </c>
      <c r="FV50" s="9" t="n">
        <v>1.97</v>
      </c>
      <c r="FW50" s="9" t="n">
        <v>45.58</v>
      </c>
      <c r="FX50" s="9" t="n">
        <v>37.41</v>
      </c>
      <c r="FY50" s="9" t="n">
        <v>14.12</v>
      </c>
      <c r="FZ50" s="9" t="n">
        <v>12.38</v>
      </c>
      <c r="GA50" s="9" t="n">
        <v>2.29</v>
      </c>
      <c r="GB50" s="9" t="n">
        <v>0.09</v>
      </c>
      <c r="GC50" s="9" t="n">
        <v>139.65</v>
      </c>
      <c r="GD50" s="9" t="n">
        <v>98.84999999999999</v>
      </c>
      <c r="GE50" s="9" t="n">
        <v>70.79000000000001</v>
      </c>
      <c r="GF50" s="9" t="n">
        <v>65.88</v>
      </c>
      <c r="GG50" s="9" t="n">
        <v>62.21</v>
      </c>
      <c r="GH50" s="9" t="n">
        <v>94.42</v>
      </c>
      <c r="GI50" s="9" t="n">
        <v>156.41</v>
      </c>
      <c r="GJ50" s="9" t="n">
        <v>139.44</v>
      </c>
      <c r="GK50" s="9" t="n">
        <v>89.15000000000001</v>
      </c>
      <c r="GL50" s="9" t="n">
        <v>50.88</v>
      </c>
      <c r="GM50" s="9" t="n">
        <v>26.97</v>
      </c>
      <c r="GN50" s="9" t="n">
        <v>53.01</v>
      </c>
      <c r="GO50" s="9" t="n">
        <v>54.94</v>
      </c>
      <c r="GP50" s="9" t="n">
        <v>35.03</v>
      </c>
      <c r="GQ50" s="9" t="n">
        <v>63.76</v>
      </c>
      <c r="GR50" s="9" t="n">
        <v>69.5</v>
      </c>
      <c r="GS50" s="9" t="n">
        <v>51.21</v>
      </c>
      <c r="GT50" s="9" t="n">
        <v>73.68000000000001</v>
      </c>
      <c r="GU50" s="9" t="n">
        <v>3.32</v>
      </c>
      <c r="GV50" s="9" t="n">
        <v>1.15</v>
      </c>
      <c r="GW50" s="9" t="n">
        <v>34.51</v>
      </c>
      <c r="GX50" s="9" t="n">
        <v>21.5</v>
      </c>
      <c r="GY50" s="9" t="n">
        <v>19.35</v>
      </c>
      <c r="GZ50" s="9" t="n">
        <v>90.01000000000001</v>
      </c>
      <c r="HA50" s="9" t="n">
        <v>6.82</v>
      </c>
      <c r="HB50" s="9" t="n">
        <v>16.16</v>
      </c>
      <c r="HC50" s="9" t="n">
        <v>3.87</v>
      </c>
      <c r="HD50" s="9" t="n">
        <v>12.73</v>
      </c>
      <c r="HE50" s="9" t="n">
        <v>17.4</v>
      </c>
      <c r="HF50" s="9" t="n">
        <v>20.65</v>
      </c>
      <c r="HG50" s="9" t="n">
        <v>11.41</v>
      </c>
    </row>
    <row r="51">
      <c r="A51" s="12" t="n">
        <v>2023</v>
      </c>
      <c r="B51" s="12" t="n">
        <v>19</v>
      </c>
      <c r="C51" s="5">
        <f>(B51-AVERAGE($B$2:$B$100))/_xlfn.STDEV.P($B$2:$B$100)</f>
        <v/>
      </c>
      <c r="D51" s="12" t="n">
        <v>12</v>
      </c>
      <c r="E51" s="6">
        <f>-D51</f>
        <v/>
      </c>
      <c r="F51" s="7">
        <f>(E51-AVERAGE($E$2:$E$100))/_xlfn.STDEV.P($E$2:$E$100)</f>
        <v/>
      </c>
      <c r="G51" s="7">
        <f>sum(0.5*C51)+(0.5*F51)</f>
        <v/>
      </c>
      <c r="H51" s="12" t="inlineStr">
        <is>
          <t>West</t>
        </is>
      </c>
      <c r="I51" s="8" t="inlineStr">
        <is>
          <t>Las Vegas Lights</t>
        </is>
      </c>
      <c r="J51" s="9" t="n">
        <v>1.06</v>
      </c>
      <c r="K51" s="9" t="n">
        <v>1.29</v>
      </c>
      <c r="L51" s="9" t="n">
        <v>12.7</v>
      </c>
      <c r="M51" s="9" t="n">
        <v>4.27</v>
      </c>
      <c r="N51" s="9" t="n">
        <v>33.65</v>
      </c>
      <c r="O51" s="9" t="n">
        <v>340</v>
      </c>
      <c r="P51" s="9" t="n">
        <v>266.06</v>
      </c>
      <c r="Q51" s="9" t="n">
        <v>78.25</v>
      </c>
      <c r="R51" s="9" t="n">
        <v>47.21</v>
      </c>
      <c r="S51" s="9" t="n">
        <v>109.27</v>
      </c>
      <c r="T51" s="9" t="n">
        <v>18.03</v>
      </c>
      <c r="U51" s="9" t="n">
        <v>37.91</v>
      </c>
      <c r="V51" s="9" t="n">
        <v>53.33</v>
      </c>
      <c r="W51" s="9" t="n">
        <v>84.33</v>
      </c>
      <c r="X51" s="9" t="n">
        <v>36.33</v>
      </c>
      <c r="Y51" s="9" t="n">
        <v>35.36</v>
      </c>
      <c r="Z51" s="9" t="n">
        <v>12.64</v>
      </c>
      <c r="AA51" s="9" t="n">
        <v>209.21</v>
      </c>
      <c r="AB51" s="9" t="n">
        <v>101.88</v>
      </c>
      <c r="AC51" s="9" t="n">
        <v>48.7</v>
      </c>
      <c r="AD51" s="9" t="n">
        <v>6.58</v>
      </c>
      <c r="AE51" s="9" t="n">
        <v>1.88</v>
      </c>
      <c r="AF51" s="9" t="n">
        <v>28.57</v>
      </c>
      <c r="AG51" s="9" t="n">
        <v>28.52</v>
      </c>
      <c r="AH51" s="9" t="n">
        <v>7.85</v>
      </c>
      <c r="AI51" s="9" t="n">
        <v>27.52</v>
      </c>
      <c r="AJ51" s="9" t="n">
        <v>1.58</v>
      </c>
      <c r="AK51" s="9" t="n">
        <v>0.61</v>
      </c>
      <c r="AL51" s="9" t="n">
        <v>38.46</v>
      </c>
      <c r="AM51" s="9" t="n">
        <v>23.94</v>
      </c>
      <c r="AN51" s="9" t="n">
        <v>3.48</v>
      </c>
      <c r="AO51" s="9" t="n">
        <v>14.56</v>
      </c>
      <c r="AP51" s="9" t="n">
        <v>4.94</v>
      </c>
      <c r="AQ51" s="9" t="n">
        <v>1.82</v>
      </c>
      <c r="AR51" s="9" t="n">
        <v>36.81</v>
      </c>
      <c r="AS51" s="9" t="n">
        <v>3</v>
      </c>
      <c r="AT51" s="9" t="n">
        <v>0.61</v>
      </c>
      <c r="AU51" s="9" t="n">
        <v>20.2</v>
      </c>
      <c r="AV51" s="9" t="n">
        <v>0.12</v>
      </c>
      <c r="AW51" s="9" t="n">
        <v>0.06</v>
      </c>
      <c r="AX51" s="9" t="n">
        <v>50</v>
      </c>
      <c r="AY51" s="9" t="n">
        <v>15.52</v>
      </c>
      <c r="AZ51" s="9" t="n">
        <v>5</v>
      </c>
      <c r="BA51" s="9" t="n">
        <v>32.23</v>
      </c>
      <c r="BB51" s="9" t="n">
        <v>5.21</v>
      </c>
      <c r="BC51" s="9" t="n">
        <v>4.45</v>
      </c>
      <c r="BD51" s="9" t="n">
        <v>22.85</v>
      </c>
      <c r="BE51" s="9" t="n">
        <v>3.52</v>
      </c>
      <c r="BF51" s="9" t="n">
        <v>9.42</v>
      </c>
      <c r="BG51" s="9" t="n">
        <v>14.82</v>
      </c>
      <c r="BH51" s="9" t="n">
        <v>59.39</v>
      </c>
      <c r="BI51" s="9" t="n">
        <v>24.88</v>
      </c>
      <c r="BJ51" s="9" t="n">
        <v>41.89</v>
      </c>
      <c r="BK51" s="9" t="n">
        <v>2.06</v>
      </c>
      <c r="BL51" s="9" t="n">
        <v>1.94</v>
      </c>
      <c r="BM51" s="9" t="n">
        <v>11.91</v>
      </c>
      <c r="BN51" s="9" t="n">
        <v>4.7</v>
      </c>
      <c r="BO51" s="9" t="n">
        <v>39.44</v>
      </c>
      <c r="BP51" s="9" t="n">
        <v>72.84999999999999</v>
      </c>
      <c r="BQ51" s="9" t="n">
        <v>44.03</v>
      </c>
      <c r="BR51" s="9" t="n">
        <v>60.44</v>
      </c>
      <c r="BS51" s="9" t="n">
        <v>42.58</v>
      </c>
      <c r="BT51" s="9" t="n">
        <v>18.7</v>
      </c>
      <c r="BU51" s="9" t="n">
        <v>43.91</v>
      </c>
      <c r="BV51" s="9" t="n">
        <v>3.64</v>
      </c>
      <c r="BW51" s="9" t="n">
        <v>1.48</v>
      </c>
      <c r="BX51" s="9" t="n">
        <v>40.83</v>
      </c>
      <c r="BY51" s="9" t="n">
        <v>40.82</v>
      </c>
      <c r="BZ51" s="9" t="n">
        <v>16.15</v>
      </c>
      <c r="CA51" s="9" t="n">
        <v>13.85</v>
      </c>
      <c r="CB51" s="9" t="n">
        <v>2.36</v>
      </c>
      <c r="CC51" s="9" t="n">
        <v>0.03</v>
      </c>
      <c r="CD51" s="9" t="n">
        <v>123.97</v>
      </c>
      <c r="CE51" s="9" t="n">
        <v>83.61</v>
      </c>
      <c r="CF51" s="9" t="n">
        <v>67.44</v>
      </c>
      <c r="CG51" s="9" t="n">
        <v>47.94</v>
      </c>
      <c r="CH51" s="9" t="n">
        <v>44.55</v>
      </c>
      <c r="CI51" s="9" t="n">
        <v>92.92</v>
      </c>
      <c r="CJ51" s="9" t="n">
        <v>126.3</v>
      </c>
      <c r="CK51" s="9" t="n">
        <v>106.52</v>
      </c>
      <c r="CL51" s="9" t="n">
        <v>84.33</v>
      </c>
      <c r="CM51" s="9" t="n">
        <v>52.45</v>
      </c>
      <c r="CN51" s="9" t="n">
        <v>27.73</v>
      </c>
      <c r="CO51" s="9" t="n">
        <v>52.86</v>
      </c>
      <c r="CP51" s="9" t="n">
        <v>49.82</v>
      </c>
      <c r="CQ51" s="9" t="n">
        <v>30</v>
      </c>
      <c r="CR51" s="9" t="n">
        <v>60.22</v>
      </c>
      <c r="CS51" s="9" t="n">
        <v>69.48</v>
      </c>
      <c r="CT51" s="9" t="n">
        <v>49.09</v>
      </c>
      <c r="CU51" s="9" t="n">
        <v>70.65000000000001</v>
      </c>
      <c r="CV51" s="9" t="n">
        <v>2.39</v>
      </c>
      <c r="CW51" s="9" t="n">
        <v>0.79</v>
      </c>
      <c r="CX51" s="9" t="n">
        <v>32.91</v>
      </c>
      <c r="CY51" s="9" t="n">
        <v>24.36</v>
      </c>
      <c r="CZ51" s="9" t="n">
        <v>19.39</v>
      </c>
      <c r="DA51" s="9" t="n">
        <v>79.59999999999999</v>
      </c>
      <c r="DB51" s="9" t="n">
        <v>8.210000000000001</v>
      </c>
      <c r="DC51" s="9" t="n">
        <v>15.02</v>
      </c>
      <c r="DD51" s="9" t="n">
        <v>3.14</v>
      </c>
      <c r="DE51" s="9" t="n">
        <v>16.37</v>
      </c>
      <c r="DF51" s="9" t="n">
        <v>20.94</v>
      </c>
      <c r="DG51" s="9" t="n">
        <v>22.2</v>
      </c>
      <c r="DH51" s="9" t="n">
        <v>10.19</v>
      </c>
      <c r="DI51" s="9" t="n">
        <v>1.94</v>
      </c>
      <c r="DJ51" s="9" t="n">
        <v>1.64</v>
      </c>
      <c r="DK51" s="9" t="n">
        <v>11.91</v>
      </c>
      <c r="DL51" s="9" t="n">
        <v>4.58</v>
      </c>
      <c r="DM51" s="9" t="n">
        <v>38.42</v>
      </c>
      <c r="DN51" s="9" t="n">
        <v>398.33</v>
      </c>
      <c r="DO51" s="9" t="n">
        <v>325.24</v>
      </c>
      <c r="DP51" s="9" t="n">
        <v>81.65000000000001</v>
      </c>
      <c r="DQ51" s="9" t="n">
        <v>52.79</v>
      </c>
      <c r="DR51" s="9" t="n">
        <v>111.06</v>
      </c>
      <c r="DS51" s="9" t="n">
        <v>21.7</v>
      </c>
      <c r="DT51" s="9" t="n">
        <v>40.06</v>
      </c>
      <c r="DU51" s="9" t="n">
        <v>49.3</v>
      </c>
      <c r="DV51" s="9" t="n">
        <v>82.88</v>
      </c>
      <c r="DW51" s="9" t="n">
        <v>39.76</v>
      </c>
      <c r="DX51" s="9" t="n">
        <v>32.33</v>
      </c>
      <c r="DY51" s="9" t="n">
        <v>10.79</v>
      </c>
      <c r="DZ51" s="9" t="n">
        <v>209.21</v>
      </c>
      <c r="EA51" s="9" t="n">
        <v>97.81999999999999</v>
      </c>
      <c r="EB51" s="9" t="n">
        <v>46.76</v>
      </c>
      <c r="EC51" s="9" t="n">
        <v>4.24</v>
      </c>
      <c r="ED51" s="9" t="n">
        <v>1</v>
      </c>
      <c r="EE51" s="9" t="n">
        <v>23.57</v>
      </c>
      <c r="EF51" s="9" t="n">
        <v>27.03</v>
      </c>
      <c r="EG51" s="9" t="n">
        <v>7.03</v>
      </c>
      <c r="EH51" s="9" t="n">
        <v>26.01</v>
      </c>
      <c r="EI51" s="9" t="n">
        <v>1.24</v>
      </c>
      <c r="EJ51" s="9" t="n">
        <v>0.58</v>
      </c>
      <c r="EK51" s="9" t="n">
        <v>46.34</v>
      </c>
      <c r="EL51" s="9" t="n">
        <v>29.27</v>
      </c>
      <c r="EM51" s="9" t="n">
        <v>3.48</v>
      </c>
      <c r="EN51" s="9" t="n">
        <v>11.9</v>
      </c>
      <c r="EO51" s="9" t="n">
        <v>5</v>
      </c>
      <c r="EP51" s="9" t="n">
        <v>1.61</v>
      </c>
      <c r="EQ51" s="9" t="n">
        <v>32.12</v>
      </c>
      <c r="ER51" s="9" t="n">
        <v>3.03</v>
      </c>
      <c r="ES51" s="9" t="n">
        <v>0.61</v>
      </c>
      <c r="ET51" s="9" t="n">
        <v>20</v>
      </c>
      <c r="EU51" s="9" t="n">
        <v>0.27</v>
      </c>
      <c r="EV51" s="9" t="n">
        <v>0.15</v>
      </c>
      <c r="EW51" s="9" t="n">
        <v>55.56</v>
      </c>
      <c r="EX51" s="9" t="n">
        <v>12.09</v>
      </c>
      <c r="EY51" s="9" t="n">
        <v>3.97</v>
      </c>
      <c r="EZ51" s="9" t="n">
        <v>32.83</v>
      </c>
      <c r="FA51" s="9" t="n">
        <v>3.82</v>
      </c>
      <c r="FB51" s="9" t="n">
        <v>6.94</v>
      </c>
      <c r="FC51" s="9" t="n">
        <v>22.24</v>
      </c>
      <c r="FD51" s="9" t="n">
        <v>3.45</v>
      </c>
      <c r="FE51" s="9" t="n">
        <v>7.12</v>
      </c>
      <c r="FF51" s="9" t="n">
        <v>17.27</v>
      </c>
      <c r="FG51" s="9" t="n">
        <v>72.84999999999999</v>
      </c>
      <c r="FH51" s="9" t="n">
        <v>28.82</v>
      </c>
      <c r="FI51" s="9" t="n">
        <v>39.56</v>
      </c>
      <c r="FJ51" s="9" t="n">
        <v>1.82</v>
      </c>
      <c r="FK51" s="9" t="n">
        <v>1.06</v>
      </c>
      <c r="FL51" s="9" t="n">
        <v>12.7</v>
      </c>
      <c r="FM51" s="9" t="n">
        <v>4.45</v>
      </c>
      <c r="FN51" s="9" t="n">
        <v>35.08</v>
      </c>
      <c r="FO51" s="9" t="n">
        <v>59.39</v>
      </c>
      <c r="FP51" s="9" t="n">
        <v>34.52</v>
      </c>
      <c r="FQ51" s="9" t="n">
        <v>58.11</v>
      </c>
      <c r="FR51" s="9" t="n">
        <v>42.58</v>
      </c>
      <c r="FS51" s="9" t="n">
        <v>20.21</v>
      </c>
      <c r="FT51" s="9" t="n">
        <v>47.47</v>
      </c>
      <c r="FU51" s="9" t="n">
        <v>3.64</v>
      </c>
      <c r="FV51" s="9" t="n">
        <v>1.7</v>
      </c>
      <c r="FW51" s="9" t="n">
        <v>46.67</v>
      </c>
      <c r="FX51" s="9" t="n">
        <v>42.33</v>
      </c>
      <c r="FY51" s="9" t="n">
        <v>18.73</v>
      </c>
      <c r="FZ51" s="9" t="n">
        <v>11.36</v>
      </c>
      <c r="GA51" s="9" t="n">
        <v>2.03</v>
      </c>
      <c r="GB51" s="9" t="n">
        <v>0.03</v>
      </c>
      <c r="GC51" s="9" t="n">
        <v>142</v>
      </c>
      <c r="GD51" s="9" t="n">
        <v>100.97</v>
      </c>
      <c r="GE51" s="9" t="n">
        <v>71.11</v>
      </c>
      <c r="GF51" s="9" t="n">
        <v>59.06</v>
      </c>
      <c r="GG51" s="9" t="n">
        <v>55.09</v>
      </c>
      <c r="GH51" s="9" t="n">
        <v>93.28</v>
      </c>
      <c r="GI51" s="9" t="n">
        <v>141.82</v>
      </c>
      <c r="GJ51" s="9" t="n">
        <v>124.21</v>
      </c>
      <c r="GK51" s="9" t="n">
        <v>87.59</v>
      </c>
      <c r="GL51" s="9" t="n">
        <v>47.09</v>
      </c>
      <c r="GM51" s="9" t="n">
        <v>24.94</v>
      </c>
      <c r="GN51" s="9" t="n">
        <v>52.96</v>
      </c>
      <c r="GO51" s="9" t="n">
        <v>51.52</v>
      </c>
      <c r="GP51" s="9" t="n">
        <v>33.12</v>
      </c>
      <c r="GQ51" s="9" t="n">
        <v>64.29000000000001</v>
      </c>
      <c r="GR51" s="9" t="n">
        <v>72.67</v>
      </c>
      <c r="GS51" s="9" t="n">
        <v>51.39</v>
      </c>
      <c r="GT51" s="9" t="n">
        <v>70.73</v>
      </c>
      <c r="GU51" s="9" t="n">
        <v>3.18</v>
      </c>
      <c r="GV51" s="9" t="n">
        <v>0.91</v>
      </c>
      <c r="GW51" s="9" t="n">
        <v>28.57</v>
      </c>
      <c r="GX51" s="9" t="n">
        <v>23.36</v>
      </c>
      <c r="GY51" s="9" t="n">
        <v>20.42</v>
      </c>
      <c r="GZ51" s="9" t="n">
        <v>87.42</v>
      </c>
      <c r="HA51" s="9" t="n">
        <v>10.03</v>
      </c>
      <c r="HB51" s="9" t="n">
        <v>15.88</v>
      </c>
      <c r="HC51" s="9" t="n">
        <v>3.58</v>
      </c>
      <c r="HD51" s="9" t="n">
        <v>12.5</v>
      </c>
      <c r="HE51" s="9" t="n">
        <v>17.6</v>
      </c>
      <c r="HF51" s="9" t="n">
        <v>20.21</v>
      </c>
      <c r="HG51" s="9" t="n">
        <v>11.38</v>
      </c>
    </row>
    <row r="52">
      <c r="A52" s="12" t="n">
        <v>2023</v>
      </c>
      <c r="B52" s="12" t="n">
        <v>18</v>
      </c>
      <c r="C52" s="5">
        <f>(B52-AVERAGE($B$2:$B$100))/_xlfn.STDEV.P($B$2:$B$100)</f>
        <v/>
      </c>
      <c r="D52" s="12" t="n">
        <v>12</v>
      </c>
      <c r="E52" s="6">
        <f>-D52</f>
        <v/>
      </c>
      <c r="F52" s="7">
        <f>(E52-AVERAGE($E$2:$E$100))/_xlfn.STDEV.P($E$2:$E$100)</f>
        <v/>
      </c>
      <c r="G52" s="7">
        <f>sum(0.5*C52)+(0.5*F52)</f>
        <v/>
      </c>
      <c r="H52" s="12" t="inlineStr">
        <is>
          <t>East</t>
        </is>
      </c>
      <c r="I52" s="8" t="inlineStr">
        <is>
          <t>Hartford Athletic</t>
        </is>
      </c>
      <c r="J52" s="9" t="n">
        <v>1.18</v>
      </c>
      <c r="K52" s="9" t="n">
        <v>1.19</v>
      </c>
      <c r="L52" s="9" t="n">
        <v>9.56</v>
      </c>
      <c r="M52" s="9" t="n">
        <v>3.47</v>
      </c>
      <c r="N52" s="9" t="n">
        <v>36.31</v>
      </c>
      <c r="O52" s="9" t="n">
        <v>402.68</v>
      </c>
      <c r="P52" s="9" t="n">
        <v>336.38</v>
      </c>
      <c r="Q52" s="9" t="n">
        <v>83.54000000000001</v>
      </c>
      <c r="R52" s="9" t="n">
        <v>49.4</v>
      </c>
      <c r="S52" s="9" t="n">
        <v>95.06</v>
      </c>
      <c r="T52" s="9" t="n">
        <v>17.94</v>
      </c>
      <c r="U52" s="9" t="n">
        <v>32.47</v>
      </c>
      <c r="V52" s="9" t="n">
        <v>44.65</v>
      </c>
      <c r="W52" s="9" t="n">
        <v>71.94</v>
      </c>
      <c r="X52" s="9" t="n">
        <v>35.24</v>
      </c>
      <c r="Y52" s="9" t="n">
        <v>26.68</v>
      </c>
      <c r="Z52" s="9" t="n">
        <v>10.03</v>
      </c>
      <c r="AA52" s="9" t="n">
        <v>194.74</v>
      </c>
      <c r="AB52" s="9" t="n">
        <v>93.12</v>
      </c>
      <c r="AC52" s="9" t="n">
        <v>47.82</v>
      </c>
      <c r="AD52" s="9" t="n">
        <v>4.18</v>
      </c>
      <c r="AE52" s="9" t="n">
        <v>1.29</v>
      </c>
      <c r="AF52" s="9" t="n">
        <v>30.99</v>
      </c>
      <c r="AG52" s="9" t="n">
        <v>27.06</v>
      </c>
      <c r="AH52" s="9" t="n">
        <v>6.03</v>
      </c>
      <c r="AI52" s="9" t="n">
        <v>22.28</v>
      </c>
      <c r="AJ52" s="9" t="n">
        <v>1.62</v>
      </c>
      <c r="AK52" s="9" t="n">
        <v>0.59</v>
      </c>
      <c r="AL52" s="9" t="n">
        <v>36.36</v>
      </c>
      <c r="AM52" s="9" t="n">
        <v>25.38</v>
      </c>
      <c r="AN52" s="9" t="n">
        <v>2.5</v>
      </c>
      <c r="AO52" s="9" t="n">
        <v>9.85</v>
      </c>
      <c r="AP52" s="9" t="n">
        <v>4.32</v>
      </c>
      <c r="AQ52" s="9" t="n">
        <v>1.12</v>
      </c>
      <c r="AR52" s="9" t="n">
        <v>25.85</v>
      </c>
      <c r="AS52" s="9" t="n">
        <v>1.91</v>
      </c>
      <c r="AT52" s="9" t="n">
        <v>0.29</v>
      </c>
      <c r="AU52" s="9" t="n">
        <v>15.38</v>
      </c>
      <c r="AV52" s="9" t="n">
        <v>0.15</v>
      </c>
      <c r="AW52" s="9" t="n">
        <v>0.15</v>
      </c>
      <c r="AX52" s="9" t="n">
        <v>100</v>
      </c>
      <c r="AY52" s="9" t="n">
        <v>14.56</v>
      </c>
      <c r="AZ52" s="9" t="n">
        <v>4.5</v>
      </c>
      <c r="BA52" s="9" t="n">
        <v>30.91</v>
      </c>
      <c r="BB52" s="9" t="n">
        <v>4.82</v>
      </c>
      <c r="BC52" s="9" t="n">
        <v>6.03</v>
      </c>
      <c r="BD52" s="9" t="n">
        <v>23.24</v>
      </c>
      <c r="BE52" s="9" t="n">
        <v>3.74</v>
      </c>
      <c r="BF52" s="9" t="n">
        <v>8.76</v>
      </c>
      <c r="BG52" s="9" t="n">
        <v>14.88</v>
      </c>
      <c r="BH52" s="9" t="n">
        <v>61.71</v>
      </c>
      <c r="BI52" s="9" t="n">
        <v>27.24</v>
      </c>
      <c r="BJ52" s="9" t="n">
        <v>44.14</v>
      </c>
      <c r="BK52" s="9" t="n">
        <v>2.62</v>
      </c>
      <c r="BL52" s="9" t="n">
        <v>2.32</v>
      </c>
      <c r="BM52" s="9" t="n">
        <v>13.71</v>
      </c>
      <c r="BN52" s="9" t="n">
        <v>5.21</v>
      </c>
      <c r="BO52" s="9" t="n">
        <v>37.98</v>
      </c>
      <c r="BP52" s="9" t="n">
        <v>63.97</v>
      </c>
      <c r="BQ52" s="9" t="n">
        <v>37.53</v>
      </c>
      <c r="BR52" s="9" t="n">
        <v>58.67</v>
      </c>
      <c r="BS52" s="9" t="n">
        <v>38.59</v>
      </c>
      <c r="BT52" s="9" t="n">
        <v>16.47</v>
      </c>
      <c r="BU52" s="9" t="n">
        <v>42.68</v>
      </c>
      <c r="BV52" s="9" t="n">
        <v>6.06</v>
      </c>
      <c r="BW52" s="9" t="n">
        <v>2.94</v>
      </c>
      <c r="BX52" s="9" t="n">
        <v>48.54</v>
      </c>
      <c r="BY52" s="9" t="n">
        <v>37.59</v>
      </c>
      <c r="BZ52" s="9" t="n">
        <v>16.12</v>
      </c>
      <c r="CA52" s="9" t="n">
        <v>13.29</v>
      </c>
      <c r="CB52" s="9" t="n">
        <v>2.79</v>
      </c>
      <c r="CC52" s="9" t="n">
        <v>0.09</v>
      </c>
      <c r="CD52" s="9" t="n">
        <v>132.65</v>
      </c>
      <c r="CE52" s="9" t="n">
        <v>96.15000000000001</v>
      </c>
      <c r="CF52" s="9" t="n">
        <v>72.48</v>
      </c>
      <c r="CG52" s="9" t="n">
        <v>59.32</v>
      </c>
      <c r="CH52" s="9" t="n">
        <v>55.53</v>
      </c>
      <c r="CI52" s="9" t="n">
        <v>93.59999999999999</v>
      </c>
      <c r="CJ52" s="9" t="n">
        <v>154.18</v>
      </c>
      <c r="CK52" s="9" t="n">
        <v>137.68</v>
      </c>
      <c r="CL52" s="9" t="n">
        <v>89.3</v>
      </c>
      <c r="CM52" s="9" t="n">
        <v>43.47</v>
      </c>
      <c r="CN52" s="9" t="n">
        <v>22.94</v>
      </c>
      <c r="CO52" s="9" t="n">
        <v>52.77</v>
      </c>
      <c r="CP52" s="9" t="n">
        <v>52.76</v>
      </c>
      <c r="CQ52" s="9" t="n">
        <v>35.68</v>
      </c>
      <c r="CR52" s="9" t="n">
        <v>67.61</v>
      </c>
      <c r="CS52" s="9" t="n">
        <v>67.53</v>
      </c>
      <c r="CT52" s="9" t="n">
        <v>48.71</v>
      </c>
      <c r="CU52" s="9" t="n">
        <v>72.13</v>
      </c>
      <c r="CV52" s="9" t="n">
        <v>3.06</v>
      </c>
      <c r="CW52" s="9" t="n">
        <v>1.09</v>
      </c>
      <c r="CX52" s="9" t="n">
        <v>35.58</v>
      </c>
      <c r="CY52" s="9" t="n">
        <v>20.09</v>
      </c>
      <c r="CZ52" s="9" t="n">
        <v>17.91</v>
      </c>
      <c r="DA52" s="9" t="n">
        <v>89.17</v>
      </c>
      <c r="DB52" s="9" t="n">
        <v>8.82</v>
      </c>
      <c r="DC52" s="9" t="n">
        <v>15.76</v>
      </c>
      <c r="DD52" s="9" t="n">
        <v>4.01</v>
      </c>
      <c r="DE52" s="9" t="n">
        <v>11.57</v>
      </c>
      <c r="DF52" s="9" t="n">
        <v>18.09</v>
      </c>
      <c r="DG52" s="9" t="n">
        <v>20.21</v>
      </c>
      <c r="DH52" s="9" t="n">
        <v>12.13</v>
      </c>
      <c r="DI52" s="9" t="n">
        <v>2.32</v>
      </c>
      <c r="DJ52" s="9" t="n">
        <v>1.78</v>
      </c>
      <c r="DK52" s="9" t="n">
        <v>13.71</v>
      </c>
      <c r="DL52" s="9" t="n">
        <v>4.94</v>
      </c>
      <c r="DM52" s="9" t="n">
        <v>36.05</v>
      </c>
      <c r="DN52" s="9" t="n">
        <v>414.76</v>
      </c>
      <c r="DO52" s="9" t="n">
        <v>349.06</v>
      </c>
      <c r="DP52" s="9" t="n">
        <v>84.16</v>
      </c>
      <c r="DQ52" s="9" t="n">
        <v>50.6</v>
      </c>
      <c r="DR52" s="9" t="n">
        <v>96.34999999999999</v>
      </c>
      <c r="DS52" s="9" t="n">
        <v>17.82</v>
      </c>
      <c r="DT52" s="9" t="n">
        <v>31.38</v>
      </c>
      <c r="DU52" s="9" t="n">
        <v>47.15</v>
      </c>
      <c r="DV52" s="9" t="n">
        <v>75.97</v>
      </c>
      <c r="DW52" s="9" t="n">
        <v>35.44</v>
      </c>
      <c r="DX52" s="9" t="n">
        <v>28.62</v>
      </c>
      <c r="DY52" s="9" t="n">
        <v>11.91</v>
      </c>
      <c r="DZ52" s="9" t="n">
        <v>194.74</v>
      </c>
      <c r="EA52" s="9" t="n">
        <v>92.68000000000001</v>
      </c>
      <c r="EB52" s="9" t="n">
        <v>47.59</v>
      </c>
      <c r="EC52" s="9" t="n">
        <v>5.44</v>
      </c>
      <c r="ED52" s="9" t="n">
        <v>1.24</v>
      </c>
      <c r="EE52" s="9" t="n">
        <v>22.7</v>
      </c>
      <c r="EF52" s="9" t="n">
        <v>29.88</v>
      </c>
      <c r="EG52" s="9" t="n">
        <v>7.62</v>
      </c>
      <c r="EH52" s="9" t="n">
        <v>25.49</v>
      </c>
      <c r="EI52" s="9" t="n">
        <v>1.79</v>
      </c>
      <c r="EJ52" s="9" t="n">
        <v>1.06</v>
      </c>
      <c r="EK52" s="9" t="n">
        <v>59.02</v>
      </c>
      <c r="EL52" s="9" t="n">
        <v>29.09</v>
      </c>
      <c r="EM52" s="9" t="n">
        <v>4.24</v>
      </c>
      <c r="EN52" s="9" t="n">
        <v>14.56</v>
      </c>
      <c r="EO52" s="9" t="n">
        <v>5.97</v>
      </c>
      <c r="EP52" s="9" t="n">
        <v>1.79</v>
      </c>
      <c r="EQ52" s="9" t="n">
        <v>30.05</v>
      </c>
      <c r="ER52" s="9" t="n">
        <v>2.35</v>
      </c>
      <c r="ES52" s="9" t="n">
        <v>0.65</v>
      </c>
      <c r="ET52" s="9" t="n">
        <v>27.5</v>
      </c>
      <c r="EU52" s="9" t="n">
        <v>0.21</v>
      </c>
      <c r="EV52" s="9" t="n">
        <v>0.18</v>
      </c>
      <c r="EW52" s="9" t="n">
        <v>85.70999999999999</v>
      </c>
      <c r="EX52" s="9" t="n">
        <v>14.97</v>
      </c>
      <c r="EY52" s="9" t="n">
        <v>4.85</v>
      </c>
      <c r="EZ52" s="9" t="n">
        <v>32.42</v>
      </c>
      <c r="FA52" s="9" t="n">
        <v>4.71</v>
      </c>
      <c r="FB52" s="9" t="n">
        <v>7.71</v>
      </c>
      <c r="FC52" s="9" t="n">
        <v>24.12</v>
      </c>
      <c r="FD52" s="9" t="n">
        <v>4.21</v>
      </c>
      <c r="FE52" s="9" t="n">
        <v>9.380000000000001</v>
      </c>
      <c r="FF52" s="9" t="n">
        <v>18.26</v>
      </c>
      <c r="FG52" s="9" t="n">
        <v>63.97</v>
      </c>
      <c r="FH52" s="9" t="n">
        <v>26.44</v>
      </c>
      <c r="FI52" s="9" t="n">
        <v>41.33</v>
      </c>
      <c r="FJ52" s="9" t="n">
        <v>1.59</v>
      </c>
      <c r="FK52" s="9" t="n">
        <v>1.18</v>
      </c>
      <c r="FL52" s="9" t="n">
        <v>9.56</v>
      </c>
      <c r="FM52" s="9" t="n">
        <v>3.79</v>
      </c>
      <c r="FN52" s="9" t="n">
        <v>39.69</v>
      </c>
      <c r="FO52" s="9" t="n">
        <v>61.71</v>
      </c>
      <c r="FP52" s="9" t="n">
        <v>34.47</v>
      </c>
      <c r="FQ52" s="9" t="n">
        <v>55.86</v>
      </c>
      <c r="FR52" s="9" t="n">
        <v>38.59</v>
      </c>
      <c r="FS52" s="9" t="n">
        <v>18.53</v>
      </c>
      <c r="FT52" s="9" t="n">
        <v>48.02</v>
      </c>
      <c r="FU52" s="9" t="n">
        <v>3.74</v>
      </c>
      <c r="FV52" s="9" t="n">
        <v>1.85</v>
      </c>
      <c r="FW52" s="9" t="n">
        <v>49.61</v>
      </c>
      <c r="FX52" s="9" t="n">
        <v>36.18</v>
      </c>
      <c r="FY52" s="9" t="n">
        <v>14.21</v>
      </c>
      <c r="FZ52" s="9" t="n">
        <v>12.24</v>
      </c>
      <c r="GA52" s="9" t="n">
        <v>2.26</v>
      </c>
      <c r="GB52" s="9" t="n">
        <v>0.09</v>
      </c>
      <c r="GC52" s="9" t="n">
        <v>134</v>
      </c>
      <c r="GD52" s="9" t="n">
        <v>99.18000000000001</v>
      </c>
      <c r="GE52" s="9" t="n">
        <v>74.01000000000001</v>
      </c>
      <c r="GF52" s="9" t="n">
        <v>59.65</v>
      </c>
      <c r="GG52" s="9" t="n">
        <v>56.29</v>
      </c>
      <c r="GH52" s="9" t="n">
        <v>94.38</v>
      </c>
      <c r="GI52" s="9" t="n">
        <v>162.59</v>
      </c>
      <c r="GJ52" s="9" t="n">
        <v>144.94</v>
      </c>
      <c r="GK52" s="9" t="n">
        <v>89.15000000000001</v>
      </c>
      <c r="GL52" s="9" t="n">
        <v>43.62</v>
      </c>
      <c r="GM52" s="9" t="n">
        <v>23.79</v>
      </c>
      <c r="GN52" s="9" t="n">
        <v>54.55</v>
      </c>
      <c r="GO52" s="9" t="n">
        <v>54.62</v>
      </c>
      <c r="GP52" s="9" t="n">
        <v>39.35</v>
      </c>
      <c r="GQ52" s="9" t="n">
        <v>72.05</v>
      </c>
      <c r="GR52" s="9" t="n">
        <v>69.12</v>
      </c>
      <c r="GS52" s="9" t="n">
        <v>52.03</v>
      </c>
      <c r="GT52" s="9" t="n">
        <v>75.28</v>
      </c>
      <c r="GU52" s="9" t="n">
        <v>3.91</v>
      </c>
      <c r="GV52" s="9" t="n">
        <v>1.76</v>
      </c>
      <c r="GW52" s="9" t="n">
        <v>45.11</v>
      </c>
      <c r="GX52" s="9" t="n">
        <v>19.91</v>
      </c>
      <c r="GY52" s="9" t="n">
        <v>17.74</v>
      </c>
      <c r="GZ52" s="9" t="n">
        <v>89.06999999999999</v>
      </c>
      <c r="HA52" s="9" t="n">
        <v>8.5</v>
      </c>
      <c r="HB52" s="9" t="n">
        <v>15.97</v>
      </c>
      <c r="HC52" s="9" t="n">
        <v>4.01</v>
      </c>
      <c r="HD52" s="9" t="n">
        <v>11.15</v>
      </c>
      <c r="HE52" s="9" t="n">
        <v>17.71</v>
      </c>
      <c r="HF52" s="9" t="n">
        <v>20.24</v>
      </c>
      <c r="HG52" s="9" t="n">
        <v>12.46</v>
      </c>
    </row>
    <row r="53">
      <c r="A53" s="10" t="n">
        <v>2024</v>
      </c>
      <c r="B53" s="12" t="n">
        <v>76</v>
      </c>
      <c r="C53" s="5">
        <f>(B53-AVERAGE($B$2:$B$100))/_xlfn.STDEV.P($B$2:$B$100)</f>
        <v/>
      </c>
      <c r="D53" s="12" t="n">
        <v>1</v>
      </c>
      <c r="E53" s="6">
        <f>-D53</f>
        <v/>
      </c>
      <c r="F53" s="7">
        <f>(E53-AVERAGE($E$2:$E$100))/_xlfn.STDEV.P($E$2:$E$100)</f>
        <v/>
      </c>
      <c r="G53" s="7">
        <f>sum(0.5*C53)+(0.5*F53)</f>
        <v/>
      </c>
      <c r="H53" s="12" t="inlineStr">
        <is>
          <t>East</t>
        </is>
      </c>
      <c r="I53" s="8" t="inlineStr">
        <is>
          <t>Louisville City</t>
        </is>
      </c>
      <c r="J53" s="9" t="n">
        <v>2.47</v>
      </c>
      <c r="K53" s="9" t="n">
        <v>2.05</v>
      </c>
      <c r="L53" s="9" t="n">
        <v>15.47</v>
      </c>
      <c r="M53" s="9" t="n">
        <v>5.81</v>
      </c>
      <c r="N53" s="9" t="n">
        <v>37.52</v>
      </c>
      <c r="O53" s="9" t="n">
        <v>360.08</v>
      </c>
      <c r="P53" s="9" t="n">
        <v>289.69</v>
      </c>
      <c r="Q53" s="9" t="n">
        <v>80.45</v>
      </c>
      <c r="R53" s="9" t="n">
        <v>47.14</v>
      </c>
      <c r="S53" s="9" t="n">
        <v>104.19</v>
      </c>
      <c r="T53" s="9" t="n">
        <v>16.56</v>
      </c>
      <c r="U53" s="9" t="n">
        <v>33.86</v>
      </c>
      <c r="V53" s="9" t="n">
        <v>53.78</v>
      </c>
      <c r="W53" s="9" t="n">
        <v>83.81</v>
      </c>
      <c r="X53" s="9" t="n">
        <v>32.89</v>
      </c>
      <c r="Y53" s="9" t="n">
        <v>37.11</v>
      </c>
      <c r="Z53" s="9" t="n">
        <v>13.81</v>
      </c>
      <c r="AA53" s="9" t="n">
        <v>197.83</v>
      </c>
      <c r="AB53" s="9" t="n">
        <v>97.39</v>
      </c>
      <c r="AC53" s="9" t="n">
        <v>49.23</v>
      </c>
      <c r="AD53" s="9" t="n">
        <v>6.86</v>
      </c>
      <c r="AE53" s="9" t="n">
        <v>1.72</v>
      </c>
      <c r="AF53" s="9" t="n">
        <v>25.1</v>
      </c>
      <c r="AG53" s="9" t="n">
        <v>32.03</v>
      </c>
      <c r="AH53" s="9" t="n">
        <v>9.390000000000001</v>
      </c>
      <c r="AI53" s="9" t="n">
        <v>29.31</v>
      </c>
      <c r="AJ53" s="9" t="n">
        <v>1.03</v>
      </c>
      <c r="AK53" s="9" t="n">
        <v>0.67</v>
      </c>
      <c r="AL53" s="9" t="n">
        <v>64.86</v>
      </c>
      <c r="AM53" s="9" t="n">
        <v>24.92</v>
      </c>
      <c r="AN53" s="9" t="n">
        <v>4.53</v>
      </c>
      <c r="AO53" s="9" t="n">
        <v>18.17</v>
      </c>
      <c r="AP53" s="9" t="n">
        <v>6.08</v>
      </c>
      <c r="AQ53" s="9" t="n">
        <v>2.17</v>
      </c>
      <c r="AR53" s="9" t="n">
        <v>35.62</v>
      </c>
      <c r="AS53" s="9" t="n">
        <v>2.72</v>
      </c>
      <c r="AT53" s="9" t="n">
        <v>0.64</v>
      </c>
      <c r="AU53" s="9" t="n">
        <v>23.47</v>
      </c>
      <c r="AV53" s="9" t="n">
        <v>0.22</v>
      </c>
      <c r="AW53" s="9" t="n">
        <v>0.19</v>
      </c>
      <c r="AX53" s="9" t="n">
        <v>87.5</v>
      </c>
      <c r="AY53" s="9" t="n">
        <v>17.17</v>
      </c>
      <c r="AZ53" s="9" t="n">
        <v>6.06</v>
      </c>
      <c r="BA53" s="9" t="n">
        <v>35.28</v>
      </c>
      <c r="BB53" s="9" t="n">
        <v>6.31</v>
      </c>
      <c r="BC53" s="9" t="n">
        <v>6.83</v>
      </c>
      <c r="BD53" s="9" t="n">
        <v>26.11</v>
      </c>
      <c r="BE53" s="9" t="n">
        <v>3.97</v>
      </c>
      <c r="BF53" s="9" t="n">
        <v>10.72</v>
      </c>
      <c r="BG53" s="9" t="n">
        <v>18.69</v>
      </c>
      <c r="BH53" s="9" t="n">
        <v>65.19</v>
      </c>
      <c r="BI53" s="9" t="n">
        <v>26.25</v>
      </c>
      <c r="BJ53" s="9" t="n">
        <v>40.26</v>
      </c>
      <c r="BK53" s="9" t="n">
        <v>2.31</v>
      </c>
      <c r="BL53" s="9" t="n">
        <v>1.33</v>
      </c>
      <c r="BM53" s="9" t="n">
        <v>9.390000000000001</v>
      </c>
      <c r="BN53" s="9" t="n">
        <v>3.72</v>
      </c>
      <c r="BO53" s="9" t="n">
        <v>39.64</v>
      </c>
      <c r="BP53" s="9" t="n">
        <v>62.42</v>
      </c>
      <c r="BQ53" s="9" t="n">
        <v>37.81</v>
      </c>
      <c r="BR53" s="9" t="n">
        <v>60.57</v>
      </c>
      <c r="BS53" s="9" t="n">
        <v>44.14</v>
      </c>
      <c r="BT53" s="9" t="n">
        <v>22.5</v>
      </c>
      <c r="BU53" s="9" t="n">
        <v>50.98</v>
      </c>
      <c r="BV53" s="9" t="n">
        <v>2.47</v>
      </c>
      <c r="BW53" s="9" t="n">
        <v>1.39</v>
      </c>
      <c r="BX53" s="9" t="n">
        <v>56.18</v>
      </c>
      <c r="BY53" s="9" t="n">
        <v>36</v>
      </c>
      <c r="BZ53" s="9" t="n">
        <v>12.94</v>
      </c>
      <c r="CA53" s="9" t="n">
        <v>14.08</v>
      </c>
      <c r="CB53" s="9" t="n">
        <v>2.19</v>
      </c>
      <c r="CC53" s="9" t="n">
        <v>0.06</v>
      </c>
      <c r="CD53" s="9" t="n">
        <v>133.42</v>
      </c>
      <c r="CE53" s="9" t="n">
        <v>94.44</v>
      </c>
      <c r="CF53" s="9" t="n">
        <v>70.79000000000001</v>
      </c>
      <c r="CG53" s="9" t="n">
        <v>50.58</v>
      </c>
      <c r="CH53" s="9" t="n">
        <v>47.53</v>
      </c>
      <c r="CI53" s="9" t="n">
        <v>93.95999999999999</v>
      </c>
      <c r="CJ53" s="9" t="n">
        <v>129.58</v>
      </c>
      <c r="CK53" s="9" t="n">
        <v>111.97</v>
      </c>
      <c r="CL53" s="9" t="n">
        <v>86.41</v>
      </c>
      <c r="CM53" s="9" t="n">
        <v>46.47</v>
      </c>
      <c r="CN53" s="9" t="n">
        <v>24.94</v>
      </c>
      <c r="CO53" s="9" t="n">
        <v>53.68</v>
      </c>
      <c r="CP53" s="9" t="n">
        <v>58.11</v>
      </c>
      <c r="CQ53" s="9" t="n">
        <v>37.64</v>
      </c>
      <c r="CR53" s="9" t="n">
        <v>64.77</v>
      </c>
      <c r="CS53" s="9" t="n">
        <v>70.67</v>
      </c>
      <c r="CT53" s="9" t="n">
        <v>53.11</v>
      </c>
      <c r="CU53" s="9" t="n">
        <v>75.16</v>
      </c>
      <c r="CV53" s="9" t="n">
        <v>1.78</v>
      </c>
      <c r="CW53" s="9" t="n">
        <v>0.67</v>
      </c>
      <c r="CX53" s="9" t="n">
        <v>37.5</v>
      </c>
      <c r="CY53" s="9" t="n">
        <v>21.14</v>
      </c>
      <c r="CZ53" s="9" t="n">
        <v>19.31</v>
      </c>
      <c r="DA53" s="9" t="n">
        <v>91.33</v>
      </c>
      <c r="DB53" s="9" t="n">
        <v>6.75</v>
      </c>
      <c r="DC53" s="9" t="n">
        <v>15.42</v>
      </c>
      <c r="DD53" s="9" t="n">
        <v>3.46</v>
      </c>
      <c r="DE53" s="9" t="n">
        <v>13.4</v>
      </c>
      <c r="DF53" s="9" t="n">
        <v>17.65</v>
      </c>
      <c r="DG53" s="9" t="n">
        <v>20.91</v>
      </c>
      <c r="DH53" s="9" t="n">
        <v>10.56</v>
      </c>
      <c r="DI53" s="9" t="n">
        <v>1.33</v>
      </c>
      <c r="DJ53" s="9" t="n">
        <v>1.21</v>
      </c>
      <c r="DK53" s="9" t="n">
        <v>9.390000000000001</v>
      </c>
      <c r="DL53" s="9" t="n">
        <v>3.47</v>
      </c>
      <c r="DM53" s="9" t="n">
        <v>36.98</v>
      </c>
      <c r="DN53" s="9" t="n">
        <v>416.97</v>
      </c>
      <c r="DO53" s="9" t="n">
        <v>343.78</v>
      </c>
      <c r="DP53" s="9" t="n">
        <v>82.45</v>
      </c>
      <c r="DQ53" s="9" t="n">
        <v>52.86</v>
      </c>
      <c r="DR53" s="9" t="n">
        <v>108.97</v>
      </c>
      <c r="DS53" s="9" t="n">
        <v>24.03</v>
      </c>
      <c r="DT53" s="9" t="n">
        <v>41.36</v>
      </c>
      <c r="DU53" s="9" t="n">
        <v>43.58</v>
      </c>
      <c r="DV53" s="9" t="n">
        <v>78.72</v>
      </c>
      <c r="DW53" s="9" t="n">
        <v>40.17</v>
      </c>
      <c r="DX53" s="9" t="n">
        <v>28.64</v>
      </c>
      <c r="DY53" s="9" t="n">
        <v>9.92</v>
      </c>
      <c r="DZ53" s="9" t="n">
        <v>197.83</v>
      </c>
      <c r="EA53" s="9" t="n">
        <v>92.78</v>
      </c>
      <c r="EB53" s="9" t="n">
        <v>46.9</v>
      </c>
      <c r="EC53" s="9" t="n">
        <v>3.92</v>
      </c>
      <c r="ED53" s="9" t="n">
        <v>0.89</v>
      </c>
      <c r="EE53" s="9" t="n">
        <v>22.7</v>
      </c>
      <c r="EF53" s="9" t="n">
        <v>22.89</v>
      </c>
      <c r="EG53" s="9" t="n">
        <v>5.5</v>
      </c>
      <c r="EH53" s="9" t="n">
        <v>24.03</v>
      </c>
      <c r="EI53" s="9" t="n">
        <v>1</v>
      </c>
      <c r="EJ53" s="9" t="n">
        <v>0.47</v>
      </c>
      <c r="EK53" s="9" t="n">
        <v>47.22</v>
      </c>
      <c r="EL53" s="9" t="n">
        <v>28.11</v>
      </c>
      <c r="EM53" s="9" t="n">
        <v>3</v>
      </c>
      <c r="EN53" s="9" t="n">
        <v>10.67</v>
      </c>
      <c r="EO53" s="9" t="n">
        <v>3.33</v>
      </c>
      <c r="EP53" s="9" t="n">
        <v>1.08</v>
      </c>
      <c r="EQ53" s="9" t="n">
        <v>32.5</v>
      </c>
      <c r="ER53" s="9" t="n">
        <v>1.86</v>
      </c>
      <c r="ES53" s="9" t="n">
        <v>0.5</v>
      </c>
      <c r="ET53" s="9" t="n">
        <v>26.87</v>
      </c>
      <c r="EU53" s="9" t="n">
        <v>0.17</v>
      </c>
      <c r="EV53" s="9" t="n">
        <v>0.08</v>
      </c>
      <c r="EW53" s="9" t="n">
        <v>50</v>
      </c>
      <c r="EX53" s="9" t="n">
        <v>12.61</v>
      </c>
      <c r="EY53" s="9" t="n">
        <v>3.94</v>
      </c>
      <c r="EZ53" s="9" t="n">
        <v>31.28</v>
      </c>
      <c r="FA53" s="9" t="n">
        <v>3.69</v>
      </c>
      <c r="FB53" s="9" t="n">
        <v>4.81</v>
      </c>
      <c r="FC53" s="9" t="n">
        <v>18.86</v>
      </c>
      <c r="FD53" s="9" t="n">
        <v>3.11</v>
      </c>
      <c r="FE53" s="9" t="n">
        <v>8.029999999999999</v>
      </c>
      <c r="FF53" s="9" t="n">
        <v>12.42</v>
      </c>
      <c r="FG53" s="9" t="n">
        <v>62.42</v>
      </c>
      <c r="FH53" s="9" t="n">
        <v>24.61</v>
      </c>
      <c r="FI53" s="9" t="n">
        <v>39.43</v>
      </c>
      <c r="FJ53" s="9" t="n">
        <v>1.72</v>
      </c>
      <c r="FK53" s="9" t="n">
        <v>2.47</v>
      </c>
      <c r="FL53" s="9" t="n">
        <v>15.47</v>
      </c>
      <c r="FM53" s="9" t="n">
        <v>6.11</v>
      </c>
      <c r="FN53" s="9" t="n">
        <v>39.5</v>
      </c>
      <c r="FO53" s="9" t="n">
        <v>65.25</v>
      </c>
      <c r="FP53" s="9" t="n">
        <v>38.94</v>
      </c>
      <c r="FQ53" s="9" t="n">
        <v>59.68</v>
      </c>
      <c r="FR53" s="9" t="n">
        <v>44.08</v>
      </c>
      <c r="FS53" s="9" t="n">
        <v>18.11</v>
      </c>
      <c r="FT53" s="9" t="n">
        <v>41.08</v>
      </c>
      <c r="FU53" s="9" t="n">
        <v>3.03</v>
      </c>
      <c r="FV53" s="9" t="n">
        <v>1.75</v>
      </c>
      <c r="FW53" s="9" t="n">
        <v>57.8</v>
      </c>
      <c r="FX53" s="9" t="n">
        <v>40.03</v>
      </c>
      <c r="FY53" s="9" t="n">
        <v>16.36</v>
      </c>
      <c r="FZ53" s="9" t="n">
        <v>12.08</v>
      </c>
      <c r="GA53" s="9" t="n">
        <v>2.42</v>
      </c>
      <c r="GB53" s="9" t="n">
        <v>0.03</v>
      </c>
      <c r="GC53" s="9" t="n">
        <v>141.69</v>
      </c>
      <c r="GD53" s="9" t="n">
        <v>98.42</v>
      </c>
      <c r="GE53" s="9" t="n">
        <v>69.45999999999999</v>
      </c>
      <c r="GF53" s="9" t="n">
        <v>63.25</v>
      </c>
      <c r="GG53" s="9" t="n">
        <v>59.81</v>
      </c>
      <c r="GH53" s="9" t="n">
        <v>94.55</v>
      </c>
      <c r="GI53" s="9" t="n">
        <v>156.22</v>
      </c>
      <c r="GJ53" s="9" t="n">
        <v>139.5</v>
      </c>
      <c r="GK53" s="9" t="n">
        <v>89.3</v>
      </c>
      <c r="GL53" s="9" t="n">
        <v>53.42</v>
      </c>
      <c r="GM53" s="9" t="n">
        <v>26.89</v>
      </c>
      <c r="GN53" s="9" t="n">
        <v>50.34</v>
      </c>
      <c r="GO53" s="9" t="n">
        <v>50.33</v>
      </c>
      <c r="GP53" s="9" t="n">
        <v>32.31</v>
      </c>
      <c r="GQ53" s="9" t="n">
        <v>64.18000000000001</v>
      </c>
      <c r="GR53" s="9" t="n">
        <v>72.25</v>
      </c>
      <c r="GS53" s="9" t="n">
        <v>48</v>
      </c>
      <c r="GT53" s="9" t="n">
        <v>66.44</v>
      </c>
      <c r="GU53" s="9" t="n">
        <v>1.69</v>
      </c>
      <c r="GV53" s="9" t="n">
        <v>0.8100000000000001</v>
      </c>
      <c r="GW53" s="9" t="n">
        <v>47.54</v>
      </c>
      <c r="GX53" s="9" t="n">
        <v>19.83</v>
      </c>
      <c r="GY53" s="9" t="n">
        <v>17.78</v>
      </c>
      <c r="GZ53" s="9" t="n">
        <v>89.64</v>
      </c>
      <c r="HA53" s="9" t="n">
        <v>10.36</v>
      </c>
      <c r="HB53" s="9" t="n">
        <v>15.9</v>
      </c>
      <c r="HC53" s="9" t="n">
        <v>4.07</v>
      </c>
      <c r="HD53" s="9" t="n">
        <v>13.26</v>
      </c>
      <c r="HE53" s="9" t="n">
        <v>18.81</v>
      </c>
      <c r="HF53" s="9" t="n">
        <v>20.51</v>
      </c>
      <c r="HG53" s="9" t="n">
        <v>11.88</v>
      </c>
    </row>
    <row r="54">
      <c r="A54" s="12" t="n">
        <v>2024</v>
      </c>
      <c r="B54" s="12" t="n">
        <v>59</v>
      </c>
      <c r="C54" s="5">
        <f>(B54-AVERAGE($B$2:$B$100))/_xlfn.STDEV.P($B$2:$B$100)</f>
        <v/>
      </c>
      <c r="D54" s="12" t="n">
        <v>1</v>
      </c>
      <c r="E54" s="6">
        <f>-D54</f>
        <v/>
      </c>
      <c r="F54" s="7">
        <f>(E54-AVERAGE($E$2:$E$100))/_xlfn.STDEV.P($E$2:$E$100)</f>
        <v/>
      </c>
      <c r="G54" s="7">
        <f>sum(0.5*C54)+(0.5*F54)</f>
        <v/>
      </c>
      <c r="H54" s="12" t="inlineStr">
        <is>
          <t>West</t>
        </is>
      </c>
      <c r="I54" s="8" t="inlineStr">
        <is>
          <t>New Mexico United</t>
        </is>
      </c>
      <c r="J54" s="9" t="n">
        <v>1.33</v>
      </c>
      <c r="K54" s="9" t="n">
        <v>1.46</v>
      </c>
      <c r="L54" s="9" t="n">
        <v>11.53</v>
      </c>
      <c r="M54" s="9" t="n">
        <v>4.92</v>
      </c>
      <c r="N54" s="9" t="n">
        <v>42.65</v>
      </c>
      <c r="O54" s="9" t="n">
        <v>445.17</v>
      </c>
      <c r="P54" s="9" t="n">
        <v>374.36</v>
      </c>
      <c r="Q54" s="9" t="n">
        <v>84.09</v>
      </c>
      <c r="R54" s="9" t="n">
        <v>53.94</v>
      </c>
      <c r="S54" s="9" t="n">
        <v>99.5</v>
      </c>
      <c r="T54" s="9" t="n">
        <v>18.42</v>
      </c>
      <c r="U54" s="9" t="n">
        <v>32.94</v>
      </c>
      <c r="V54" s="9" t="n">
        <v>48.14</v>
      </c>
      <c r="W54" s="9" t="n">
        <v>72.89</v>
      </c>
      <c r="X54" s="9" t="n">
        <v>34.36</v>
      </c>
      <c r="Y54" s="9" t="n">
        <v>27.44</v>
      </c>
      <c r="Z54" s="9" t="n">
        <v>11.08</v>
      </c>
      <c r="AA54" s="9" t="n">
        <v>182.42</v>
      </c>
      <c r="AB54" s="9" t="n">
        <v>87.06</v>
      </c>
      <c r="AC54" s="9" t="n">
        <v>47.72</v>
      </c>
      <c r="AD54" s="9" t="n">
        <v>5.11</v>
      </c>
      <c r="AE54" s="9" t="n">
        <v>1.69</v>
      </c>
      <c r="AF54" s="9" t="n">
        <v>33.15</v>
      </c>
      <c r="AG54" s="9" t="n">
        <v>26.72</v>
      </c>
      <c r="AH54" s="9" t="n">
        <v>6.86</v>
      </c>
      <c r="AI54" s="9" t="n">
        <v>25.68</v>
      </c>
      <c r="AJ54" s="9" t="n">
        <v>0.78</v>
      </c>
      <c r="AK54" s="9" t="n">
        <v>0.44</v>
      </c>
      <c r="AL54" s="9" t="n">
        <v>57.14</v>
      </c>
      <c r="AM54" s="9" t="n">
        <v>29.19</v>
      </c>
      <c r="AN54" s="9" t="n">
        <v>3.42</v>
      </c>
      <c r="AO54" s="9" t="n">
        <v>11.7</v>
      </c>
      <c r="AP54" s="9" t="n">
        <v>4.47</v>
      </c>
      <c r="AQ54" s="9" t="n">
        <v>1.08</v>
      </c>
      <c r="AR54" s="9" t="n">
        <v>24.22</v>
      </c>
      <c r="AS54" s="9" t="n">
        <v>1.64</v>
      </c>
      <c r="AT54" s="9" t="n">
        <v>0.36</v>
      </c>
      <c r="AU54" s="9" t="n">
        <v>22.03</v>
      </c>
      <c r="AV54" s="9" t="n">
        <v>0.28</v>
      </c>
      <c r="AW54" s="9" t="n">
        <v>0.14</v>
      </c>
      <c r="AX54" s="9" t="n">
        <v>50</v>
      </c>
      <c r="AY54" s="9" t="n">
        <v>11.44</v>
      </c>
      <c r="AZ54" s="9" t="n">
        <v>3.64</v>
      </c>
      <c r="BA54" s="9" t="n">
        <v>31.8</v>
      </c>
      <c r="BB54" s="9" t="n">
        <v>3.61</v>
      </c>
      <c r="BC54" s="9" t="n">
        <v>9.859999999999999</v>
      </c>
      <c r="BD54" s="9" t="n">
        <v>26.22</v>
      </c>
      <c r="BE54" s="9" t="n">
        <v>4.14</v>
      </c>
      <c r="BF54" s="9" t="n">
        <v>6.22</v>
      </c>
      <c r="BG54" s="9" t="n">
        <v>18.53</v>
      </c>
      <c r="BH54" s="9" t="n">
        <v>64.75</v>
      </c>
      <c r="BI54" s="9" t="n">
        <v>25.53</v>
      </c>
      <c r="BJ54" s="9" t="n">
        <v>39.43</v>
      </c>
      <c r="BK54" s="9" t="n">
        <v>2.08</v>
      </c>
      <c r="BL54" s="9" t="n">
        <v>1.28</v>
      </c>
      <c r="BM54" s="9" t="n">
        <v>10.97</v>
      </c>
      <c r="BN54" s="9" t="n">
        <v>3.97</v>
      </c>
      <c r="BO54" s="9" t="n">
        <v>36.2</v>
      </c>
      <c r="BP54" s="9" t="n">
        <v>63.56</v>
      </c>
      <c r="BQ54" s="9" t="n">
        <v>38.75</v>
      </c>
      <c r="BR54" s="9" t="n">
        <v>60.97</v>
      </c>
      <c r="BS54" s="9" t="n">
        <v>29.94</v>
      </c>
      <c r="BT54" s="9" t="n">
        <v>13.28</v>
      </c>
      <c r="BU54" s="9" t="n">
        <v>44.34</v>
      </c>
      <c r="BV54" s="9" t="n">
        <v>4.28</v>
      </c>
      <c r="BW54" s="9" t="n">
        <v>2.08</v>
      </c>
      <c r="BX54" s="9" t="n">
        <v>48.7</v>
      </c>
      <c r="BY54" s="9" t="n">
        <v>36.31</v>
      </c>
      <c r="BZ54" s="9" t="n">
        <v>14.58</v>
      </c>
      <c r="CA54" s="9" t="n">
        <v>12.53</v>
      </c>
      <c r="CB54" s="9" t="n">
        <v>2.47</v>
      </c>
      <c r="CC54" s="9" t="n">
        <v>0.06</v>
      </c>
      <c r="CD54" s="9" t="n">
        <v>147.78</v>
      </c>
      <c r="CE54" s="9" t="n">
        <v>107.81</v>
      </c>
      <c r="CF54" s="9" t="n">
        <v>72.95</v>
      </c>
      <c r="CG54" s="9" t="n">
        <v>66.17</v>
      </c>
      <c r="CH54" s="9" t="n">
        <v>62.61</v>
      </c>
      <c r="CI54" s="9" t="n">
        <v>94.63</v>
      </c>
      <c r="CJ54" s="9" t="n">
        <v>173.31</v>
      </c>
      <c r="CK54" s="9" t="n">
        <v>156.36</v>
      </c>
      <c r="CL54" s="9" t="n">
        <v>90.22</v>
      </c>
      <c r="CM54" s="9" t="n">
        <v>46.36</v>
      </c>
      <c r="CN54" s="9" t="n">
        <v>24.44</v>
      </c>
      <c r="CO54" s="9" t="n">
        <v>52.73</v>
      </c>
      <c r="CP54" s="9" t="n">
        <v>54.86</v>
      </c>
      <c r="CQ54" s="9" t="n">
        <v>36.47</v>
      </c>
      <c r="CR54" s="9" t="n">
        <v>66.48</v>
      </c>
      <c r="CS54" s="9" t="n">
        <v>72.44</v>
      </c>
      <c r="CT54" s="9" t="n">
        <v>53.89</v>
      </c>
      <c r="CU54" s="9" t="n">
        <v>74.39</v>
      </c>
      <c r="CV54" s="9" t="n">
        <v>2.42</v>
      </c>
      <c r="CW54" s="9" t="n">
        <v>1</v>
      </c>
      <c r="CX54" s="9" t="n">
        <v>41.38</v>
      </c>
      <c r="CY54" s="9" t="n">
        <v>20.92</v>
      </c>
      <c r="CZ54" s="9" t="n">
        <v>18.61</v>
      </c>
      <c r="DA54" s="9" t="n">
        <v>88.98</v>
      </c>
      <c r="DB54" s="9" t="n">
        <v>9.890000000000001</v>
      </c>
      <c r="DC54" s="9" t="n">
        <v>16.26</v>
      </c>
      <c r="DD54" s="9" t="n">
        <v>4.33</v>
      </c>
      <c r="DE54" s="9" t="n">
        <v>10.67</v>
      </c>
      <c r="DF54" s="9" t="n">
        <v>18.72</v>
      </c>
      <c r="DG54" s="9" t="n">
        <v>20.08</v>
      </c>
      <c r="DH54" s="9" t="n">
        <v>10.37</v>
      </c>
      <c r="DI54" s="9" t="n">
        <v>1.28</v>
      </c>
      <c r="DJ54" s="9" t="n">
        <v>1.42</v>
      </c>
      <c r="DK54" s="9" t="n">
        <v>10.97</v>
      </c>
      <c r="DL54" s="9" t="n">
        <v>3.75</v>
      </c>
      <c r="DM54" s="9" t="n">
        <v>34.18</v>
      </c>
      <c r="DN54" s="9" t="n">
        <v>362.72</v>
      </c>
      <c r="DO54" s="9" t="n">
        <v>295.56</v>
      </c>
      <c r="DP54" s="9" t="n">
        <v>81.48</v>
      </c>
      <c r="DQ54" s="9" t="n">
        <v>46.06</v>
      </c>
      <c r="DR54" s="9" t="n">
        <v>95.86</v>
      </c>
      <c r="DS54" s="9" t="n">
        <v>19.03</v>
      </c>
      <c r="DT54" s="9" t="n">
        <v>33.36</v>
      </c>
      <c r="DU54" s="9" t="n">
        <v>43.47</v>
      </c>
      <c r="DV54" s="9" t="n">
        <v>74.25</v>
      </c>
      <c r="DW54" s="9" t="n">
        <v>35.97</v>
      </c>
      <c r="DX54" s="9" t="n">
        <v>28.44</v>
      </c>
      <c r="DY54" s="9" t="n">
        <v>9.83</v>
      </c>
      <c r="DZ54" s="9" t="n">
        <v>182.42</v>
      </c>
      <c r="EA54" s="9" t="n">
        <v>89.14</v>
      </c>
      <c r="EB54" s="9" t="n">
        <v>48.87</v>
      </c>
      <c r="EC54" s="9" t="n">
        <v>4.61</v>
      </c>
      <c r="ED54" s="9" t="n">
        <v>1.25</v>
      </c>
      <c r="EE54" s="9" t="n">
        <v>27.11</v>
      </c>
      <c r="EF54" s="9" t="n">
        <v>25.36</v>
      </c>
      <c r="EG54" s="9" t="n">
        <v>6.39</v>
      </c>
      <c r="EH54" s="9" t="n">
        <v>25.19</v>
      </c>
      <c r="EI54" s="9" t="n">
        <v>0.83</v>
      </c>
      <c r="EJ54" s="9" t="n">
        <v>0.44</v>
      </c>
      <c r="EK54" s="9" t="n">
        <v>53.33</v>
      </c>
      <c r="EL54" s="9" t="n">
        <v>25.86</v>
      </c>
      <c r="EM54" s="9" t="n">
        <v>3.61</v>
      </c>
      <c r="EN54" s="9" t="n">
        <v>13.96</v>
      </c>
      <c r="EO54" s="9" t="n">
        <v>4.67</v>
      </c>
      <c r="EP54" s="9" t="n">
        <v>1.67</v>
      </c>
      <c r="EQ54" s="9" t="n">
        <v>35.71</v>
      </c>
      <c r="ER54" s="9" t="n">
        <v>2.28</v>
      </c>
      <c r="ES54" s="9" t="n">
        <v>0.6899999999999999</v>
      </c>
      <c r="ET54" s="9" t="n">
        <v>30.49</v>
      </c>
      <c r="EU54" s="9" t="n">
        <v>0.14</v>
      </c>
      <c r="EV54" s="9" t="n">
        <v>0.14</v>
      </c>
      <c r="EW54" s="9" t="n">
        <v>100</v>
      </c>
      <c r="EX54" s="9" t="n">
        <v>15.22</v>
      </c>
      <c r="EY54" s="9" t="n">
        <v>4.75</v>
      </c>
      <c r="EZ54" s="9" t="n">
        <v>31.2</v>
      </c>
      <c r="FA54" s="9" t="n">
        <v>5.06</v>
      </c>
      <c r="FB54" s="9" t="n">
        <v>5.67</v>
      </c>
      <c r="FC54" s="9" t="n">
        <v>23.33</v>
      </c>
      <c r="FD54" s="9" t="n">
        <v>3.97</v>
      </c>
      <c r="FE54" s="9" t="n">
        <v>9.279999999999999</v>
      </c>
      <c r="FF54" s="9" t="n">
        <v>15.72</v>
      </c>
      <c r="FG54" s="9" t="n">
        <v>63.56</v>
      </c>
      <c r="FH54" s="9" t="n">
        <v>24.81</v>
      </c>
      <c r="FI54" s="9" t="n">
        <v>39.03</v>
      </c>
      <c r="FJ54" s="9" t="n">
        <v>2</v>
      </c>
      <c r="FK54" s="9" t="n">
        <v>1.33</v>
      </c>
      <c r="FL54" s="9" t="n">
        <v>11.53</v>
      </c>
      <c r="FM54" s="9" t="n">
        <v>5.11</v>
      </c>
      <c r="FN54" s="9" t="n">
        <v>44.34</v>
      </c>
      <c r="FO54" s="9" t="n">
        <v>64.75</v>
      </c>
      <c r="FP54" s="9" t="n">
        <v>39.22</v>
      </c>
      <c r="FQ54" s="9" t="n">
        <v>60.57</v>
      </c>
      <c r="FR54" s="9" t="n">
        <v>29.94</v>
      </c>
      <c r="FS54" s="9" t="n">
        <v>14.36</v>
      </c>
      <c r="FT54" s="9" t="n">
        <v>47.96</v>
      </c>
      <c r="FU54" s="9" t="n">
        <v>3.67</v>
      </c>
      <c r="FV54" s="9" t="n">
        <v>1.86</v>
      </c>
      <c r="FW54" s="9" t="n">
        <v>50.76</v>
      </c>
      <c r="FX54" s="9" t="n">
        <v>38.03</v>
      </c>
      <c r="FY54" s="9" t="n">
        <v>14.14</v>
      </c>
      <c r="FZ54" s="9" t="n">
        <v>14</v>
      </c>
      <c r="GA54" s="9" t="n">
        <v>2.56</v>
      </c>
      <c r="GB54" s="9" t="n">
        <v>0.08</v>
      </c>
      <c r="GC54" s="9" t="n">
        <v>130.33</v>
      </c>
      <c r="GD54" s="9" t="n">
        <v>93.78</v>
      </c>
      <c r="GE54" s="9" t="n">
        <v>71.95</v>
      </c>
      <c r="GF54" s="9" t="n">
        <v>58.14</v>
      </c>
      <c r="GG54" s="9" t="n">
        <v>54.08</v>
      </c>
      <c r="GH54" s="9" t="n">
        <v>93.02</v>
      </c>
      <c r="GI54" s="9" t="n">
        <v>125.78</v>
      </c>
      <c r="GJ54" s="9" t="n">
        <v>109.36</v>
      </c>
      <c r="GK54" s="9" t="n">
        <v>86.95</v>
      </c>
      <c r="GL54" s="9" t="n">
        <v>42.86</v>
      </c>
      <c r="GM54" s="9" t="n">
        <v>21.78</v>
      </c>
      <c r="GN54" s="9" t="n">
        <v>50.81</v>
      </c>
      <c r="GO54" s="9" t="n">
        <v>50.36</v>
      </c>
      <c r="GP54" s="9" t="n">
        <v>32.03</v>
      </c>
      <c r="GQ54" s="9" t="n">
        <v>63.6</v>
      </c>
      <c r="GR54" s="9" t="n">
        <v>66.94</v>
      </c>
      <c r="GS54" s="9" t="n">
        <v>47.92</v>
      </c>
      <c r="GT54" s="9" t="n">
        <v>71.58</v>
      </c>
      <c r="GU54" s="9" t="n">
        <v>1.56</v>
      </c>
      <c r="GV54" s="9" t="n">
        <v>0.64</v>
      </c>
      <c r="GW54" s="9" t="n">
        <v>41.07</v>
      </c>
      <c r="GX54" s="9" t="n">
        <v>19.69</v>
      </c>
      <c r="GY54" s="9" t="n">
        <v>17.19</v>
      </c>
      <c r="GZ54" s="9" t="n">
        <v>87.31</v>
      </c>
      <c r="HA54" s="9" t="n">
        <v>8.25</v>
      </c>
      <c r="HB54" s="9" t="n">
        <v>15.66</v>
      </c>
      <c r="HC54" s="9" t="n">
        <v>3.57</v>
      </c>
      <c r="HD54" s="9" t="n">
        <v>12.34</v>
      </c>
      <c r="HE54" s="9" t="n">
        <v>18.38</v>
      </c>
      <c r="HF54" s="9" t="n">
        <v>20.84</v>
      </c>
      <c r="HG54" s="9" t="n">
        <v>13</v>
      </c>
    </row>
    <row r="55">
      <c r="A55" s="12" t="n">
        <v>2024</v>
      </c>
      <c r="B55" s="12" t="n">
        <v>64</v>
      </c>
      <c r="C55" s="5">
        <f>(B55-AVERAGE($B$2:$B$100))/_xlfn.STDEV.P($B$2:$B$100)</f>
        <v/>
      </c>
      <c r="D55" s="12" t="n">
        <v>2</v>
      </c>
      <c r="E55" s="6">
        <f>-D55</f>
        <v/>
      </c>
      <c r="F55" s="7">
        <f>(E55-AVERAGE($E$2:$E$100))/_xlfn.STDEV.P($E$2:$E$100)</f>
        <v/>
      </c>
      <c r="G55" s="7">
        <f>sum(0.5*C55)+(0.5*F55)</f>
        <v/>
      </c>
      <c r="H55" s="12" t="inlineStr">
        <is>
          <t>East</t>
        </is>
      </c>
      <c r="I55" s="8" t="inlineStr">
        <is>
          <t>Charleston Battery</t>
        </is>
      </c>
      <c r="J55" s="9" t="n">
        <v>1.92</v>
      </c>
      <c r="K55" s="9" t="n">
        <v>1.73</v>
      </c>
      <c r="L55" s="9" t="n">
        <v>14.08</v>
      </c>
      <c r="M55" s="9" t="n">
        <v>5.62</v>
      </c>
      <c r="N55" s="9" t="n">
        <v>39.92</v>
      </c>
      <c r="O55" s="9" t="n">
        <v>475.76</v>
      </c>
      <c r="P55" s="9" t="n">
        <v>407.03</v>
      </c>
      <c r="Q55" s="9" t="n">
        <v>85.55</v>
      </c>
      <c r="R55" s="9" t="n">
        <v>58.38</v>
      </c>
      <c r="S55" s="9" t="n">
        <v>100.19</v>
      </c>
      <c r="T55" s="9" t="n">
        <v>16.57</v>
      </c>
      <c r="U55" s="9" t="n">
        <v>35.22</v>
      </c>
      <c r="V55" s="9" t="n">
        <v>48.41</v>
      </c>
      <c r="W55" s="9" t="n">
        <v>76.95</v>
      </c>
      <c r="X55" s="9" t="n">
        <v>33.97</v>
      </c>
      <c r="Y55" s="9" t="n">
        <v>30.97</v>
      </c>
      <c r="Z55" s="9" t="n">
        <v>12</v>
      </c>
      <c r="AA55" s="9" t="n">
        <v>196.92</v>
      </c>
      <c r="AB55" s="9" t="n">
        <v>94.48999999999999</v>
      </c>
      <c r="AC55" s="9" t="n">
        <v>47.98</v>
      </c>
      <c r="AD55" s="9" t="n">
        <v>6.08</v>
      </c>
      <c r="AE55" s="9" t="n">
        <v>2</v>
      </c>
      <c r="AF55" s="9" t="n">
        <v>32.89</v>
      </c>
      <c r="AG55" s="9" t="n">
        <v>31.27</v>
      </c>
      <c r="AH55" s="9" t="n">
        <v>8.859999999999999</v>
      </c>
      <c r="AI55" s="9" t="n">
        <v>28.35</v>
      </c>
      <c r="AJ55" s="9" t="n">
        <v>0.62</v>
      </c>
      <c r="AK55" s="9" t="n">
        <v>0.3</v>
      </c>
      <c r="AL55" s="9" t="n">
        <v>47.83</v>
      </c>
      <c r="AM55" s="9" t="n">
        <v>29</v>
      </c>
      <c r="AN55" s="9" t="n">
        <v>4.11</v>
      </c>
      <c r="AO55" s="9" t="n">
        <v>14.17</v>
      </c>
      <c r="AP55" s="9" t="n">
        <v>5.16</v>
      </c>
      <c r="AQ55" s="9" t="n">
        <v>1.78</v>
      </c>
      <c r="AR55" s="9" t="n">
        <v>34.55</v>
      </c>
      <c r="AS55" s="9" t="n">
        <v>2.7</v>
      </c>
      <c r="AT55" s="9" t="n">
        <v>0.54</v>
      </c>
      <c r="AU55" s="9" t="n">
        <v>20</v>
      </c>
      <c r="AV55" s="9" t="n">
        <v>0.22</v>
      </c>
      <c r="AW55" s="9" t="n">
        <v>0.19</v>
      </c>
      <c r="AX55" s="9" t="n">
        <v>87.5</v>
      </c>
      <c r="AY55" s="9" t="n">
        <v>13.84</v>
      </c>
      <c r="AZ55" s="9" t="n">
        <v>4.59</v>
      </c>
      <c r="BA55" s="9" t="n">
        <v>33.2</v>
      </c>
      <c r="BB55" s="9" t="n">
        <v>4.41</v>
      </c>
      <c r="BC55" s="9" t="n">
        <v>8.41</v>
      </c>
      <c r="BD55" s="9" t="n">
        <v>25.03</v>
      </c>
      <c r="BE55" s="9" t="n">
        <v>3.46</v>
      </c>
      <c r="BF55" s="9" t="n">
        <v>9.16</v>
      </c>
      <c r="BG55" s="9" t="n">
        <v>17.49</v>
      </c>
      <c r="BH55" s="9" t="n">
        <v>73.23999999999999</v>
      </c>
      <c r="BI55" s="9" t="n">
        <v>27.65</v>
      </c>
      <c r="BJ55" s="9" t="n">
        <v>37.75</v>
      </c>
      <c r="BK55" s="9" t="n">
        <v>1.95</v>
      </c>
      <c r="BL55" s="9" t="n">
        <v>1.03</v>
      </c>
      <c r="BM55" s="9" t="n">
        <v>9.49</v>
      </c>
      <c r="BN55" s="9" t="n">
        <v>3.24</v>
      </c>
      <c r="BO55" s="9" t="n">
        <v>34.19</v>
      </c>
      <c r="BP55" s="9" t="n">
        <v>62.89</v>
      </c>
      <c r="BQ55" s="9" t="n">
        <v>39.57</v>
      </c>
      <c r="BR55" s="9" t="n">
        <v>62.91</v>
      </c>
      <c r="BS55" s="9" t="n">
        <v>32.84</v>
      </c>
      <c r="BT55" s="9" t="n">
        <v>15.49</v>
      </c>
      <c r="BU55" s="9" t="n">
        <v>47.16</v>
      </c>
      <c r="BV55" s="9" t="n">
        <v>2.78</v>
      </c>
      <c r="BW55" s="9" t="n">
        <v>1.41</v>
      </c>
      <c r="BX55" s="9" t="n">
        <v>50.49</v>
      </c>
      <c r="BY55" s="9" t="n">
        <v>36.11</v>
      </c>
      <c r="BZ55" s="9" t="n">
        <v>12.08</v>
      </c>
      <c r="CA55" s="9" t="n">
        <v>12.92</v>
      </c>
      <c r="CB55" s="9" t="n">
        <v>2</v>
      </c>
      <c r="CC55" s="9" t="n">
        <v>0.08</v>
      </c>
      <c r="CD55" s="9" t="n">
        <v>153.38</v>
      </c>
      <c r="CE55" s="9" t="n">
        <v>116.89</v>
      </c>
      <c r="CF55" s="9" t="n">
        <v>76.20999999999999</v>
      </c>
      <c r="CG55" s="9" t="n">
        <v>70.14</v>
      </c>
      <c r="CH55" s="9" t="n">
        <v>66.43000000000001</v>
      </c>
      <c r="CI55" s="9" t="n">
        <v>94.72</v>
      </c>
      <c r="CJ55" s="9" t="n">
        <v>189.05</v>
      </c>
      <c r="CK55" s="9" t="n">
        <v>171.86</v>
      </c>
      <c r="CL55" s="9" t="n">
        <v>90.91</v>
      </c>
      <c r="CM55" s="9" t="n">
        <v>49.49</v>
      </c>
      <c r="CN55" s="9" t="n">
        <v>29.08</v>
      </c>
      <c r="CO55" s="9" t="n">
        <v>58.77</v>
      </c>
      <c r="CP55" s="9" t="n">
        <v>57.59</v>
      </c>
      <c r="CQ55" s="9" t="n">
        <v>40.59</v>
      </c>
      <c r="CR55" s="9" t="n">
        <v>70.48</v>
      </c>
      <c r="CS55" s="9" t="n">
        <v>77.41</v>
      </c>
      <c r="CT55" s="9" t="n">
        <v>58.73</v>
      </c>
      <c r="CU55" s="9" t="n">
        <v>75.87</v>
      </c>
      <c r="CV55" s="9" t="n">
        <v>1.76</v>
      </c>
      <c r="CW55" s="9" t="n">
        <v>0.78</v>
      </c>
      <c r="CX55" s="9" t="n">
        <v>44.62</v>
      </c>
      <c r="CY55" s="9" t="n">
        <v>19.73</v>
      </c>
      <c r="CZ55" s="9" t="n">
        <v>17.95</v>
      </c>
      <c r="DA55" s="9" t="n">
        <v>90.95999999999999</v>
      </c>
      <c r="DB55" s="9" t="n">
        <v>6.57</v>
      </c>
      <c r="DC55" s="9" t="n">
        <v>16.25</v>
      </c>
      <c r="DD55" s="9" t="n">
        <v>4.58</v>
      </c>
      <c r="DE55" s="9" t="n">
        <v>10.58</v>
      </c>
      <c r="DF55" s="9" t="n">
        <v>18.98</v>
      </c>
      <c r="DG55" s="9" t="n">
        <v>19.9</v>
      </c>
      <c r="DH55" s="9" t="n">
        <v>9.17</v>
      </c>
      <c r="DI55" s="9" t="n">
        <v>1.03</v>
      </c>
      <c r="DJ55" s="9" t="n">
        <v>1.02</v>
      </c>
      <c r="DK55" s="9" t="n">
        <v>9.49</v>
      </c>
      <c r="DL55" s="9" t="n">
        <v>3.16</v>
      </c>
      <c r="DM55" s="9" t="n">
        <v>33.33</v>
      </c>
      <c r="DN55" s="9" t="n">
        <v>329.27</v>
      </c>
      <c r="DO55" s="9" t="n">
        <v>261.76</v>
      </c>
      <c r="DP55" s="9" t="n">
        <v>79.5</v>
      </c>
      <c r="DQ55" s="9" t="n">
        <v>41.62</v>
      </c>
      <c r="DR55" s="9" t="n">
        <v>97.48999999999999</v>
      </c>
      <c r="DS55" s="9" t="n">
        <v>18.49</v>
      </c>
      <c r="DT55" s="9" t="n">
        <v>34.97</v>
      </c>
      <c r="DU55" s="9" t="n">
        <v>44.03</v>
      </c>
      <c r="DV55" s="9" t="n">
        <v>73</v>
      </c>
      <c r="DW55" s="9" t="n">
        <v>35.27</v>
      </c>
      <c r="DX55" s="9" t="n">
        <v>27.38</v>
      </c>
      <c r="DY55" s="9" t="n">
        <v>10.35</v>
      </c>
      <c r="DZ55" s="9" t="n">
        <v>196.92</v>
      </c>
      <c r="EA55" s="9" t="n">
        <v>94.51000000000001</v>
      </c>
      <c r="EB55" s="9" t="n">
        <v>48</v>
      </c>
      <c r="EC55" s="9" t="n">
        <v>4.38</v>
      </c>
      <c r="ED55" s="9" t="n">
        <v>1.27</v>
      </c>
      <c r="EE55" s="9" t="n">
        <v>29.01</v>
      </c>
      <c r="EF55" s="9" t="n">
        <v>23.54</v>
      </c>
      <c r="EG55" s="9" t="n">
        <v>5.65</v>
      </c>
      <c r="EH55" s="9" t="n">
        <v>24</v>
      </c>
      <c r="EI55" s="9" t="n">
        <v>0.78</v>
      </c>
      <c r="EJ55" s="9" t="n">
        <v>0.38</v>
      </c>
      <c r="EK55" s="9" t="n">
        <v>48.28</v>
      </c>
      <c r="EL55" s="9" t="n">
        <v>25.78</v>
      </c>
      <c r="EM55" s="9" t="n">
        <v>3.03</v>
      </c>
      <c r="EN55" s="9" t="n">
        <v>11.74</v>
      </c>
      <c r="EO55" s="9" t="n">
        <v>3.7</v>
      </c>
      <c r="EP55" s="9" t="n">
        <v>1.05</v>
      </c>
      <c r="EQ55" s="9" t="n">
        <v>28.47</v>
      </c>
      <c r="ER55" s="9" t="n">
        <v>2.24</v>
      </c>
      <c r="ES55" s="9" t="n">
        <v>0.51</v>
      </c>
      <c r="ET55" s="9" t="n">
        <v>22.89</v>
      </c>
      <c r="EU55" s="9" t="n">
        <v>0.14</v>
      </c>
      <c r="EV55" s="9" t="n">
        <v>0.11</v>
      </c>
      <c r="EW55" s="9" t="n">
        <v>80</v>
      </c>
      <c r="EX55" s="9" t="n">
        <v>12.78</v>
      </c>
      <c r="EY55" s="9" t="n">
        <v>4.68</v>
      </c>
      <c r="EZ55" s="9" t="n">
        <v>36.58</v>
      </c>
      <c r="FA55" s="9" t="n">
        <v>4.76</v>
      </c>
      <c r="FB55" s="9" t="n">
        <v>4.68</v>
      </c>
      <c r="FC55" s="9" t="n">
        <v>18.81</v>
      </c>
      <c r="FD55" s="9" t="n">
        <v>2.89</v>
      </c>
      <c r="FE55" s="9" t="n">
        <v>7.65</v>
      </c>
      <c r="FF55" s="9" t="n">
        <v>13</v>
      </c>
      <c r="FG55" s="9" t="n">
        <v>62.89</v>
      </c>
      <c r="FH55" s="9" t="n">
        <v>23.32</v>
      </c>
      <c r="FI55" s="9" t="n">
        <v>37.09</v>
      </c>
      <c r="FJ55" s="9" t="n">
        <v>1.84</v>
      </c>
      <c r="FK55" s="9" t="n">
        <v>1.92</v>
      </c>
      <c r="FL55" s="9" t="n">
        <v>14.08</v>
      </c>
      <c r="FM55" s="9" t="n">
        <v>6</v>
      </c>
      <c r="FN55" s="9" t="n">
        <v>42.61</v>
      </c>
      <c r="FO55" s="9" t="n">
        <v>73.23999999999999</v>
      </c>
      <c r="FP55" s="9" t="n">
        <v>45.59</v>
      </c>
      <c r="FQ55" s="9" t="n">
        <v>62.25</v>
      </c>
      <c r="FR55" s="9" t="n">
        <v>32.84</v>
      </c>
      <c r="FS55" s="9" t="n">
        <v>14.54</v>
      </c>
      <c r="FT55" s="9" t="n">
        <v>44.28</v>
      </c>
      <c r="FU55" s="9" t="n">
        <v>3.68</v>
      </c>
      <c r="FV55" s="9" t="n">
        <v>1.62</v>
      </c>
      <c r="FW55" s="9" t="n">
        <v>44.12</v>
      </c>
      <c r="FX55" s="9" t="n">
        <v>37.19</v>
      </c>
      <c r="FY55" s="9" t="n">
        <v>12.62</v>
      </c>
      <c r="FZ55" s="9" t="n">
        <v>16.32</v>
      </c>
      <c r="GA55" s="9" t="n">
        <v>3.11</v>
      </c>
      <c r="GB55" s="9" t="n">
        <v>0.16</v>
      </c>
      <c r="GC55" s="9" t="n">
        <v>118.38</v>
      </c>
      <c r="GD55" s="9" t="n">
        <v>81.45999999999999</v>
      </c>
      <c r="GE55" s="9" t="n">
        <v>68.81</v>
      </c>
      <c r="GF55" s="9" t="n">
        <v>50.46</v>
      </c>
      <c r="GG55" s="9" t="n">
        <v>46.62</v>
      </c>
      <c r="GH55" s="9" t="n">
        <v>92.39</v>
      </c>
      <c r="GI55" s="9" t="n">
        <v>112.32</v>
      </c>
      <c r="GJ55" s="9" t="n">
        <v>96.89</v>
      </c>
      <c r="GK55" s="9" t="n">
        <v>86.26000000000001</v>
      </c>
      <c r="GL55" s="9" t="n">
        <v>44.24</v>
      </c>
      <c r="GM55" s="9" t="n">
        <v>23.92</v>
      </c>
      <c r="GN55" s="9" t="n">
        <v>54.06</v>
      </c>
      <c r="GO55" s="9" t="n">
        <v>43.97</v>
      </c>
      <c r="GP55" s="9" t="n">
        <v>27.05</v>
      </c>
      <c r="GQ55" s="9" t="n">
        <v>61.52</v>
      </c>
      <c r="GR55" s="9" t="n">
        <v>62.76</v>
      </c>
      <c r="GS55" s="9" t="n">
        <v>42</v>
      </c>
      <c r="GT55" s="9" t="n">
        <v>66.93000000000001</v>
      </c>
      <c r="GU55" s="9" t="n">
        <v>1.78</v>
      </c>
      <c r="GV55" s="9" t="n">
        <v>0.57</v>
      </c>
      <c r="GW55" s="9" t="n">
        <v>31.82</v>
      </c>
      <c r="GX55" s="9" t="n">
        <v>18.92</v>
      </c>
      <c r="GY55" s="9" t="n">
        <v>16.22</v>
      </c>
      <c r="GZ55" s="9" t="n">
        <v>85.70999999999999</v>
      </c>
      <c r="HA55" s="9" t="n">
        <v>8.699999999999999</v>
      </c>
      <c r="HB55" s="9" t="n">
        <v>15.7</v>
      </c>
      <c r="HC55" s="9" t="n">
        <v>3.33</v>
      </c>
      <c r="HD55" s="9" t="n">
        <v>13.98</v>
      </c>
      <c r="HE55" s="9" t="n">
        <v>19.27</v>
      </c>
      <c r="HF55" s="9" t="n">
        <v>20.51</v>
      </c>
      <c r="HG55" s="9" t="n">
        <v>12.34</v>
      </c>
    </row>
    <row r="56">
      <c r="A56" s="12" t="n">
        <v>2024</v>
      </c>
      <c r="B56" s="12" t="n">
        <v>52</v>
      </c>
      <c r="C56" s="5">
        <f>(B56-AVERAGE($B$2:$B$100))/_xlfn.STDEV.P($B$2:$B$100)</f>
        <v/>
      </c>
      <c r="D56" s="12" t="n">
        <v>2</v>
      </c>
      <c r="E56" s="6">
        <f>-D56</f>
        <v/>
      </c>
      <c r="F56" s="7">
        <f>(E56-AVERAGE($E$2:$E$100))/_xlfn.STDEV.P($E$2:$E$100)</f>
        <v/>
      </c>
      <c r="G56" s="7">
        <f>sum(0.5*C56)+(0.5*F56)</f>
        <v/>
      </c>
      <c r="H56" s="12" t="inlineStr">
        <is>
          <t>West</t>
        </is>
      </c>
      <c r="I56" s="8" t="inlineStr">
        <is>
          <t>Colorado Springs</t>
        </is>
      </c>
      <c r="J56" s="9" t="n">
        <v>1.47</v>
      </c>
      <c r="K56" s="9" t="n">
        <v>1.48</v>
      </c>
      <c r="L56" s="9" t="n">
        <v>12.87</v>
      </c>
      <c r="M56" s="9" t="n">
        <v>4.32</v>
      </c>
      <c r="N56" s="9" t="n">
        <v>33.54</v>
      </c>
      <c r="O56" s="9" t="n">
        <v>389.92</v>
      </c>
      <c r="P56" s="9" t="n">
        <v>318.63</v>
      </c>
      <c r="Q56" s="9" t="n">
        <v>81.72</v>
      </c>
      <c r="R56" s="9" t="n">
        <v>50.24</v>
      </c>
      <c r="S56" s="9" t="n">
        <v>103.05</v>
      </c>
      <c r="T56" s="9" t="n">
        <v>17.82</v>
      </c>
      <c r="U56" s="9" t="n">
        <v>35.66</v>
      </c>
      <c r="V56" s="9" t="n">
        <v>49.58</v>
      </c>
      <c r="W56" s="9" t="n">
        <v>77.61</v>
      </c>
      <c r="X56" s="9" t="n">
        <v>34</v>
      </c>
      <c r="Y56" s="9" t="n">
        <v>31.47</v>
      </c>
      <c r="Z56" s="9" t="n">
        <v>12.13</v>
      </c>
      <c r="AA56" s="9" t="n">
        <v>186.29</v>
      </c>
      <c r="AB56" s="9" t="n">
        <v>88.5</v>
      </c>
      <c r="AC56" s="9" t="n">
        <v>47.51</v>
      </c>
      <c r="AD56" s="9" t="n">
        <v>5.97</v>
      </c>
      <c r="AE56" s="9" t="n">
        <v>1.37</v>
      </c>
      <c r="AF56" s="9" t="n">
        <v>22.91</v>
      </c>
      <c r="AG56" s="9" t="n">
        <v>28.82</v>
      </c>
      <c r="AH56" s="9" t="n">
        <v>8.449999999999999</v>
      </c>
      <c r="AI56" s="9" t="n">
        <v>29.32</v>
      </c>
      <c r="AJ56" s="9" t="n">
        <v>1.05</v>
      </c>
      <c r="AK56" s="9" t="n">
        <v>0.42</v>
      </c>
      <c r="AL56" s="9" t="n">
        <v>40</v>
      </c>
      <c r="AM56" s="9" t="n">
        <v>25.84</v>
      </c>
      <c r="AN56" s="9" t="n">
        <v>3.5</v>
      </c>
      <c r="AO56" s="9" t="n">
        <v>13.54</v>
      </c>
      <c r="AP56" s="9" t="n">
        <v>4.55</v>
      </c>
      <c r="AQ56" s="9" t="n">
        <v>1.26</v>
      </c>
      <c r="AR56" s="9" t="n">
        <v>27.75</v>
      </c>
      <c r="AS56" s="9" t="n">
        <v>1.55</v>
      </c>
      <c r="AT56" s="9" t="n">
        <v>0.55</v>
      </c>
      <c r="AU56" s="9" t="n">
        <v>35.59</v>
      </c>
      <c r="AV56" s="9" t="n">
        <v>0.21</v>
      </c>
      <c r="AW56" s="9" t="n">
        <v>0.18</v>
      </c>
      <c r="AX56" s="9" t="n">
        <v>87.5</v>
      </c>
      <c r="AY56" s="9" t="n">
        <v>14.45</v>
      </c>
      <c r="AZ56" s="9" t="n">
        <v>4.97</v>
      </c>
      <c r="BA56" s="9" t="n">
        <v>34.43</v>
      </c>
      <c r="BB56" s="9" t="n">
        <v>5.03</v>
      </c>
      <c r="BC56" s="9" t="n">
        <v>6.95</v>
      </c>
      <c r="BD56" s="9" t="n">
        <v>24.39</v>
      </c>
      <c r="BE56" s="9" t="n">
        <v>4.34</v>
      </c>
      <c r="BF56" s="9" t="n">
        <v>9.08</v>
      </c>
      <c r="BG56" s="9" t="n">
        <v>15.79</v>
      </c>
      <c r="BH56" s="9" t="n">
        <v>62.71</v>
      </c>
      <c r="BI56" s="9" t="n">
        <v>24.66</v>
      </c>
      <c r="BJ56" s="9" t="n">
        <v>39.32</v>
      </c>
      <c r="BK56" s="9" t="n">
        <v>2.32</v>
      </c>
      <c r="BL56" s="9" t="n">
        <v>1.08</v>
      </c>
      <c r="BM56" s="9" t="n">
        <v>10.97</v>
      </c>
      <c r="BN56" s="9" t="n">
        <v>3.71</v>
      </c>
      <c r="BO56" s="9" t="n">
        <v>33.81</v>
      </c>
      <c r="BP56" s="9" t="n">
        <v>63.13</v>
      </c>
      <c r="BQ56" s="9" t="n">
        <v>38.18</v>
      </c>
      <c r="BR56" s="9" t="n">
        <v>60.48</v>
      </c>
      <c r="BS56" s="9" t="n">
        <v>35.45</v>
      </c>
      <c r="BT56" s="9" t="n">
        <v>15.55</v>
      </c>
      <c r="BU56" s="9" t="n">
        <v>43.88</v>
      </c>
      <c r="BV56" s="9" t="n">
        <v>2.63</v>
      </c>
      <c r="BW56" s="9" t="n">
        <v>1.13</v>
      </c>
      <c r="BX56" s="9" t="n">
        <v>43</v>
      </c>
      <c r="BY56" s="9" t="n">
        <v>37.32</v>
      </c>
      <c r="BZ56" s="9" t="n">
        <v>13.42</v>
      </c>
      <c r="CA56" s="9" t="n">
        <v>13.32</v>
      </c>
      <c r="CB56" s="9" t="n">
        <v>2.45</v>
      </c>
      <c r="CC56" s="9" t="n">
        <v>0.08</v>
      </c>
      <c r="CD56" s="9" t="n">
        <v>135.5</v>
      </c>
      <c r="CE56" s="9" t="n">
        <v>94.29000000000001</v>
      </c>
      <c r="CF56" s="9" t="n">
        <v>69.59</v>
      </c>
      <c r="CG56" s="9" t="n">
        <v>58</v>
      </c>
      <c r="CH56" s="9" t="n">
        <v>54.55</v>
      </c>
      <c r="CI56" s="9" t="n">
        <v>94.06</v>
      </c>
      <c r="CJ56" s="9" t="n">
        <v>141.97</v>
      </c>
      <c r="CK56" s="9" t="n">
        <v>125.79</v>
      </c>
      <c r="CL56" s="9" t="n">
        <v>88.59999999999999</v>
      </c>
      <c r="CM56" s="9" t="n">
        <v>47.18</v>
      </c>
      <c r="CN56" s="9" t="n">
        <v>23.13</v>
      </c>
      <c r="CO56" s="9" t="n">
        <v>49.02</v>
      </c>
      <c r="CP56" s="9" t="n">
        <v>56.13</v>
      </c>
      <c r="CQ56" s="9" t="n">
        <v>37.45</v>
      </c>
      <c r="CR56" s="9" t="n">
        <v>66.70999999999999</v>
      </c>
      <c r="CS56" s="9" t="n">
        <v>68.95</v>
      </c>
      <c r="CT56" s="9" t="n">
        <v>49.18</v>
      </c>
      <c r="CU56" s="9" t="n">
        <v>71.34</v>
      </c>
      <c r="CV56" s="9" t="n">
        <v>2.26</v>
      </c>
      <c r="CW56" s="9" t="n">
        <v>1.24</v>
      </c>
      <c r="CX56" s="9" t="n">
        <v>54.65</v>
      </c>
      <c r="CY56" s="9" t="n">
        <v>22.08</v>
      </c>
      <c r="CZ56" s="9" t="n">
        <v>19.53</v>
      </c>
      <c r="DA56" s="9" t="n">
        <v>88.44</v>
      </c>
      <c r="DB56" s="9" t="n">
        <v>8.68</v>
      </c>
      <c r="DC56" s="9" t="n">
        <v>15.46</v>
      </c>
      <c r="DD56" s="9" t="n">
        <v>3.77</v>
      </c>
      <c r="DE56" s="9" t="n">
        <v>12.54</v>
      </c>
      <c r="DF56" s="9" t="n">
        <v>19.39</v>
      </c>
      <c r="DG56" s="9" t="n">
        <v>20.41</v>
      </c>
      <c r="DH56" s="9" t="n">
        <v>10.11</v>
      </c>
      <c r="DI56" s="9" t="n">
        <v>1.08</v>
      </c>
      <c r="DJ56" s="9" t="n">
        <v>1.35</v>
      </c>
      <c r="DK56" s="9" t="n">
        <v>10.97</v>
      </c>
      <c r="DL56" s="9" t="n">
        <v>3.47</v>
      </c>
      <c r="DM56" s="9" t="n">
        <v>31.65</v>
      </c>
      <c r="DN56" s="9" t="n">
        <v>390.74</v>
      </c>
      <c r="DO56" s="9" t="n">
        <v>319.03</v>
      </c>
      <c r="DP56" s="9" t="n">
        <v>81.65000000000001</v>
      </c>
      <c r="DQ56" s="9" t="n">
        <v>49.76</v>
      </c>
      <c r="DR56" s="9" t="n">
        <v>101.63</v>
      </c>
      <c r="DS56" s="9" t="n">
        <v>19</v>
      </c>
      <c r="DT56" s="9" t="n">
        <v>37.39</v>
      </c>
      <c r="DU56" s="9" t="n">
        <v>45.24</v>
      </c>
      <c r="DV56" s="9" t="n">
        <v>75.95</v>
      </c>
      <c r="DW56" s="9" t="n">
        <v>36.55</v>
      </c>
      <c r="DX56" s="9" t="n">
        <v>28.55</v>
      </c>
      <c r="DY56" s="9" t="n">
        <v>10.84</v>
      </c>
      <c r="DZ56" s="9" t="n">
        <v>186.29</v>
      </c>
      <c r="EA56" s="9" t="n">
        <v>90.53</v>
      </c>
      <c r="EB56" s="9" t="n">
        <v>48.59</v>
      </c>
      <c r="EC56" s="9" t="n">
        <v>4.37</v>
      </c>
      <c r="ED56" s="9" t="n">
        <v>1</v>
      </c>
      <c r="EE56" s="9" t="n">
        <v>22.89</v>
      </c>
      <c r="EF56" s="9" t="n">
        <v>25.71</v>
      </c>
      <c r="EG56" s="9" t="n">
        <v>6.87</v>
      </c>
      <c r="EH56" s="9" t="n">
        <v>26.71</v>
      </c>
      <c r="EI56" s="9" t="n">
        <v>0.87</v>
      </c>
      <c r="EJ56" s="9" t="n">
        <v>0.45</v>
      </c>
      <c r="EK56" s="9" t="n">
        <v>51.52</v>
      </c>
      <c r="EL56" s="9" t="n">
        <v>27.42</v>
      </c>
      <c r="EM56" s="9" t="n">
        <v>3.11</v>
      </c>
      <c r="EN56" s="9" t="n">
        <v>11.32</v>
      </c>
      <c r="EO56" s="9" t="n">
        <v>4.63</v>
      </c>
      <c r="EP56" s="9" t="n">
        <v>1.29</v>
      </c>
      <c r="EQ56" s="9" t="n">
        <v>27.84</v>
      </c>
      <c r="ER56" s="9" t="n">
        <v>2.03</v>
      </c>
      <c r="ES56" s="9" t="n">
        <v>0.45</v>
      </c>
      <c r="ET56" s="9" t="n">
        <v>22.08</v>
      </c>
      <c r="EU56" s="9" t="n">
        <v>0.13</v>
      </c>
      <c r="EV56" s="9" t="n">
        <v>0.08</v>
      </c>
      <c r="EW56" s="9" t="n">
        <v>60</v>
      </c>
      <c r="EX56" s="9" t="n">
        <v>14.82</v>
      </c>
      <c r="EY56" s="9" t="n">
        <v>4.58</v>
      </c>
      <c r="EZ56" s="9" t="n">
        <v>30.91</v>
      </c>
      <c r="FA56" s="9" t="n">
        <v>4.87</v>
      </c>
      <c r="FB56" s="9" t="n">
        <v>6.68</v>
      </c>
      <c r="FC56" s="9" t="n">
        <v>23.55</v>
      </c>
      <c r="FD56" s="9" t="n">
        <v>3.89</v>
      </c>
      <c r="FE56" s="9" t="n">
        <v>9.449999999999999</v>
      </c>
      <c r="FF56" s="9" t="n">
        <v>16.61</v>
      </c>
      <c r="FG56" s="9" t="n">
        <v>63.11</v>
      </c>
      <c r="FH56" s="9" t="n">
        <v>24.92</v>
      </c>
      <c r="FI56" s="9" t="n">
        <v>39.49</v>
      </c>
      <c r="FJ56" s="9" t="n">
        <v>1.79</v>
      </c>
      <c r="FK56" s="9" t="n">
        <v>1.47</v>
      </c>
      <c r="FL56" s="9" t="n">
        <v>12.87</v>
      </c>
      <c r="FM56" s="9" t="n">
        <v>4.45</v>
      </c>
      <c r="FN56" s="9" t="n">
        <v>34.56</v>
      </c>
      <c r="FO56" s="9" t="n">
        <v>62.74</v>
      </c>
      <c r="FP56" s="9" t="n">
        <v>38.05</v>
      </c>
      <c r="FQ56" s="9" t="n">
        <v>60.65</v>
      </c>
      <c r="FR56" s="9" t="n">
        <v>35.45</v>
      </c>
      <c r="FS56" s="9" t="n">
        <v>16.89</v>
      </c>
      <c r="FT56" s="9" t="n">
        <v>47.66</v>
      </c>
      <c r="FU56" s="9" t="n">
        <v>3</v>
      </c>
      <c r="FV56" s="9" t="n">
        <v>1.29</v>
      </c>
      <c r="FW56" s="9" t="n">
        <v>42.98</v>
      </c>
      <c r="FX56" s="9" t="n">
        <v>37.61</v>
      </c>
      <c r="FY56" s="9" t="n">
        <v>14.71</v>
      </c>
      <c r="FZ56" s="9" t="n">
        <v>12.45</v>
      </c>
      <c r="GA56" s="9" t="n">
        <v>2.76</v>
      </c>
      <c r="GB56" s="9" t="n">
        <v>0.08</v>
      </c>
      <c r="GC56" s="9" t="n">
        <v>132.13</v>
      </c>
      <c r="GD56" s="9" t="n">
        <v>92.23999999999999</v>
      </c>
      <c r="GE56" s="9" t="n">
        <v>69.81</v>
      </c>
      <c r="GF56" s="9" t="n">
        <v>61.58</v>
      </c>
      <c r="GG56" s="9" t="n">
        <v>57.79</v>
      </c>
      <c r="GH56" s="9" t="n">
        <v>93.84999999999999</v>
      </c>
      <c r="GI56" s="9" t="n">
        <v>147.08</v>
      </c>
      <c r="GJ56" s="9" t="n">
        <v>129.32</v>
      </c>
      <c r="GK56" s="9" t="n">
        <v>87.92</v>
      </c>
      <c r="GL56" s="9" t="n">
        <v>49.32</v>
      </c>
      <c r="GM56" s="9" t="n">
        <v>25.45</v>
      </c>
      <c r="GN56" s="9" t="n">
        <v>51.6</v>
      </c>
      <c r="GO56" s="9" t="n">
        <v>52.08</v>
      </c>
      <c r="GP56" s="9" t="n">
        <v>34.37</v>
      </c>
      <c r="GQ56" s="9" t="n">
        <v>65.98999999999999</v>
      </c>
      <c r="GR56" s="9" t="n">
        <v>68.63</v>
      </c>
      <c r="GS56" s="9" t="n">
        <v>47.26</v>
      </c>
      <c r="GT56" s="9" t="n">
        <v>68.87</v>
      </c>
      <c r="GU56" s="9" t="n">
        <v>1.68</v>
      </c>
      <c r="GV56" s="9" t="n">
        <v>0.74</v>
      </c>
      <c r="GW56" s="9" t="n">
        <v>43.75</v>
      </c>
      <c r="GX56" s="9" t="n">
        <v>19.11</v>
      </c>
      <c r="GY56" s="9" t="n">
        <v>17.37</v>
      </c>
      <c r="GZ56" s="9" t="n">
        <v>90.91</v>
      </c>
      <c r="HA56" s="9" t="n">
        <v>8.74</v>
      </c>
      <c r="HB56" s="9" t="n">
        <v>15.65</v>
      </c>
      <c r="HC56" s="9" t="n">
        <v>3.79</v>
      </c>
      <c r="HD56" s="9" t="n">
        <v>13.08</v>
      </c>
      <c r="HE56" s="9" t="n">
        <v>18.15</v>
      </c>
      <c r="HF56" s="9" t="n">
        <v>20.83</v>
      </c>
      <c r="HG56" s="9" t="n">
        <v>11.97</v>
      </c>
    </row>
    <row r="57">
      <c r="A57" s="12" t="n">
        <v>2024</v>
      </c>
      <c r="B57" s="12" t="n">
        <v>56</v>
      </c>
      <c r="C57" s="5">
        <f>(B57-AVERAGE($B$2:$B$100))/_xlfn.STDEV.P($B$2:$B$100)</f>
        <v/>
      </c>
      <c r="D57" s="12" t="n">
        <v>3</v>
      </c>
      <c r="E57" s="6">
        <f>-D57</f>
        <v/>
      </c>
      <c r="F57" s="7">
        <f>(E57-AVERAGE($E$2:$E$100))/_xlfn.STDEV.P($E$2:$E$100)</f>
        <v/>
      </c>
      <c r="G57" s="7">
        <f>sum(0.5*C57)+(0.5*F57)</f>
        <v/>
      </c>
      <c r="H57" s="12" t="inlineStr">
        <is>
          <t>East</t>
        </is>
      </c>
      <c r="I57" s="8" t="inlineStr">
        <is>
          <t>Detroit City</t>
        </is>
      </c>
      <c r="J57" s="9" t="n">
        <v>1.34</v>
      </c>
      <c r="K57" s="9" t="n">
        <v>1.25</v>
      </c>
      <c r="L57" s="9" t="n">
        <v>10.23</v>
      </c>
      <c r="M57" s="9" t="n">
        <v>3.86</v>
      </c>
      <c r="N57" s="9" t="n">
        <v>37.71</v>
      </c>
      <c r="O57" s="9" t="n">
        <v>399.89</v>
      </c>
      <c r="P57" s="9" t="n">
        <v>327.23</v>
      </c>
      <c r="Q57" s="9" t="n">
        <v>81.83</v>
      </c>
      <c r="R57" s="9" t="n">
        <v>51.44</v>
      </c>
      <c r="S57" s="9" t="n">
        <v>108.03</v>
      </c>
      <c r="T57" s="9" t="n">
        <v>23.03</v>
      </c>
      <c r="U57" s="9" t="n">
        <v>42.83</v>
      </c>
      <c r="V57" s="9" t="n">
        <v>42.17</v>
      </c>
      <c r="W57" s="9" t="n">
        <v>80.94</v>
      </c>
      <c r="X57" s="9" t="n">
        <v>40.51</v>
      </c>
      <c r="Y57" s="9" t="n">
        <v>30.91</v>
      </c>
      <c r="Z57" s="9" t="n">
        <v>9.51</v>
      </c>
      <c r="AA57" s="9" t="n">
        <v>206.31</v>
      </c>
      <c r="AB57" s="9" t="n">
        <v>101.6</v>
      </c>
      <c r="AC57" s="9" t="n">
        <v>49.25</v>
      </c>
      <c r="AD57" s="9" t="n">
        <v>4.09</v>
      </c>
      <c r="AE57" s="9" t="n">
        <v>1.17</v>
      </c>
      <c r="AF57" s="9" t="n">
        <v>28.67</v>
      </c>
      <c r="AG57" s="9" t="n">
        <v>25.14</v>
      </c>
      <c r="AH57" s="9" t="n">
        <v>6.14</v>
      </c>
      <c r="AI57" s="9" t="n">
        <v>24.43</v>
      </c>
      <c r="AJ57" s="9" t="n">
        <v>0.71</v>
      </c>
      <c r="AK57" s="9" t="n">
        <v>0.31</v>
      </c>
      <c r="AL57" s="9" t="n">
        <v>44</v>
      </c>
      <c r="AM57" s="9" t="n">
        <v>26.54</v>
      </c>
      <c r="AN57" s="9" t="n">
        <v>3.2</v>
      </c>
      <c r="AO57" s="9" t="n">
        <v>12.06</v>
      </c>
      <c r="AP57" s="9" t="n">
        <v>3.63</v>
      </c>
      <c r="AQ57" s="9" t="n">
        <v>1.14</v>
      </c>
      <c r="AR57" s="9" t="n">
        <v>31.5</v>
      </c>
      <c r="AS57" s="9" t="n">
        <v>2.57</v>
      </c>
      <c r="AT57" s="9" t="n">
        <v>0.51</v>
      </c>
      <c r="AU57" s="9" t="n">
        <v>20</v>
      </c>
      <c r="AV57" s="9" t="n">
        <v>0.14</v>
      </c>
      <c r="AW57" s="9" t="n">
        <v>0.14</v>
      </c>
      <c r="AX57" s="9" t="n">
        <v>100</v>
      </c>
      <c r="AY57" s="9" t="n">
        <v>11.89</v>
      </c>
      <c r="AZ57" s="9" t="n">
        <v>3.77</v>
      </c>
      <c r="BA57" s="9" t="n">
        <v>31.73</v>
      </c>
      <c r="BB57" s="9" t="n">
        <v>3.69</v>
      </c>
      <c r="BC57" s="9" t="n">
        <v>5.4</v>
      </c>
      <c r="BD57" s="9" t="n">
        <v>20.23</v>
      </c>
      <c r="BE57" s="9" t="n">
        <v>3.26</v>
      </c>
      <c r="BF57" s="9" t="n">
        <v>8.109999999999999</v>
      </c>
      <c r="BG57" s="9" t="n">
        <v>13.17</v>
      </c>
      <c r="BH57" s="9" t="n">
        <v>65.91</v>
      </c>
      <c r="BI57" s="9" t="n">
        <v>24.6</v>
      </c>
      <c r="BJ57" s="9" t="n">
        <v>37.32</v>
      </c>
      <c r="BK57" s="9" t="n">
        <v>1.14</v>
      </c>
      <c r="BL57" s="9" t="n">
        <v>0.9399999999999999</v>
      </c>
      <c r="BM57" s="9" t="n">
        <v>10.29</v>
      </c>
      <c r="BN57" s="9" t="n">
        <v>3.34</v>
      </c>
      <c r="BO57" s="9" t="n">
        <v>32.5</v>
      </c>
      <c r="BP57" s="9" t="n">
        <v>69.97</v>
      </c>
      <c r="BQ57" s="9" t="n">
        <v>45.37</v>
      </c>
      <c r="BR57" s="9" t="n">
        <v>64.84</v>
      </c>
      <c r="BS57" s="9" t="n">
        <v>40.37</v>
      </c>
      <c r="BT57" s="9" t="n">
        <v>19.37</v>
      </c>
      <c r="BU57" s="9" t="n">
        <v>47.98</v>
      </c>
      <c r="BV57" s="9" t="n">
        <v>2.89</v>
      </c>
      <c r="BW57" s="9" t="n">
        <v>1.46</v>
      </c>
      <c r="BX57" s="9" t="n">
        <v>50.5</v>
      </c>
      <c r="BY57" s="9" t="n">
        <v>38.86</v>
      </c>
      <c r="BZ57" s="9" t="n">
        <v>15.69</v>
      </c>
      <c r="CA57" s="9" t="n">
        <v>13.06</v>
      </c>
      <c r="CB57" s="9" t="n">
        <v>2.11</v>
      </c>
      <c r="CC57" s="9" t="n">
        <v>0.11</v>
      </c>
      <c r="CD57" s="9" t="n">
        <v>138.23</v>
      </c>
      <c r="CE57" s="9" t="n">
        <v>97.77</v>
      </c>
      <c r="CF57" s="9" t="n">
        <v>70.73</v>
      </c>
      <c r="CG57" s="9" t="n">
        <v>65.59999999999999</v>
      </c>
      <c r="CH57" s="9" t="n">
        <v>61.11</v>
      </c>
      <c r="CI57" s="9" t="n">
        <v>93.16</v>
      </c>
      <c r="CJ57" s="9" t="n">
        <v>142.97</v>
      </c>
      <c r="CK57" s="9" t="n">
        <v>125.2</v>
      </c>
      <c r="CL57" s="9" t="n">
        <v>87.56999999999999</v>
      </c>
      <c r="CM57" s="9" t="n">
        <v>49.2</v>
      </c>
      <c r="CN57" s="9" t="n">
        <v>26.74</v>
      </c>
      <c r="CO57" s="9" t="n">
        <v>54.36</v>
      </c>
      <c r="CP57" s="9" t="n">
        <v>47.29</v>
      </c>
      <c r="CQ57" s="9" t="n">
        <v>30.8</v>
      </c>
      <c r="CR57" s="9" t="n">
        <v>65.14</v>
      </c>
      <c r="CS57" s="9" t="n">
        <v>70.48999999999999</v>
      </c>
      <c r="CT57" s="9" t="n">
        <v>47.26</v>
      </c>
      <c r="CU57" s="9" t="n">
        <v>67.04000000000001</v>
      </c>
      <c r="CV57" s="9" t="n">
        <v>0.89</v>
      </c>
      <c r="CW57" s="9" t="n">
        <v>0.31</v>
      </c>
      <c r="CX57" s="9" t="n">
        <v>35.48</v>
      </c>
      <c r="CY57" s="9" t="n">
        <v>21.03</v>
      </c>
      <c r="CZ57" s="9" t="n">
        <v>19.54</v>
      </c>
      <c r="DA57" s="9" t="n">
        <v>92.93000000000001</v>
      </c>
      <c r="DB57" s="9" t="n">
        <v>7.8</v>
      </c>
      <c r="DC57" s="9" t="n">
        <v>15.43</v>
      </c>
      <c r="DD57" s="9" t="n">
        <v>3.9</v>
      </c>
      <c r="DE57" s="9" t="n">
        <v>12.73</v>
      </c>
      <c r="DF57" s="9" t="n">
        <v>18.36</v>
      </c>
      <c r="DG57" s="9" t="n">
        <v>20.06</v>
      </c>
      <c r="DH57" s="9" t="n">
        <v>10.99</v>
      </c>
      <c r="DI57" s="9" t="n">
        <v>0.9399999999999999</v>
      </c>
      <c r="DJ57" s="9" t="n">
        <v>1.2</v>
      </c>
      <c r="DK57" s="9" t="n">
        <v>10.29</v>
      </c>
      <c r="DL57" s="9" t="n">
        <v>3.23</v>
      </c>
      <c r="DM57" s="9" t="n">
        <v>31.39</v>
      </c>
      <c r="DN57" s="9" t="n">
        <v>390.54</v>
      </c>
      <c r="DO57" s="9" t="n">
        <v>318</v>
      </c>
      <c r="DP57" s="9" t="n">
        <v>81.43000000000001</v>
      </c>
      <c r="DQ57" s="9" t="n">
        <v>48.56</v>
      </c>
      <c r="DR57" s="9" t="n">
        <v>108.74</v>
      </c>
      <c r="DS57" s="9" t="n">
        <v>16.89</v>
      </c>
      <c r="DT57" s="9" t="n">
        <v>37.29</v>
      </c>
      <c r="DU57" s="9" t="n">
        <v>54.57</v>
      </c>
      <c r="DV57" s="9" t="n">
        <v>81.86</v>
      </c>
      <c r="DW57" s="9" t="n">
        <v>32.34</v>
      </c>
      <c r="DX57" s="9" t="n">
        <v>35.57</v>
      </c>
      <c r="DY57" s="9" t="n">
        <v>13.94</v>
      </c>
      <c r="DZ57" s="9" t="n">
        <v>206.31</v>
      </c>
      <c r="EA57" s="9" t="n">
        <v>95.70999999999999</v>
      </c>
      <c r="EB57" s="9" t="n">
        <v>46.39</v>
      </c>
      <c r="EC57" s="9" t="n">
        <v>4.29</v>
      </c>
      <c r="ED57" s="9" t="n">
        <v>0.89</v>
      </c>
      <c r="EE57" s="9" t="n">
        <v>20.67</v>
      </c>
      <c r="EF57" s="9" t="n">
        <v>28.83</v>
      </c>
      <c r="EG57" s="9" t="n">
        <v>6.03</v>
      </c>
      <c r="EH57" s="9" t="n">
        <v>20.91</v>
      </c>
      <c r="EI57" s="9" t="n">
        <v>0.83</v>
      </c>
      <c r="EJ57" s="9" t="n">
        <v>0.54</v>
      </c>
      <c r="EK57" s="9" t="n">
        <v>65.52</v>
      </c>
      <c r="EL57" s="9" t="n">
        <v>25.09</v>
      </c>
      <c r="EM57" s="9" t="n">
        <v>3.31</v>
      </c>
      <c r="EN57" s="9" t="n">
        <v>13.21</v>
      </c>
      <c r="EO57" s="9" t="n">
        <v>4.91</v>
      </c>
      <c r="EP57" s="9" t="n">
        <v>1.54</v>
      </c>
      <c r="EQ57" s="9" t="n">
        <v>31.4</v>
      </c>
      <c r="ER57" s="9" t="n">
        <v>2.63</v>
      </c>
      <c r="ES57" s="9" t="n">
        <v>0.63</v>
      </c>
      <c r="ET57" s="9" t="n">
        <v>23.91</v>
      </c>
      <c r="EU57" s="9" t="n">
        <v>0.11</v>
      </c>
      <c r="EV57" s="9" t="n">
        <v>0.11</v>
      </c>
      <c r="EW57" s="9" t="n">
        <v>100</v>
      </c>
      <c r="EX57" s="9" t="n">
        <v>15</v>
      </c>
      <c r="EY57" s="9" t="n">
        <v>4.6</v>
      </c>
      <c r="EZ57" s="9" t="n">
        <v>30.67</v>
      </c>
      <c r="FA57" s="9" t="n">
        <v>4.63</v>
      </c>
      <c r="FB57" s="9" t="n">
        <v>6.51</v>
      </c>
      <c r="FC57" s="9" t="n">
        <v>23.14</v>
      </c>
      <c r="FD57" s="9" t="n">
        <v>3.71</v>
      </c>
      <c r="FE57" s="9" t="n">
        <v>8.74</v>
      </c>
      <c r="FF57" s="9" t="n">
        <v>16.46</v>
      </c>
      <c r="FG57" s="9" t="n">
        <v>69.94</v>
      </c>
      <c r="FH57" s="9" t="n">
        <v>24.54</v>
      </c>
      <c r="FI57" s="9" t="n">
        <v>35.09</v>
      </c>
      <c r="FJ57" s="9" t="n">
        <v>1.6</v>
      </c>
      <c r="FK57" s="9" t="n">
        <v>1.34</v>
      </c>
      <c r="FL57" s="9" t="n">
        <v>10.23</v>
      </c>
      <c r="FM57" s="9" t="n">
        <v>4.14</v>
      </c>
      <c r="FN57" s="9" t="n">
        <v>40.5</v>
      </c>
      <c r="FO57" s="9" t="n">
        <v>65.91</v>
      </c>
      <c r="FP57" s="9" t="n">
        <v>41.29</v>
      </c>
      <c r="FQ57" s="9" t="n">
        <v>62.64</v>
      </c>
      <c r="FR57" s="9" t="n">
        <v>40.4</v>
      </c>
      <c r="FS57" s="9" t="n">
        <v>17.94</v>
      </c>
      <c r="FT57" s="9" t="n">
        <v>44.41</v>
      </c>
      <c r="FU57" s="9" t="n">
        <v>2.37</v>
      </c>
      <c r="FV57" s="9" t="n">
        <v>1.23</v>
      </c>
      <c r="FW57" s="9" t="n">
        <v>51.81</v>
      </c>
      <c r="FX57" s="9" t="n">
        <v>36.14</v>
      </c>
      <c r="FY57" s="9" t="n">
        <v>12.89</v>
      </c>
      <c r="FZ57" s="9" t="n">
        <v>15.09</v>
      </c>
      <c r="GA57" s="9" t="n">
        <v>2.49</v>
      </c>
      <c r="GB57" s="9" t="n">
        <v>0.2</v>
      </c>
      <c r="GC57" s="9" t="n">
        <v>136.14</v>
      </c>
      <c r="GD57" s="9" t="n">
        <v>97.40000000000001</v>
      </c>
      <c r="GE57" s="9" t="n">
        <v>71.54000000000001</v>
      </c>
      <c r="GF57" s="9" t="n">
        <v>56.34</v>
      </c>
      <c r="GG57" s="9" t="n">
        <v>52.2</v>
      </c>
      <c r="GH57" s="9" t="n">
        <v>92.65000000000001</v>
      </c>
      <c r="GI57" s="9" t="n">
        <v>143.29</v>
      </c>
      <c r="GJ57" s="9" t="n">
        <v>125.69</v>
      </c>
      <c r="GK57" s="9" t="n">
        <v>87.72</v>
      </c>
      <c r="GL57" s="9" t="n">
        <v>49.54</v>
      </c>
      <c r="GM57" s="9" t="n">
        <v>26.89</v>
      </c>
      <c r="GN57" s="9" t="n">
        <v>54.27</v>
      </c>
      <c r="GO57" s="9" t="n">
        <v>55.83</v>
      </c>
      <c r="GP57" s="9" t="n">
        <v>36.37</v>
      </c>
      <c r="GQ57" s="9" t="n">
        <v>65.15000000000001</v>
      </c>
      <c r="GR57" s="9" t="n">
        <v>71.11</v>
      </c>
      <c r="GS57" s="9" t="n">
        <v>52.09</v>
      </c>
      <c r="GT57" s="9" t="n">
        <v>73.23999999999999</v>
      </c>
      <c r="GU57" s="9" t="n">
        <v>1.86</v>
      </c>
      <c r="GV57" s="9" t="n">
        <v>0.6899999999999999</v>
      </c>
      <c r="GW57" s="9" t="n">
        <v>36.92</v>
      </c>
      <c r="GX57" s="9" t="n">
        <v>22.97</v>
      </c>
      <c r="GY57" s="9" t="n">
        <v>20.23</v>
      </c>
      <c r="GZ57" s="9" t="n">
        <v>88.06</v>
      </c>
      <c r="HA57" s="9" t="n">
        <v>7.29</v>
      </c>
      <c r="HB57" s="9" t="n">
        <v>15.79</v>
      </c>
      <c r="HC57" s="9" t="n">
        <v>3.77</v>
      </c>
      <c r="HD57" s="9" t="n">
        <v>13.6</v>
      </c>
      <c r="HE57" s="9" t="n">
        <v>18.3</v>
      </c>
      <c r="HF57" s="9" t="n">
        <v>20.46</v>
      </c>
      <c r="HG57" s="9" t="n">
        <v>9.789999999999999</v>
      </c>
    </row>
    <row r="58">
      <c r="A58" s="12" t="n">
        <v>2024</v>
      </c>
      <c r="B58" s="12" t="n">
        <v>51</v>
      </c>
      <c r="C58" s="5">
        <f>(B58-AVERAGE($B$2:$B$100))/_xlfn.STDEV.P($B$2:$B$100)</f>
        <v/>
      </c>
      <c r="D58" s="12" t="n">
        <v>3</v>
      </c>
      <c r="E58" s="6">
        <f>-D58</f>
        <v/>
      </c>
      <c r="F58" s="7">
        <f>(E58-AVERAGE($E$2:$E$100))/_xlfn.STDEV.P($E$2:$E$100)</f>
        <v/>
      </c>
      <c r="G58" s="7">
        <f>sum(0.5*C58)+(0.5*F58)</f>
        <v/>
      </c>
      <c r="H58" s="12" t="inlineStr">
        <is>
          <t>West</t>
        </is>
      </c>
      <c r="I58" s="8" t="inlineStr">
        <is>
          <t>Memphis 901</t>
        </is>
      </c>
      <c r="J58" s="9" t="n">
        <v>1.49</v>
      </c>
      <c r="K58" s="9" t="n">
        <v>1.37</v>
      </c>
      <c r="L58" s="9" t="n">
        <v>13.06</v>
      </c>
      <c r="M58" s="9" t="n">
        <v>4.6</v>
      </c>
      <c r="N58" s="9" t="n">
        <v>35.23</v>
      </c>
      <c r="O58" s="9" t="n">
        <v>401.86</v>
      </c>
      <c r="P58" s="9" t="n">
        <v>333.66</v>
      </c>
      <c r="Q58" s="9" t="n">
        <v>83.03</v>
      </c>
      <c r="R58" s="9" t="n">
        <v>50.52</v>
      </c>
      <c r="S58" s="9" t="n">
        <v>102.69</v>
      </c>
      <c r="T58" s="9" t="n">
        <v>18.29</v>
      </c>
      <c r="U58" s="9" t="n">
        <v>37.11</v>
      </c>
      <c r="V58" s="9" t="n">
        <v>47.29</v>
      </c>
      <c r="W58" s="9" t="n">
        <v>78.63</v>
      </c>
      <c r="X58" s="9" t="n">
        <v>36.69</v>
      </c>
      <c r="Y58" s="9" t="n">
        <v>31.86</v>
      </c>
      <c r="Z58" s="9" t="n">
        <v>10.09</v>
      </c>
      <c r="AA58" s="9" t="n">
        <v>193.94</v>
      </c>
      <c r="AB58" s="9" t="n">
        <v>90.8</v>
      </c>
      <c r="AC58" s="9" t="n">
        <v>46.82</v>
      </c>
      <c r="AD58" s="9" t="n">
        <v>5.6</v>
      </c>
      <c r="AE58" s="9" t="n">
        <v>1.57</v>
      </c>
      <c r="AF58" s="9" t="n">
        <v>28.06</v>
      </c>
      <c r="AG58" s="9" t="n">
        <v>27.49</v>
      </c>
      <c r="AH58" s="9" t="n">
        <v>8.4</v>
      </c>
      <c r="AI58" s="9" t="n">
        <v>30.56</v>
      </c>
      <c r="AJ58" s="9" t="n">
        <v>1.2</v>
      </c>
      <c r="AK58" s="9" t="n">
        <v>0.71</v>
      </c>
      <c r="AL58" s="9" t="n">
        <v>59.52</v>
      </c>
      <c r="AM58" s="9" t="n">
        <v>27.2</v>
      </c>
      <c r="AN58" s="9" t="n">
        <v>3.46</v>
      </c>
      <c r="AO58" s="9" t="n">
        <v>12.71</v>
      </c>
      <c r="AP58" s="9" t="n">
        <v>4.49</v>
      </c>
      <c r="AQ58" s="9" t="n">
        <v>1.34</v>
      </c>
      <c r="AR58" s="9" t="n">
        <v>29.94</v>
      </c>
      <c r="AS58" s="9" t="n">
        <v>2.06</v>
      </c>
      <c r="AT58" s="9" t="n">
        <v>0.46</v>
      </c>
      <c r="AU58" s="9" t="n">
        <v>22.22</v>
      </c>
      <c r="AV58" s="9" t="n">
        <v>0.09</v>
      </c>
      <c r="AW58" s="9" t="n">
        <v>0.09</v>
      </c>
      <c r="AX58" s="9" t="n">
        <v>100</v>
      </c>
      <c r="AY58" s="9" t="n">
        <v>11.26</v>
      </c>
      <c r="AZ58" s="9" t="n">
        <v>3.8</v>
      </c>
      <c r="BA58" s="9" t="n">
        <v>33.76</v>
      </c>
      <c r="BB58" s="9" t="n">
        <v>3.77</v>
      </c>
      <c r="BC58" s="9" t="n">
        <v>8.34</v>
      </c>
      <c r="BD58" s="9" t="n">
        <v>23.46</v>
      </c>
      <c r="BE58" s="9" t="n">
        <v>3.94</v>
      </c>
      <c r="BF58" s="9" t="n">
        <v>6.63</v>
      </c>
      <c r="BG58" s="9" t="n">
        <v>17.31</v>
      </c>
      <c r="BH58" s="9" t="n">
        <v>63.46</v>
      </c>
      <c r="BI58" s="9" t="n">
        <v>24.06</v>
      </c>
      <c r="BJ58" s="9" t="n">
        <v>37.91</v>
      </c>
      <c r="BK58" s="9" t="n">
        <v>2.17</v>
      </c>
      <c r="BL58" s="9" t="n">
        <v>1.2</v>
      </c>
      <c r="BM58" s="9" t="n">
        <v>10.43</v>
      </c>
      <c r="BN58" s="9" t="n">
        <v>4.09</v>
      </c>
      <c r="BO58" s="9" t="n">
        <v>39.18</v>
      </c>
      <c r="BP58" s="9" t="n">
        <v>64.59999999999999</v>
      </c>
      <c r="BQ58" s="9" t="n">
        <v>38.83</v>
      </c>
      <c r="BR58" s="9" t="n">
        <v>60.11</v>
      </c>
      <c r="BS58" s="9" t="n">
        <v>35.83</v>
      </c>
      <c r="BT58" s="9" t="n">
        <v>15</v>
      </c>
      <c r="BU58" s="9" t="n">
        <v>41.87</v>
      </c>
      <c r="BV58" s="9" t="n">
        <v>3.6</v>
      </c>
      <c r="BW58" s="9" t="n">
        <v>2.06</v>
      </c>
      <c r="BX58" s="9" t="n">
        <v>57.14</v>
      </c>
      <c r="BY58" s="9" t="n">
        <v>38.37</v>
      </c>
      <c r="BZ58" s="9" t="n">
        <v>16.71</v>
      </c>
      <c r="CA58" s="9" t="n">
        <v>14.06</v>
      </c>
      <c r="CB58" s="9" t="n">
        <v>2.86</v>
      </c>
      <c r="CC58" s="9" t="n">
        <v>0.26</v>
      </c>
      <c r="CD58" s="9" t="n">
        <v>141.23</v>
      </c>
      <c r="CE58" s="9" t="n">
        <v>101.09</v>
      </c>
      <c r="CF58" s="9" t="n">
        <v>71.58</v>
      </c>
      <c r="CG58" s="9" t="n">
        <v>63.4</v>
      </c>
      <c r="CH58" s="9" t="n">
        <v>59.69</v>
      </c>
      <c r="CI58" s="9" t="n">
        <v>94.14</v>
      </c>
      <c r="CJ58" s="9" t="n">
        <v>143.49</v>
      </c>
      <c r="CK58" s="9" t="n">
        <v>128.46</v>
      </c>
      <c r="CL58" s="9" t="n">
        <v>89.53</v>
      </c>
      <c r="CM58" s="9" t="n">
        <v>50.77</v>
      </c>
      <c r="CN58" s="9" t="n">
        <v>26.91</v>
      </c>
      <c r="CO58" s="9" t="n">
        <v>53.01</v>
      </c>
      <c r="CP58" s="9" t="n">
        <v>55.23</v>
      </c>
      <c r="CQ58" s="9" t="n">
        <v>35.94</v>
      </c>
      <c r="CR58" s="9" t="n">
        <v>65.08</v>
      </c>
      <c r="CS58" s="9" t="n">
        <v>73.45999999999999</v>
      </c>
      <c r="CT58" s="9" t="n">
        <v>53.34</v>
      </c>
      <c r="CU58" s="9" t="n">
        <v>72.62</v>
      </c>
      <c r="CV58" s="9" t="n">
        <v>2.43</v>
      </c>
      <c r="CW58" s="9" t="n">
        <v>1.2</v>
      </c>
      <c r="CX58" s="9" t="n">
        <v>49.41</v>
      </c>
      <c r="CY58" s="9" t="n">
        <v>20.83</v>
      </c>
      <c r="CZ58" s="9" t="n">
        <v>18.71</v>
      </c>
      <c r="DA58" s="9" t="n">
        <v>89.84999999999999</v>
      </c>
      <c r="DB58" s="9" t="n">
        <v>7.57</v>
      </c>
      <c r="DC58" s="9" t="n">
        <v>16.03</v>
      </c>
      <c r="DD58" s="9" t="n">
        <v>3.8</v>
      </c>
      <c r="DE58" s="9" t="n">
        <v>13.11</v>
      </c>
      <c r="DF58" s="9" t="n">
        <v>19.66</v>
      </c>
      <c r="DG58" s="9" t="n">
        <v>20.84</v>
      </c>
      <c r="DH58" s="9" t="n">
        <v>11.02</v>
      </c>
      <c r="DI58" s="9" t="n">
        <v>1.2</v>
      </c>
      <c r="DJ58" s="9" t="n">
        <v>1.28</v>
      </c>
      <c r="DK58" s="9" t="n">
        <v>10.43</v>
      </c>
      <c r="DL58" s="9" t="n">
        <v>3.91</v>
      </c>
      <c r="DM58" s="9" t="n">
        <v>37.53</v>
      </c>
      <c r="DN58" s="9" t="n">
        <v>381.54</v>
      </c>
      <c r="DO58" s="9" t="n">
        <v>309.2</v>
      </c>
      <c r="DP58" s="9" t="n">
        <v>81.04000000000001</v>
      </c>
      <c r="DQ58" s="9" t="n">
        <v>49.48</v>
      </c>
      <c r="DR58" s="9" t="n">
        <v>103.6</v>
      </c>
      <c r="DS58" s="9" t="n">
        <v>17.03</v>
      </c>
      <c r="DT58" s="9" t="n">
        <v>37.83</v>
      </c>
      <c r="DU58" s="9" t="n">
        <v>48.74</v>
      </c>
      <c r="DV58" s="9" t="n">
        <v>79.31</v>
      </c>
      <c r="DW58" s="9" t="n">
        <v>37.23</v>
      </c>
      <c r="DX58" s="9" t="n">
        <v>31.74</v>
      </c>
      <c r="DY58" s="9" t="n">
        <v>10.34</v>
      </c>
      <c r="DZ58" s="9" t="n">
        <v>193.94</v>
      </c>
      <c r="EA58" s="9" t="n">
        <v>94.56999999999999</v>
      </c>
      <c r="EB58" s="9" t="n">
        <v>48.76</v>
      </c>
      <c r="EC58" s="9" t="n">
        <v>3.91</v>
      </c>
      <c r="ED58" s="9" t="n">
        <v>1.06</v>
      </c>
      <c r="EE58" s="9" t="n">
        <v>27.01</v>
      </c>
      <c r="EF58" s="9" t="n">
        <v>25</v>
      </c>
      <c r="EG58" s="9" t="n">
        <v>5.63</v>
      </c>
      <c r="EH58" s="9" t="n">
        <v>22.51</v>
      </c>
      <c r="EI58" s="9" t="n">
        <v>0.86</v>
      </c>
      <c r="EJ58" s="9" t="n">
        <v>0.46</v>
      </c>
      <c r="EK58" s="9" t="n">
        <v>53.33</v>
      </c>
      <c r="EL58" s="9" t="n">
        <v>28.11</v>
      </c>
      <c r="EM58" s="9" t="n">
        <v>3.63</v>
      </c>
      <c r="EN58" s="9" t="n">
        <v>12.91</v>
      </c>
      <c r="EO58" s="9" t="n">
        <v>5.2</v>
      </c>
      <c r="EP58" s="9" t="n">
        <v>1.66</v>
      </c>
      <c r="EQ58" s="9" t="n">
        <v>31.87</v>
      </c>
      <c r="ER58" s="9" t="n">
        <v>3.29</v>
      </c>
      <c r="ES58" s="9" t="n">
        <v>0.8</v>
      </c>
      <c r="ET58" s="9" t="n">
        <v>24.35</v>
      </c>
      <c r="EU58" s="9" t="n">
        <v>0.2</v>
      </c>
      <c r="EV58" s="9" t="n">
        <v>0.14</v>
      </c>
      <c r="EW58" s="9" t="n">
        <v>71.43000000000001</v>
      </c>
      <c r="EX58" s="9" t="n">
        <v>13.14</v>
      </c>
      <c r="EY58" s="9" t="n">
        <v>4.17</v>
      </c>
      <c r="EZ58" s="9" t="n">
        <v>31.74</v>
      </c>
      <c r="FA58" s="9" t="n">
        <v>3.91</v>
      </c>
      <c r="FB58" s="9" t="n">
        <v>7.11</v>
      </c>
      <c r="FC58" s="9" t="n">
        <v>23.57</v>
      </c>
      <c r="FD58" s="9" t="n">
        <v>3.74</v>
      </c>
      <c r="FE58" s="9" t="n">
        <v>7.6</v>
      </c>
      <c r="FF58" s="9" t="n">
        <v>15.86</v>
      </c>
      <c r="FG58" s="9" t="n">
        <v>64.56999999999999</v>
      </c>
      <c r="FH58" s="9" t="n">
        <v>25.74</v>
      </c>
      <c r="FI58" s="9" t="n">
        <v>39.87</v>
      </c>
      <c r="FJ58" s="9" t="n">
        <v>2.83</v>
      </c>
      <c r="FK58" s="9" t="n">
        <v>1.49</v>
      </c>
      <c r="FL58" s="9" t="n">
        <v>13.06</v>
      </c>
      <c r="FM58" s="9" t="n">
        <v>4.94</v>
      </c>
      <c r="FN58" s="9" t="n">
        <v>37.86</v>
      </c>
      <c r="FO58" s="9" t="n">
        <v>63.49</v>
      </c>
      <c r="FP58" s="9" t="n">
        <v>39.4</v>
      </c>
      <c r="FQ58" s="9" t="n">
        <v>62.06</v>
      </c>
      <c r="FR58" s="9" t="n">
        <v>35.83</v>
      </c>
      <c r="FS58" s="9" t="n">
        <v>17.46</v>
      </c>
      <c r="FT58" s="9" t="n">
        <v>48.72</v>
      </c>
      <c r="FU58" s="9" t="n">
        <v>2.31</v>
      </c>
      <c r="FV58" s="9" t="n">
        <v>1.34</v>
      </c>
      <c r="FW58" s="9" t="n">
        <v>58.02</v>
      </c>
      <c r="FX58" s="9" t="n">
        <v>34.23</v>
      </c>
      <c r="FY58" s="9" t="n">
        <v>12.54</v>
      </c>
      <c r="FZ58" s="9" t="n">
        <v>13.89</v>
      </c>
      <c r="GA58" s="9" t="n">
        <v>2.57</v>
      </c>
      <c r="GB58" s="9" t="n">
        <v>0.11</v>
      </c>
      <c r="GC58" s="9" t="n">
        <v>138.17</v>
      </c>
      <c r="GD58" s="9" t="n">
        <v>95.8</v>
      </c>
      <c r="GE58" s="9" t="n">
        <v>69.33</v>
      </c>
      <c r="GF58" s="9" t="n">
        <v>53.14</v>
      </c>
      <c r="GG58" s="9" t="n">
        <v>49.97</v>
      </c>
      <c r="GH58" s="9" t="n">
        <v>94.03</v>
      </c>
      <c r="GI58" s="9" t="n">
        <v>139.23</v>
      </c>
      <c r="GJ58" s="9" t="n">
        <v>123.29</v>
      </c>
      <c r="GK58" s="9" t="n">
        <v>88.55</v>
      </c>
      <c r="GL58" s="9" t="n">
        <v>49.03</v>
      </c>
      <c r="GM58" s="9" t="n">
        <v>24.34</v>
      </c>
      <c r="GN58" s="9" t="n">
        <v>49.65</v>
      </c>
      <c r="GO58" s="9" t="n">
        <v>52.83</v>
      </c>
      <c r="GP58" s="9" t="n">
        <v>32.49</v>
      </c>
      <c r="GQ58" s="9" t="n">
        <v>61.49</v>
      </c>
      <c r="GR58" s="9" t="n">
        <v>65.56999999999999</v>
      </c>
      <c r="GS58" s="9" t="n">
        <v>45.8</v>
      </c>
      <c r="GT58" s="9" t="n">
        <v>69.84999999999999</v>
      </c>
      <c r="GU58" s="9" t="n">
        <v>1.43</v>
      </c>
      <c r="GV58" s="9" t="n">
        <v>0.49</v>
      </c>
      <c r="GW58" s="9" t="n">
        <v>34</v>
      </c>
      <c r="GX58" s="9" t="n">
        <v>22.14</v>
      </c>
      <c r="GY58" s="9" t="n">
        <v>19.63</v>
      </c>
      <c r="GZ58" s="9" t="n">
        <v>88.65000000000001</v>
      </c>
      <c r="HA58" s="9" t="n">
        <v>8.34</v>
      </c>
      <c r="HB58" s="9" t="n">
        <v>15.38</v>
      </c>
      <c r="HC58" s="9" t="n">
        <v>3.63</v>
      </c>
      <c r="HD58" s="9" t="n">
        <v>13.8</v>
      </c>
      <c r="HE58" s="9" t="n">
        <v>17.55</v>
      </c>
      <c r="HF58" s="9" t="n">
        <v>20.9</v>
      </c>
      <c r="HG58" s="9" t="n">
        <v>11.85</v>
      </c>
    </row>
    <row r="59">
      <c r="A59" s="12" t="n">
        <v>2024</v>
      </c>
      <c r="B59" s="12" t="n">
        <v>51</v>
      </c>
      <c r="C59" s="5">
        <f>(B59-AVERAGE($B$2:$B$100))/_xlfn.STDEV.P($B$2:$B$100)</f>
        <v/>
      </c>
      <c r="D59" s="12" t="n">
        <v>4</v>
      </c>
      <c r="E59" s="6">
        <f>-D59</f>
        <v/>
      </c>
      <c r="F59" s="7">
        <f>(E59-AVERAGE($E$2:$E$100))/_xlfn.STDEV.P($E$2:$E$100)</f>
        <v/>
      </c>
      <c r="G59" s="7">
        <f>sum(0.5*C59)+(0.5*F59)</f>
        <v/>
      </c>
      <c r="H59" s="12" t="inlineStr">
        <is>
          <t>East</t>
        </is>
      </c>
      <c r="I59" s="8" t="inlineStr">
        <is>
          <t>Indy Eleven</t>
        </is>
      </c>
      <c r="J59" s="9" t="n">
        <v>1.46</v>
      </c>
      <c r="K59" s="9" t="n">
        <v>1.36</v>
      </c>
      <c r="L59" s="9" t="n">
        <v>11.54</v>
      </c>
      <c r="M59" s="9" t="n">
        <v>4.37</v>
      </c>
      <c r="N59" s="9" t="n">
        <v>37.87</v>
      </c>
      <c r="O59" s="9" t="n">
        <v>349.46</v>
      </c>
      <c r="P59" s="9" t="n">
        <v>272.29</v>
      </c>
      <c r="Q59" s="9" t="n">
        <v>77.92</v>
      </c>
      <c r="R59" s="9" t="n">
        <v>45.37</v>
      </c>
      <c r="S59" s="9" t="n">
        <v>108.14</v>
      </c>
      <c r="T59" s="9" t="n">
        <v>18.06</v>
      </c>
      <c r="U59" s="9" t="n">
        <v>31.86</v>
      </c>
      <c r="V59" s="9" t="n">
        <v>58.23</v>
      </c>
      <c r="W59" s="9" t="n">
        <v>82.63</v>
      </c>
      <c r="X59" s="9" t="n">
        <v>34.86</v>
      </c>
      <c r="Y59" s="9" t="n">
        <v>33.06</v>
      </c>
      <c r="Z59" s="9" t="n">
        <v>14.71</v>
      </c>
      <c r="AA59" s="9" t="n">
        <v>193.29</v>
      </c>
      <c r="AB59" s="9" t="n">
        <v>88.8</v>
      </c>
      <c r="AC59" s="9" t="n">
        <v>45.94</v>
      </c>
      <c r="AD59" s="9" t="n">
        <v>4.77</v>
      </c>
      <c r="AE59" s="9" t="n">
        <v>1.63</v>
      </c>
      <c r="AF59" s="9" t="n">
        <v>34.13</v>
      </c>
      <c r="AG59" s="9" t="n">
        <v>30.23</v>
      </c>
      <c r="AH59" s="9" t="n">
        <v>6.66</v>
      </c>
      <c r="AI59" s="9" t="n">
        <v>22.02</v>
      </c>
      <c r="AJ59" s="9" t="n">
        <v>1.23</v>
      </c>
      <c r="AK59" s="9" t="n">
        <v>0.57</v>
      </c>
      <c r="AL59" s="9" t="n">
        <v>46.51</v>
      </c>
      <c r="AM59" s="9" t="n">
        <v>25.37</v>
      </c>
      <c r="AN59" s="9" t="n">
        <v>3.51</v>
      </c>
      <c r="AO59" s="9" t="n">
        <v>13.85</v>
      </c>
      <c r="AP59" s="9" t="n">
        <v>5.23</v>
      </c>
      <c r="AQ59" s="9" t="n">
        <v>1.2</v>
      </c>
      <c r="AR59" s="9" t="n">
        <v>22.95</v>
      </c>
      <c r="AS59" s="9" t="n">
        <v>2.23</v>
      </c>
      <c r="AT59" s="9" t="n">
        <v>0.66</v>
      </c>
      <c r="AU59" s="9" t="n">
        <v>29.49</v>
      </c>
      <c r="AV59" s="9" t="n">
        <v>0.2</v>
      </c>
      <c r="AW59" s="9" t="n">
        <v>0.2</v>
      </c>
      <c r="AX59" s="9" t="n">
        <v>100</v>
      </c>
      <c r="AY59" s="9" t="n">
        <v>19.23</v>
      </c>
      <c r="AZ59" s="9" t="n">
        <v>5.34</v>
      </c>
      <c r="BA59" s="9" t="n">
        <v>27.79</v>
      </c>
      <c r="BB59" s="9" t="n">
        <v>5.2</v>
      </c>
      <c r="BC59" s="9" t="n">
        <v>6.86</v>
      </c>
      <c r="BD59" s="9" t="n">
        <v>25.2</v>
      </c>
      <c r="BE59" s="9" t="n">
        <v>2.57</v>
      </c>
      <c r="BF59" s="9" t="n">
        <v>11.8</v>
      </c>
      <c r="BG59" s="9" t="n">
        <v>16.97</v>
      </c>
      <c r="BH59" s="9" t="n">
        <v>55.89</v>
      </c>
      <c r="BI59" s="9" t="n">
        <v>20.77</v>
      </c>
      <c r="BJ59" s="9" t="n">
        <v>37.17</v>
      </c>
      <c r="BK59" s="9" t="n">
        <v>1.83</v>
      </c>
      <c r="BL59" s="9" t="n">
        <v>1.51</v>
      </c>
      <c r="BM59" s="9" t="n">
        <v>12.4</v>
      </c>
      <c r="BN59" s="9" t="n">
        <v>4.51</v>
      </c>
      <c r="BO59" s="9" t="n">
        <v>36.41</v>
      </c>
      <c r="BP59" s="9" t="n">
        <v>64.45999999999999</v>
      </c>
      <c r="BQ59" s="9" t="n">
        <v>37.89</v>
      </c>
      <c r="BR59" s="9" t="n">
        <v>58.78</v>
      </c>
      <c r="BS59" s="9" t="n">
        <v>41.51</v>
      </c>
      <c r="BT59" s="9" t="n">
        <v>18.26</v>
      </c>
      <c r="BU59" s="9" t="n">
        <v>43.98</v>
      </c>
      <c r="BV59" s="9" t="n">
        <v>2.89</v>
      </c>
      <c r="BW59" s="9" t="n">
        <v>1.51</v>
      </c>
      <c r="BX59" s="9" t="n">
        <v>52.48</v>
      </c>
      <c r="BY59" s="9" t="n">
        <v>37.6</v>
      </c>
      <c r="BZ59" s="9" t="n">
        <v>15.91</v>
      </c>
      <c r="CA59" s="9" t="n">
        <v>14.89</v>
      </c>
      <c r="CB59" s="9" t="n">
        <v>2.63</v>
      </c>
      <c r="CC59" s="9" t="n">
        <v>0.06</v>
      </c>
      <c r="CD59" s="9" t="n">
        <v>132.23</v>
      </c>
      <c r="CE59" s="9" t="n">
        <v>91.31</v>
      </c>
      <c r="CF59" s="9" t="n">
        <v>69.06</v>
      </c>
      <c r="CG59" s="9" t="n">
        <v>48.49</v>
      </c>
      <c r="CH59" s="9" t="n">
        <v>44.74</v>
      </c>
      <c r="CI59" s="9" t="n">
        <v>92.28</v>
      </c>
      <c r="CJ59" s="9" t="n">
        <v>117.4</v>
      </c>
      <c r="CK59" s="9" t="n">
        <v>97.14</v>
      </c>
      <c r="CL59" s="9" t="n">
        <v>82.75</v>
      </c>
      <c r="CM59" s="9" t="n">
        <v>47.51</v>
      </c>
      <c r="CN59" s="9" t="n">
        <v>24.74</v>
      </c>
      <c r="CO59" s="9" t="n">
        <v>52.07</v>
      </c>
      <c r="CP59" s="9" t="n">
        <v>58</v>
      </c>
      <c r="CQ59" s="9" t="n">
        <v>37.09</v>
      </c>
      <c r="CR59" s="9" t="n">
        <v>63.94</v>
      </c>
      <c r="CS59" s="9" t="n">
        <v>68.40000000000001</v>
      </c>
      <c r="CT59" s="9" t="n">
        <v>51.43</v>
      </c>
      <c r="CU59" s="9" t="n">
        <v>75.19</v>
      </c>
      <c r="CV59" s="9" t="n">
        <v>1.37</v>
      </c>
      <c r="CW59" s="9" t="n">
        <v>0.49</v>
      </c>
      <c r="CX59" s="9" t="n">
        <v>35.42</v>
      </c>
      <c r="CY59" s="9" t="n">
        <v>22.11</v>
      </c>
      <c r="CZ59" s="9" t="n">
        <v>18.23</v>
      </c>
      <c r="DA59" s="9" t="n">
        <v>82.43000000000001</v>
      </c>
      <c r="DB59" s="9" t="n">
        <v>8.43</v>
      </c>
      <c r="DC59" s="9" t="n">
        <v>16.12</v>
      </c>
      <c r="DD59" s="9" t="n">
        <v>3.32</v>
      </c>
      <c r="DE59" s="9" t="n">
        <v>14.21</v>
      </c>
      <c r="DF59" s="9" t="n">
        <v>18.4</v>
      </c>
      <c r="DG59" s="9" t="n">
        <v>20.5</v>
      </c>
      <c r="DH59" s="9" t="n">
        <v>10.18</v>
      </c>
      <c r="DI59" s="9" t="n">
        <v>1.51</v>
      </c>
      <c r="DJ59" s="9" t="n">
        <v>1.39</v>
      </c>
      <c r="DK59" s="9" t="n">
        <v>12.4</v>
      </c>
      <c r="DL59" s="9" t="n">
        <v>4.26</v>
      </c>
      <c r="DM59" s="9" t="n">
        <v>34.33</v>
      </c>
      <c r="DN59" s="9" t="n">
        <v>405.03</v>
      </c>
      <c r="DO59" s="9" t="n">
        <v>330.17</v>
      </c>
      <c r="DP59" s="9" t="n">
        <v>81.52</v>
      </c>
      <c r="DQ59" s="9" t="n">
        <v>54.63</v>
      </c>
      <c r="DR59" s="9" t="n">
        <v>111.8</v>
      </c>
      <c r="DS59" s="9" t="n">
        <v>24.4</v>
      </c>
      <c r="DT59" s="9" t="n">
        <v>39.69</v>
      </c>
      <c r="DU59" s="9" t="n">
        <v>47.71</v>
      </c>
      <c r="DV59" s="9" t="n">
        <v>82.09</v>
      </c>
      <c r="DW59" s="9" t="n">
        <v>43.23</v>
      </c>
      <c r="DX59" s="9" t="n">
        <v>28.91</v>
      </c>
      <c r="DY59" s="9" t="n">
        <v>9.94</v>
      </c>
      <c r="DZ59" s="9" t="n">
        <v>193.29</v>
      </c>
      <c r="EA59" s="9" t="n">
        <v>95.89</v>
      </c>
      <c r="EB59" s="9" t="n">
        <v>49.61</v>
      </c>
      <c r="EC59" s="9" t="n">
        <v>5.54</v>
      </c>
      <c r="ED59" s="9" t="n">
        <v>1.31</v>
      </c>
      <c r="EE59" s="9" t="n">
        <v>23.71</v>
      </c>
      <c r="EF59" s="9" t="n">
        <v>27.23</v>
      </c>
      <c r="EG59" s="9" t="n">
        <v>7.66</v>
      </c>
      <c r="EH59" s="9" t="n">
        <v>28.12</v>
      </c>
      <c r="EI59" s="9" t="n">
        <v>0.9399999999999999</v>
      </c>
      <c r="EJ59" s="9" t="n">
        <v>0.51</v>
      </c>
      <c r="EK59" s="9" t="n">
        <v>54.55</v>
      </c>
      <c r="EL59" s="9" t="n">
        <v>28.8</v>
      </c>
      <c r="EM59" s="9" t="n">
        <v>3.69</v>
      </c>
      <c r="EN59" s="9" t="n">
        <v>12.8</v>
      </c>
      <c r="EO59" s="9" t="n">
        <v>5.2</v>
      </c>
      <c r="EP59" s="9" t="n">
        <v>1.51</v>
      </c>
      <c r="EQ59" s="9" t="n">
        <v>29.12</v>
      </c>
      <c r="ER59" s="9" t="n">
        <v>2.29</v>
      </c>
      <c r="ES59" s="9" t="n">
        <v>0.57</v>
      </c>
      <c r="ET59" s="9" t="n">
        <v>25</v>
      </c>
      <c r="EU59" s="9" t="n">
        <v>0.09</v>
      </c>
      <c r="EV59" s="9" t="n">
        <v>0.06</v>
      </c>
      <c r="EW59" s="9" t="n">
        <v>66.67</v>
      </c>
      <c r="EX59" s="9" t="n">
        <v>14.8</v>
      </c>
      <c r="EY59" s="9" t="n">
        <v>4.8</v>
      </c>
      <c r="EZ59" s="9" t="n">
        <v>32.43</v>
      </c>
      <c r="FA59" s="9" t="n">
        <v>4.86</v>
      </c>
      <c r="FB59" s="9" t="n">
        <v>7.49</v>
      </c>
      <c r="FC59" s="9" t="n">
        <v>25.89</v>
      </c>
      <c r="FD59" s="9" t="n">
        <v>4.11</v>
      </c>
      <c r="FE59" s="9" t="n">
        <v>9.26</v>
      </c>
      <c r="FF59" s="9" t="n">
        <v>17.6</v>
      </c>
      <c r="FG59" s="9" t="n">
        <v>64.45999999999999</v>
      </c>
      <c r="FH59" s="9" t="n">
        <v>26.57</v>
      </c>
      <c r="FI59" s="9" t="n">
        <v>41.22</v>
      </c>
      <c r="FJ59" s="9" t="n">
        <v>1.71</v>
      </c>
      <c r="FK59" s="9" t="n">
        <v>1.46</v>
      </c>
      <c r="FL59" s="9" t="n">
        <v>11.54</v>
      </c>
      <c r="FM59" s="9" t="n">
        <v>4.51</v>
      </c>
      <c r="FN59" s="9" t="n">
        <v>39.11</v>
      </c>
      <c r="FO59" s="9" t="n">
        <v>55.89</v>
      </c>
      <c r="FP59" s="9" t="n">
        <v>35.11</v>
      </c>
      <c r="FQ59" s="9" t="n">
        <v>62.83</v>
      </c>
      <c r="FR59" s="9" t="n">
        <v>41.51</v>
      </c>
      <c r="FS59" s="9" t="n">
        <v>19.89</v>
      </c>
      <c r="FT59" s="9" t="n">
        <v>47.9</v>
      </c>
      <c r="FU59" s="9" t="n">
        <v>1.86</v>
      </c>
      <c r="FV59" s="9" t="n">
        <v>0.6</v>
      </c>
      <c r="FW59" s="9" t="n">
        <v>32.31</v>
      </c>
      <c r="FX59" s="9" t="n">
        <v>44.11</v>
      </c>
      <c r="FY59" s="9" t="n">
        <v>17.74</v>
      </c>
      <c r="FZ59" s="9" t="n">
        <v>12.4</v>
      </c>
      <c r="GA59" s="9" t="n">
        <v>2.31</v>
      </c>
      <c r="GB59" s="9" t="n">
        <v>0.2</v>
      </c>
      <c r="GC59" s="9" t="n">
        <v>143.49</v>
      </c>
      <c r="GD59" s="9" t="n">
        <v>102.54</v>
      </c>
      <c r="GE59" s="9" t="n">
        <v>71.47</v>
      </c>
      <c r="GF59" s="9" t="n">
        <v>62.83</v>
      </c>
      <c r="GG59" s="9" t="n">
        <v>59.17</v>
      </c>
      <c r="GH59" s="9" t="n">
        <v>94.18000000000001</v>
      </c>
      <c r="GI59" s="9" t="n">
        <v>141.97</v>
      </c>
      <c r="GJ59" s="9" t="n">
        <v>122.83</v>
      </c>
      <c r="GK59" s="9" t="n">
        <v>86.52</v>
      </c>
      <c r="GL59" s="9" t="n">
        <v>50.51</v>
      </c>
      <c r="GM59" s="9" t="n">
        <v>27.2</v>
      </c>
      <c r="GN59" s="9" t="n">
        <v>53.85</v>
      </c>
      <c r="GO59" s="9" t="n">
        <v>51.63</v>
      </c>
      <c r="GP59" s="9" t="n">
        <v>34.69</v>
      </c>
      <c r="GQ59" s="9" t="n">
        <v>67.18000000000001</v>
      </c>
      <c r="GR59" s="9" t="n">
        <v>75.73999999999999</v>
      </c>
      <c r="GS59" s="9" t="n">
        <v>51.4</v>
      </c>
      <c r="GT59" s="9" t="n">
        <v>67.86</v>
      </c>
      <c r="GU59" s="9" t="n">
        <v>1.91</v>
      </c>
      <c r="GV59" s="9" t="n">
        <v>0.91</v>
      </c>
      <c r="GW59" s="9" t="n">
        <v>47.76</v>
      </c>
      <c r="GX59" s="9" t="n">
        <v>19.91</v>
      </c>
      <c r="GY59" s="9" t="n">
        <v>17.77</v>
      </c>
      <c r="GZ59" s="9" t="n">
        <v>89.23999999999999</v>
      </c>
      <c r="HA59" s="9" t="n">
        <v>8.4</v>
      </c>
      <c r="HB59" s="9" t="n">
        <v>15.48</v>
      </c>
      <c r="HC59" s="9" t="n">
        <v>3.79</v>
      </c>
      <c r="HD59" s="9" t="n">
        <v>13.11</v>
      </c>
      <c r="HE59" s="9" t="n">
        <v>18.96</v>
      </c>
      <c r="HF59" s="9" t="n">
        <v>20.09</v>
      </c>
      <c r="HG59" s="9" t="n">
        <v>10.51</v>
      </c>
    </row>
    <row r="60">
      <c r="A60" s="12" t="n">
        <v>2024</v>
      </c>
      <c r="B60" s="12" t="n">
        <v>50</v>
      </c>
      <c r="C60" s="5">
        <f>(B60-AVERAGE($B$2:$B$100))/_xlfn.STDEV.P($B$2:$B$100)</f>
        <v/>
      </c>
      <c r="D60" s="12" t="n">
        <v>4</v>
      </c>
      <c r="E60" s="6">
        <f>-D60</f>
        <v/>
      </c>
      <c r="F60" s="7">
        <f>(E60-AVERAGE($E$2:$E$100))/_xlfn.STDEV.P($E$2:$E$100)</f>
        <v/>
      </c>
      <c r="G60" s="7">
        <f>sum(0.5*C60)+(0.5*F60)</f>
        <v/>
      </c>
      <c r="H60" s="12" t="inlineStr">
        <is>
          <t>West</t>
        </is>
      </c>
      <c r="I60" s="8" t="inlineStr">
        <is>
          <t>Las Vegas Lights</t>
        </is>
      </c>
      <c r="J60" s="9" t="n">
        <v>1.35</v>
      </c>
      <c r="K60" s="9" t="n">
        <v>1.27</v>
      </c>
      <c r="L60" s="9" t="n">
        <v>12.24</v>
      </c>
      <c r="M60" s="9" t="n">
        <v>4</v>
      </c>
      <c r="N60" s="9" t="n">
        <v>32.67</v>
      </c>
      <c r="O60" s="9" t="n">
        <v>497</v>
      </c>
      <c r="P60" s="9" t="n">
        <v>431.86</v>
      </c>
      <c r="Q60" s="9" t="n">
        <v>86.89</v>
      </c>
      <c r="R60" s="9" t="n">
        <v>59.94</v>
      </c>
      <c r="S60" s="9" t="n">
        <v>96.3</v>
      </c>
      <c r="T60" s="9" t="n">
        <v>18.59</v>
      </c>
      <c r="U60" s="9" t="n">
        <v>34.89</v>
      </c>
      <c r="V60" s="9" t="n">
        <v>42.81</v>
      </c>
      <c r="W60" s="9" t="n">
        <v>73.45999999999999</v>
      </c>
      <c r="X60" s="9" t="n">
        <v>33.51</v>
      </c>
      <c r="Y60" s="9" t="n">
        <v>29.59</v>
      </c>
      <c r="Z60" s="9" t="n">
        <v>10.35</v>
      </c>
      <c r="AA60" s="9" t="n">
        <v>197.38</v>
      </c>
      <c r="AB60" s="9" t="n">
        <v>91.68000000000001</v>
      </c>
      <c r="AC60" s="9" t="n">
        <v>46.45</v>
      </c>
      <c r="AD60" s="9" t="n">
        <v>6</v>
      </c>
      <c r="AE60" s="9" t="n">
        <v>1.57</v>
      </c>
      <c r="AF60" s="9" t="n">
        <v>26.13</v>
      </c>
      <c r="AG60" s="9" t="n">
        <v>29.86</v>
      </c>
      <c r="AH60" s="9" t="n">
        <v>7.51</v>
      </c>
      <c r="AI60" s="9" t="n">
        <v>25.16</v>
      </c>
      <c r="AJ60" s="9" t="n">
        <v>0.8100000000000001</v>
      </c>
      <c r="AK60" s="9" t="n">
        <v>0.41</v>
      </c>
      <c r="AL60" s="9" t="n">
        <v>50</v>
      </c>
      <c r="AM60" s="9" t="n">
        <v>28.19</v>
      </c>
      <c r="AN60" s="9" t="n">
        <v>3.59</v>
      </c>
      <c r="AO60" s="9" t="n">
        <v>12.75</v>
      </c>
      <c r="AP60" s="9" t="n">
        <v>5.59</v>
      </c>
      <c r="AQ60" s="9" t="n">
        <v>1.68</v>
      </c>
      <c r="AR60" s="9" t="n">
        <v>29.95</v>
      </c>
      <c r="AS60" s="9" t="n">
        <v>2.08</v>
      </c>
      <c r="AT60" s="9" t="n">
        <v>0.46</v>
      </c>
      <c r="AU60" s="9" t="n">
        <v>22.08</v>
      </c>
      <c r="AV60" s="9" t="n">
        <v>0.11</v>
      </c>
      <c r="AW60" s="9" t="n">
        <v>0.11</v>
      </c>
      <c r="AX60" s="9" t="n">
        <v>100</v>
      </c>
      <c r="AY60" s="9" t="n">
        <v>15.14</v>
      </c>
      <c r="AZ60" s="9" t="n">
        <v>4.84</v>
      </c>
      <c r="BA60" s="9" t="n">
        <v>31.96</v>
      </c>
      <c r="BB60" s="9" t="n">
        <v>4.73</v>
      </c>
      <c r="BC60" s="9" t="n">
        <v>7.32</v>
      </c>
      <c r="BD60" s="9" t="n">
        <v>24.14</v>
      </c>
      <c r="BE60" s="9" t="n">
        <v>5.38</v>
      </c>
      <c r="BF60" s="9" t="n">
        <v>8.300000000000001</v>
      </c>
      <c r="BG60" s="9" t="n">
        <v>18.24</v>
      </c>
      <c r="BH60" s="9" t="n">
        <v>83.89</v>
      </c>
      <c r="BI60" s="9" t="n">
        <v>31.84</v>
      </c>
      <c r="BJ60" s="9" t="n">
        <v>37.95</v>
      </c>
      <c r="BK60" s="9" t="n">
        <v>1.32</v>
      </c>
      <c r="BL60" s="9" t="n">
        <v>1.27</v>
      </c>
      <c r="BM60" s="9" t="n">
        <v>11.41</v>
      </c>
      <c r="BN60" s="9" t="n">
        <v>4.41</v>
      </c>
      <c r="BO60" s="9" t="n">
        <v>38.63</v>
      </c>
      <c r="BP60" s="9" t="n">
        <v>61.51</v>
      </c>
      <c r="BQ60" s="9" t="n">
        <v>37.89</v>
      </c>
      <c r="BR60" s="9" t="n">
        <v>61.6</v>
      </c>
      <c r="BS60" s="9" t="n">
        <v>27.35</v>
      </c>
      <c r="BT60" s="9" t="n">
        <v>11.76</v>
      </c>
      <c r="BU60" s="9" t="n">
        <v>42.98</v>
      </c>
      <c r="BV60" s="9" t="n">
        <v>2.24</v>
      </c>
      <c r="BW60" s="9" t="n">
        <v>1.03</v>
      </c>
      <c r="BX60" s="9" t="n">
        <v>45.78</v>
      </c>
      <c r="BY60" s="9" t="n">
        <v>34.3</v>
      </c>
      <c r="BZ60" s="9" t="n">
        <v>11.89</v>
      </c>
      <c r="CA60" s="9" t="n">
        <v>12.41</v>
      </c>
      <c r="CB60" s="9" t="n">
        <v>2</v>
      </c>
      <c r="CC60" s="9" t="n">
        <v>0.03</v>
      </c>
      <c r="CD60" s="9" t="n">
        <v>151.76</v>
      </c>
      <c r="CE60" s="9" t="n">
        <v>117.62</v>
      </c>
      <c r="CF60" s="9" t="n">
        <v>77.51000000000001</v>
      </c>
      <c r="CG60" s="9" t="n">
        <v>82.68000000000001</v>
      </c>
      <c r="CH60" s="9" t="n">
        <v>79</v>
      </c>
      <c r="CI60" s="9" t="n">
        <v>95.55</v>
      </c>
      <c r="CJ60" s="9" t="n">
        <v>198.35</v>
      </c>
      <c r="CK60" s="9" t="n">
        <v>181.78</v>
      </c>
      <c r="CL60" s="9" t="n">
        <v>91.65000000000001</v>
      </c>
      <c r="CM60" s="9" t="n">
        <v>38.16</v>
      </c>
      <c r="CN60" s="9" t="n">
        <v>20.54</v>
      </c>
      <c r="CO60" s="9" t="n">
        <v>53.82</v>
      </c>
      <c r="CP60" s="9" t="n">
        <v>56.68</v>
      </c>
      <c r="CQ60" s="9" t="n">
        <v>42.32</v>
      </c>
      <c r="CR60" s="9" t="n">
        <v>74.68000000000001</v>
      </c>
      <c r="CS60" s="9" t="n">
        <v>73.89</v>
      </c>
      <c r="CT60" s="9" t="n">
        <v>55.14</v>
      </c>
      <c r="CU60" s="9" t="n">
        <v>74.62</v>
      </c>
      <c r="CV60" s="9" t="n">
        <v>1.97</v>
      </c>
      <c r="CW60" s="9" t="n">
        <v>0.68</v>
      </c>
      <c r="CX60" s="9" t="n">
        <v>34.25</v>
      </c>
      <c r="CY60" s="9" t="n">
        <v>19.97</v>
      </c>
      <c r="CZ60" s="9" t="n">
        <v>18.19</v>
      </c>
      <c r="DA60" s="9" t="n">
        <v>91.06999999999999</v>
      </c>
      <c r="DB60" s="9" t="n">
        <v>8.24</v>
      </c>
      <c r="DC60" s="9" t="n">
        <v>15.83</v>
      </c>
      <c r="DD60" s="9" t="n">
        <v>4.88</v>
      </c>
      <c r="DE60" s="9" t="n">
        <v>7.89</v>
      </c>
      <c r="DF60" s="9" t="n">
        <v>19.45</v>
      </c>
      <c r="DG60" s="9" t="n">
        <v>19.71</v>
      </c>
      <c r="DH60" s="9" t="n">
        <v>9.76</v>
      </c>
      <c r="DI60" s="9" t="n">
        <v>1.27</v>
      </c>
      <c r="DJ60" s="9" t="n">
        <v>1.46</v>
      </c>
      <c r="DK60" s="9" t="n">
        <v>11.41</v>
      </c>
      <c r="DL60" s="9" t="n">
        <v>4.19</v>
      </c>
      <c r="DM60" s="9" t="n">
        <v>36.73</v>
      </c>
      <c r="DN60" s="9" t="n">
        <v>335.46</v>
      </c>
      <c r="DO60" s="9" t="n">
        <v>269.16</v>
      </c>
      <c r="DP60" s="9" t="n">
        <v>80.23999999999999</v>
      </c>
      <c r="DQ60" s="9" t="n">
        <v>40.06</v>
      </c>
      <c r="DR60" s="9" t="n">
        <v>94.54000000000001</v>
      </c>
      <c r="DS60" s="9" t="n">
        <v>17.62</v>
      </c>
      <c r="DT60" s="9" t="n">
        <v>33.14</v>
      </c>
      <c r="DU60" s="9" t="n">
        <v>43.78</v>
      </c>
      <c r="DV60" s="9" t="n">
        <v>72.73</v>
      </c>
      <c r="DW60" s="9" t="n">
        <v>33.3</v>
      </c>
      <c r="DX60" s="9" t="n">
        <v>28.16</v>
      </c>
      <c r="DY60" s="9" t="n">
        <v>11.27</v>
      </c>
      <c r="DZ60" s="9" t="n">
        <v>197.38</v>
      </c>
      <c r="EA60" s="9" t="n">
        <v>98.73</v>
      </c>
      <c r="EB60" s="9" t="n">
        <v>50.02</v>
      </c>
      <c r="EC60" s="9" t="n">
        <v>4.49</v>
      </c>
      <c r="ED60" s="9" t="n">
        <v>1.3</v>
      </c>
      <c r="EE60" s="9" t="n">
        <v>28.92</v>
      </c>
      <c r="EF60" s="9" t="n">
        <v>26.05</v>
      </c>
      <c r="EG60" s="9" t="n">
        <v>7</v>
      </c>
      <c r="EH60" s="9" t="n">
        <v>26.87</v>
      </c>
      <c r="EI60" s="9" t="n">
        <v>1.03</v>
      </c>
      <c r="EJ60" s="9" t="n">
        <v>0.46</v>
      </c>
      <c r="EK60" s="9" t="n">
        <v>44.74</v>
      </c>
      <c r="EL60" s="9" t="n">
        <v>25.32</v>
      </c>
      <c r="EM60" s="9" t="n">
        <v>3.54</v>
      </c>
      <c r="EN60" s="9" t="n">
        <v>13.98</v>
      </c>
      <c r="EO60" s="9" t="n">
        <v>4.54</v>
      </c>
      <c r="EP60" s="9" t="n">
        <v>1.43</v>
      </c>
      <c r="EQ60" s="9" t="n">
        <v>31.55</v>
      </c>
      <c r="ER60" s="9" t="n">
        <v>1.95</v>
      </c>
      <c r="ES60" s="9" t="n">
        <v>0.68</v>
      </c>
      <c r="ET60" s="9" t="n">
        <v>34.72</v>
      </c>
      <c r="EU60" s="9" t="n">
        <v>0.11</v>
      </c>
      <c r="EV60" s="9" t="n">
        <v>0.05</v>
      </c>
      <c r="EW60" s="9" t="n">
        <v>50</v>
      </c>
      <c r="EX60" s="9" t="n">
        <v>12.16</v>
      </c>
      <c r="EY60" s="9" t="n">
        <v>4.38</v>
      </c>
      <c r="EZ60" s="9" t="n">
        <v>36</v>
      </c>
      <c r="FA60" s="9" t="n">
        <v>4.32</v>
      </c>
      <c r="FB60" s="9" t="n">
        <v>6.51</v>
      </c>
      <c r="FC60" s="9" t="n">
        <v>22.62</v>
      </c>
      <c r="FD60" s="9" t="n">
        <v>3.43</v>
      </c>
      <c r="FE60" s="9" t="n">
        <v>7.57</v>
      </c>
      <c r="FF60" s="9" t="n">
        <v>16.05</v>
      </c>
      <c r="FG60" s="9" t="n">
        <v>61.49</v>
      </c>
      <c r="FH60" s="9" t="n">
        <v>23.59</v>
      </c>
      <c r="FI60" s="9" t="n">
        <v>38.37</v>
      </c>
      <c r="FJ60" s="9" t="n">
        <v>1.86</v>
      </c>
      <c r="FK60" s="9" t="n">
        <v>1.35</v>
      </c>
      <c r="FL60" s="9" t="n">
        <v>12.24</v>
      </c>
      <c r="FM60" s="9" t="n">
        <v>4.46</v>
      </c>
      <c r="FN60" s="9" t="n">
        <v>36.42</v>
      </c>
      <c r="FO60" s="9" t="n">
        <v>83.92</v>
      </c>
      <c r="FP60" s="9" t="n">
        <v>52.05</v>
      </c>
      <c r="FQ60" s="9" t="n">
        <v>62.03</v>
      </c>
      <c r="FR60" s="9" t="n">
        <v>27.35</v>
      </c>
      <c r="FS60" s="9" t="n">
        <v>13.14</v>
      </c>
      <c r="FT60" s="9" t="n">
        <v>48.02</v>
      </c>
      <c r="FU60" s="9" t="n">
        <v>4.08</v>
      </c>
      <c r="FV60" s="9" t="n">
        <v>2</v>
      </c>
      <c r="FW60" s="9" t="n">
        <v>49.01</v>
      </c>
      <c r="FX60" s="9" t="n">
        <v>38.22</v>
      </c>
      <c r="FY60" s="9" t="n">
        <v>14.43</v>
      </c>
      <c r="FZ60" s="9" t="n">
        <v>14.24</v>
      </c>
      <c r="GA60" s="9" t="n">
        <v>2.41</v>
      </c>
      <c r="GB60" s="9" t="n">
        <v>0.05</v>
      </c>
      <c r="GC60" s="9" t="n">
        <v>122.78</v>
      </c>
      <c r="GD60" s="9" t="n">
        <v>84.27</v>
      </c>
      <c r="GE60" s="9" t="n">
        <v>68.63</v>
      </c>
      <c r="GF60" s="9" t="n">
        <v>53.57</v>
      </c>
      <c r="GG60" s="9" t="n">
        <v>49.78</v>
      </c>
      <c r="GH60" s="9" t="n">
        <v>92.94</v>
      </c>
      <c r="GI60" s="9" t="n">
        <v>113.84</v>
      </c>
      <c r="GJ60" s="9" t="n">
        <v>98.89</v>
      </c>
      <c r="GK60" s="9" t="n">
        <v>86.87</v>
      </c>
      <c r="GL60" s="9" t="n">
        <v>44.14</v>
      </c>
      <c r="GM60" s="9" t="n">
        <v>22.22</v>
      </c>
      <c r="GN60" s="9" t="n">
        <v>50.34</v>
      </c>
      <c r="GO60" s="9" t="n">
        <v>44.76</v>
      </c>
      <c r="GP60" s="9" t="n">
        <v>26.76</v>
      </c>
      <c r="GQ60" s="9" t="n">
        <v>59.78</v>
      </c>
      <c r="GR60" s="9" t="n">
        <v>61.22</v>
      </c>
      <c r="GS60" s="9" t="n">
        <v>42.27</v>
      </c>
      <c r="GT60" s="9" t="n">
        <v>69.05</v>
      </c>
      <c r="GU60" s="9" t="n">
        <v>1.84</v>
      </c>
      <c r="GV60" s="9" t="n">
        <v>0.57</v>
      </c>
      <c r="GW60" s="9" t="n">
        <v>30.88</v>
      </c>
      <c r="GX60" s="9" t="n">
        <v>19.22</v>
      </c>
      <c r="GY60" s="9" t="n">
        <v>17.51</v>
      </c>
      <c r="GZ60" s="9" t="n">
        <v>91.14</v>
      </c>
      <c r="HA60" s="9" t="n">
        <v>8.84</v>
      </c>
      <c r="HB60" s="9" t="n">
        <v>16.01</v>
      </c>
      <c r="HC60" s="9" t="n">
        <v>3.36</v>
      </c>
      <c r="HD60" s="9" t="n">
        <v>13.61</v>
      </c>
      <c r="HE60" s="9" t="n">
        <v>18.52</v>
      </c>
      <c r="HF60" s="9" t="n">
        <v>20.77</v>
      </c>
      <c r="HG60" s="9" t="n">
        <v>12.17</v>
      </c>
    </row>
    <row r="61">
      <c r="A61" s="10" t="n">
        <v>2024</v>
      </c>
      <c r="B61" s="12" t="n">
        <v>51</v>
      </c>
      <c r="C61" s="5">
        <f>(B61-AVERAGE($B$2:$B$100))/_xlfn.STDEV.P($B$2:$B$100)</f>
        <v/>
      </c>
      <c r="D61" s="12" t="n">
        <v>5</v>
      </c>
      <c r="E61" s="6">
        <f>-D61</f>
        <v/>
      </c>
      <c r="F61" s="7">
        <f>(E61-AVERAGE($E$2:$E$100))/_xlfn.STDEV.P($E$2:$E$100)</f>
        <v/>
      </c>
      <c r="G61" s="7">
        <f>sum(0.5*C61)+(0.5*F61)</f>
        <v/>
      </c>
      <c r="H61" s="12" t="inlineStr">
        <is>
          <t>East</t>
        </is>
      </c>
      <c r="I61" s="8" t="inlineStr">
        <is>
          <t>Rhode Island</t>
        </is>
      </c>
      <c r="J61" s="9" t="n">
        <v>1.74</v>
      </c>
      <c r="K61" s="9" t="n">
        <v>1.58</v>
      </c>
      <c r="L61" s="9" t="n">
        <v>12.05</v>
      </c>
      <c r="M61" s="9" t="n">
        <v>4.59</v>
      </c>
      <c r="N61" s="9" t="n">
        <v>38.09</v>
      </c>
      <c r="O61" s="9" t="n">
        <v>385.67</v>
      </c>
      <c r="P61" s="9" t="n">
        <v>312.87</v>
      </c>
      <c r="Q61" s="9" t="n">
        <v>81.12</v>
      </c>
      <c r="R61" s="9" t="n">
        <v>50.57</v>
      </c>
      <c r="S61" s="9" t="n">
        <v>109.31</v>
      </c>
      <c r="T61" s="9" t="n">
        <v>19.33</v>
      </c>
      <c r="U61" s="9" t="n">
        <v>37.44</v>
      </c>
      <c r="V61" s="9" t="n">
        <v>52.54</v>
      </c>
      <c r="W61" s="9" t="n">
        <v>83.09999999999999</v>
      </c>
      <c r="X61" s="9" t="n">
        <v>36.23</v>
      </c>
      <c r="Y61" s="9" t="n">
        <v>33.46</v>
      </c>
      <c r="Z61" s="9" t="n">
        <v>13.41</v>
      </c>
      <c r="AA61" s="9" t="n">
        <v>202</v>
      </c>
      <c r="AB61" s="9" t="n">
        <v>99.54000000000001</v>
      </c>
      <c r="AC61" s="9" t="n">
        <v>49.28</v>
      </c>
      <c r="AD61" s="9" t="n">
        <v>4.51</v>
      </c>
      <c r="AE61" s="9" t="n">
        <v>1.05</v>
      </c>
      <c r="AF61" s="9" t="n">
        <v>23.3</v>
      </c>
      <c r="AG61" s="9" t="n">
        <v>30.74</v>
      </c>
      <c r="AH61" s="9" t="n">
        <v>7.67</v>
      </c>
      <c r="AI61" s="9" t="n">
        <v>24.94</v>
      </c>
      <c r="AJ61" s="9" t="n">
        <v>0.54</v>
      </c>
      <c r="AK61" s="9" t="n">
        <v>0.31</v>
      </c>
      <c r="AL61" s="9" t="n">
        <v>57.14</v>
      </c>
      <c r="AM61" s="9" t="n">
        <v>26.56</v>
      </c>
      <c r="AN61" s="9" t="n">
        <v>3.69</v>
      </c>
      <c r="AO61" s="9" t="n">
        <v>13.9</v>
      </c>
      <c r="AP61" s="9" t="n">
        <v>5.05</v>
      </c>
      <c r="AQ61" s="9" t="n">
        <v>1.56</v>
      </c>
      <c r="AR61" s="9" t="n">
        <v>30.96</v>
      </c>
      <c r="AS61" s="9" t="n">
        <v>3</v>
      </c>
      <c r="AT61" s="9" t="n">
        <v>0.82</v>
      </c>
      <c r="AU61" s="9" t="n">
        <v>27.35</v>
      </c>
      <c r="AV61" s="9" t="n">
        <v>0.13</v>
      </c>
      <c r="AW61" s="9" t="n">
        <v>0.05</v>
      </c>
      <c r="AX61" s="9" t="n">
        <v>40</v>
      </c>
      <c r="AY61" s="9" t="n">
        <v>15.72</v>
      </c>
      <c r="AZ61" s="9" t="n">
        <v>5.51</v>
      </c>
      <c r="BA61" s="9" t="n">
        <v>35.07</v>
      </c>
      <c r="BB61" s="9" t="n">
        <v>5.54</v>
      </c>
      <c r="BC61" s="9" t="n">
        <v>7.13</v>
      </c>
      <c r="BD61" s="9" t="n">
        <v>23.87</v>
      </c>
      <c r="BE61" s="9" t="n">
        <v>4.69</v>
      </c>
      <c r="BF61" s="9" t="n">
        <v>9.359999999999999</v>
      </c>
      <c r="BG61" s="9" t="n">
        <v>18.74</v>
      </c>
      <c r="BH61" s="9" t="n">
        <v>63.97</v>
      </c>
      <c r="BI61" s="9" t="n">
        <v>24.95</v>
      </c>
      <c r="BJ61" s="9" t="n">
        <v>39</v>
      </c>
      <c r="BK61" s="9" t="n">
        <v>1.74</v>
      </c>
      <c r="BL61" s="9" t="n">
        <v>1.31</v>
      </c>
      <c r="BM61" s="9" t="n">
        <v>10.05</v>
      </c>
      <c r="BN61" s="9" t="n">
        <v>3.85</v>
      </c>
      <c r="BO61" s="9" t="n">
        <v>38.27</v>
      </c>
      <c r="BP61" s="9" t="n">
        <v>68.81999999999999</v>
      </c>
      <c r="BQ61" s="9" t="n">
        <v>42.1</v>
      </c>
      <c r="BR61" s="9" t="n">
        <v>61.18</v>
      </c>
      <c r="BS61" s="9" t="n">
        <v>40.23</v>
      </c>
      <c r="BT61" s="9" t="n">
        <v>20</v>
      </c>
      <c r="BU61" s="9" t="n">
        <v>49.71</v>
      </c>
      <c r="BV61" s="9" t="n">
        <v>2.23</v>
      </c>
      <c r="BW61" s="9" t="n">
        <v>1.21</v>
      </c>
      <c r="BX61" s="9" t="n">
        <v>54.02</v>
      </c>
      <c r="BY61" s="9" t="n">
        <v>39.1</v>
      </c>
      <c r="BZ61" s="9" t="n">
        <v>15.13</v>
      </c>
      <c r="CA61" s="9" t="n">
        <v>15.03</v>
      </c>
      <c r="CB61" s="9" t="n">
        <v>2.82</v>
      </c>
      <c r="CC61" s="9" t="n">
        <v>0.08</v>
      </c>
      <c r="CD61" s="9" t="n">
        <v>133.82</v>
      </c>
      <c r="CE61" s="9" t="n">
        <v>94.87</v>
      </c>
      <c r="CF61" s="9" t="n">
        <v>70.89</v>
      </c>
      <c r="CG61" s="9" t="n">
        <v>56</v>
      </c>
      <c r="CH61" s="9" t="n">
        <v>52.51</v>
      </c>
      <c r="CI61" s="9" t="n">
        <v>93.77</v>
      </c>
      <c r="CJ61" s="9" t="n">
        <v>142.74</v>
      </c>
      <c r="CK61" s="9" t="n">
        <v>123.82</v>
      </c>
      <c r="CL61" s="9" t="n">
        <v>86.73999999999999</v>
      </c>
      <c r="CM61" s="9" t="n">
        <v>48.28</v>
      </c>
      <c r="CN61" s="9" t="n">
        <v>26.38</v>
      </c>
      <c r="CO61" s="9" t="n">
        <v>54.65</v>
      </c>
      <c r="CP61" s="9" t="n">
        <v>52.08</v>
      </c>
      <c r="CQ61" s="9" t="n">
        <v>34.74</v>
      </c>
      <c r="CR61" s="9" t="n">
        <v>66.72</v>
      </c>
      <c r="CS61" s="9" t="n">
        <v>71.92</v>
      </c>
      <c r="CT61" s="9" t="n">
        <v>51.79</v>
      </c>
      <c r="CU61" s="9" t="n">
        <v>72.01000000000001</v>
      </c>
      <c r="CV61" s="9" t="n">
        <v>1.72</v>
      </c>
      <c r="CW61" s="9" t="n">
        <v>0.95</v>
      </c>
      <c r="CX61" s="9" t="n">
        <v>55.22</v>
      </c>
      <c r="CY61" s="9" t="n">
        <v>21.62</v>
      </c>
      <c r="CZ61" s="9" t="n">
        <v>18</v>
      </c>
      <c r="DA61" s="9" t="n">
        <v>83.27</v>
      </c>
      <c r="DB61" s="9" t="n">
        <v>7.1</v>
      </c>
      <c r="DC61" s="9" t="n">
        <v>15.33</v>
      </c>
      <c r="DD61" s="9" t="n">
        <v>3.58</v>
      </c>
      <c r="DE61" s="9" t="n">
        <v>13.06</v>
      </c>
      <c r="DF61" s="9" t="n">
        <v>17.1</v>
      </c>
      <c r="DG61" s="9" t="n">
        <v>20.5</v>
      </c>
      <c r="DH61" s="9" t="n">
        <v>9.51</v>
      </c>
      <c r="DI61" s="9" t="n">
        <v>1.31</v>
      </c>
      <c r="DJ61" s="9" t="n">
        <v>1.24</v>
      </c>
      <c r="DK61" s="9" t="n">
        <v>10.05</v>
      </c>
      <c r="DL61" s="9" t="n">
        <v>3.54</v>
      </c>
      <c r="DM61" s="9" t="n">
        <v>35.2</v>
      </c>
      <c r="DN61" s="9" t="n">
        <v>382.26</v>
      </c>
      <c r="DO61" s="9" t="n">
        <v>306.59</v>
      </c>
      <c r="DP61" s="9" t="n">
        <v>80.20999999999999</v>
      </c>
      <c r="DQ61" s="9" t="n">
        <v>49.43</v>
      </c>
      <c r="DR61" s="9" t="n">
        <v>111.92</v>
      </c>
      <c r="DS61" s="9" t="n">
        <v>21.59</v>
      </c>
      <c r="DT61" s="9" t="n">
        <v>40.31</v>
      </c>
      <c r="DU61" s="9" t="n">
        <v>50.03</v>
      </c>
      <c r="DV61" s="9" t="n">
        <v>81.95</v>
      </c>
      <c r="DW61" s="9" t="n">
        <v>39.67</v>
      </c>
      <c r="DX61" s="9" t="n">
        <v>30.46</v>
      </c>
      <c r="DY61" s="9" t="n">
        <v>11.82</v>
      </c>
      <c r="DZ61" s="9" t="n">
        <v>202</v>
      </c>
      <c r="EA61" s="9" t="n">
        <v>95.08</v>
      </c>
      <c r="EB61" s="9" t="n">
        <v>47.07</v>
      </c>
      <c r="EC61" s="9" t="n">
        <v>4.13</v>
      </c>
      <c r="ED61" s="9" t="n">
        <v>1.36</v>
      </c>
      <c r="EE61" s="9" t="n">
        <v>32.92</v>
      </c>
      <c r="EF61" s="9" t="n">
        <v>25.77</v>
      </c>
      <c r="EG61" s="9" t="n">
        <v>6.36</v>
      </c>
      <c r="EH61" s="9" t="n">
        <v>24.68</v>
      </c>
      <c r="EI61" s="9" t="n">
        <v>0.79</v>
      </c>
      <c r="EJ61" s="9" t="n">
        <v>0.33</v>
      </c>
      <c r="EK61" s="9" t="n">
        <v>41.94</v>
      </c>
      <c r="EL61" s="9" t="n">
        <v>28.44</v>
      </c>
      <c r="EM61" s="9" t="n">
        <v>2.9</v>
      </c>
      <c r="EN61" s="9" t="n">
        <v>10.19</v>
      </c>
      <c r="EO61" s="9" t="n">
        <v>4.59</v>
      </c>
      <c r="EP61" s="9" t="n">
        <v>1.31</v>
      </c>
      <c r="EQ61" s="9" t="n">
        <v>28.49</v>
      </c>
      <c r="ER61" s="9" t="n">
        <v>2.33</v>
      </c>
      <c r="ES61" s="9" t="n">
        <v>0.5600000000000001</v>
      </c>
      <c r="ET61" s="9" t="n">
        <v>24.18</v>
      </c>
      <c r="EU61" s="9" t="n">
        <v>0.13</v>
      </c>
      <c r="EV61" s="9" t="n">
        <v>0.08</v>
      </c>
      <c r="EW61" s="9" t="n">
        <v>60</v>
      </c>
      <c r="EX61" s="9" t="n">
        <v>13.33</v>
      </c>
      <c r="EY61" s="9" t="n">
        <v>4</v>
      </c>
      <c r="EZ61" s="9" t="n">
        <v>30</v>
      </c>
      <c r="FA61" s="9" t="n">
        <v>4.56</v>
      </c>
      <c r="FB61" s="9" t="n">
        <v>5.95</v>
      </c>
      <c r="FC61" s="9" t="n">
        <v>21.64</v>
      </c>
      <c r="FD61" s="9" t="n">
        <v>3.21</v>
      </c>
      <c r="FE61" s="9" t="n">
        <v>8.15</v>
      </c>
      <c r="FF61" s="9" t="n">
        <v>14.79</v>
      </c>
      <c r="FG61" s="9" t="n">
        <v>68.81999999999999</v>
      </c>
      <c r="FH61" s="9" t="n">
        <v>26.72</v>
      </c>
      <c r="FI61" s="9" t="n">
        <v>38.82</v>
      </c>
      <c r="FJ61" s="9" t="n">
        <v>2.64</v>
      </c>
      <c r="FK61" s="9" t="n">
        <v>1.74</v>
      </c>
      <c r="FL61" s="9" t="n">
        <v>12.05</v>
      </c>
      <c r="FM61" s="9" t="n">
        <v>4.82</v>
      </c>
      <c r="FN61" s="9" t="n">
        <v>40</v>
      </c>
      <c r="FO61" s="9" t="n">
        <v>63.97</v>
      </c>
      <c r="FP61" s="9" t="n">
        <v>39.03</v>
      </c>
      <c r="FQ61" s="9" t="n">
        <v>61</v>
      </c>
      <c r="FR61" s="9" t="n">
        <v>40.23</v>
      </c>
      <c r="FS61" s="9" t="n">
        <v>17.31</v>
      </c>
      <c r="FT61" s="9" t="n">
        <v>43.02</v>
      </c>
      <c r="FU61" s="9" t="n">
        <v>3.51</v>
      </c>
      <c r="FV61" s="9" t="n">
        <v>1.87</v>
      </c>
      <c r="FW61" s="9" t="n">
        <v>53.28</v>
      </c>
      <c r="FX61" s="9" t="n">
        <v>39.85</v>
      </c>
      <c r="FY61" s="9" t="n">
        <v>14.67</v>
      </c>
      <c r="FZ61" s="9" t="n">
        <v>12.87</v>
      </c>
      <c r="GA61" s="9" t="n">
        <v>2.28</v>
      </c>
      <c r="GB61" s="9" t="n">
        <v>0.05</v>
      </c>
      <c r="GC61" s="9" t="n">
        <v>141.03</v>
      </c>
      <c r="GD61" s="9" t="n">
        <v>97.97</v>
      </c>
      <c r="GE61" s="9" t="n">
        <v>69.47</v>
      </c>
      <c r="GF61" s="9" t="n">
        <v>56.67</v>
      </c>
      <c r="GG61" s="9" t="n">
        <v>53.15</v>
      </c>
      <c r="GH61" s="9" t="n">
        <v>93.8</v>
      </c>
      <c r="GI61" s="9" t="n">
        <v>133.41</v>
      </c>
      <c r="GJ61" s="9" t="n">
        <v>115.38</v>
      </c>
      <c r="GK61" s="9" t="n">
        <v>86.48999999999999</v>
      </c>
      <c r="GL61" s="9" t="n">
        <v>52.28</v>
      </c>
      <c r="GM61" s="9" t="n">
        <v>27.79</v>
      </c>
      <c r="GN61" s="9" t="n">
        <v>53.16</v>
      </c>
      <c r="GO61" s="9" t="n">
        <v>50.87</v>
      </c>
      <c r="GP61" s="9" t="n">
        <v>31.69</v>
      </c>
      <c r="GQ61" s="9" t="n">
        <v>62.3</v>
      </c>
      <c r="GR61" s="9" t="n">
        <v>72.59</v>
      </c>
      <c r="GS61" s="9" t="n">
        <v>48.69</v>
      </c>
      <c r="GT61" s="9" t="n">
        <v>67.08</v>
      </c>
      <c r="GU61" s="9" t="n">
        <v>2.33</v>
      </c>
      <c r="GV61" s="9" t="n">
        <v>0.79</v>
      </c>
      <c r="GW61" s="9" t="n">
        <v>34.07</v>
      </c>
      <c r="GX61" s="9" t="n">
        <v>22.18</v>
      </c>
      <c r="GY61" s="9" t="n">
        <v>19.38</v>
      </c>
      <c r="GZ61" s="9" t="n">
        <v>87.40000000000001</v>
      </c>
      <c r="HA61" s="9" t="n">
        <v>8.640000000000001</v>
      </c>
      <c r="HB61" s="9" t="n">
        <v>15.78</v>
      </c>
      <c r="HC61" s="9" t="n">
        <v>3.57</v>
      </c>
      <c r="HD61" s="9" t="n">
        <v>14.35</v>
      </c>
      <c r="HE61" s="9" t="n">
        <v>18.28</v>
      </c>
      <c r="HF61" s="9" t="n">
        <v>20.76</v>
      </c>
      <c r="HG61" s="9" t="n">
        <v>10.57</v>
      </c>
    </row>
    <row r="62">
      <c r="A62" s="12" t="n">
        <v>2024</v>
      </c>
      <c r="B62" s="12" t="n">
        <v>49</v>
      </c>
      <c r="C62" s="5">
        <f>(B62-AVERAGE($B$2:$B$100))/_xlfn.STDEV.P($B$2:$B$100)</f>
        <v/>
      </c>
      <c r="D62" s="12" t="n">
        <v>5</v>
      </c>
      <c r="E62" s="6">
        <f>-D62</f>
        <v/>
      </c>
      <c r="F62" s="7">
        <f>(E62-AVERAGE($E$2:$E$100))/_xlfn.STDEV.P($E$2:$E$100)</f>
        <v/>
      </c>
      <c r="G62" s="7">
        <f>sum(0.5*C62)+(0.5*F62)</f>
        <v/>
      </c>
      <c r="H62" s="12" t="inlineStr">
        <is>
          <t>West</t>
        </is>
      </c>
      <c r="I62" s="8" t="inlineStr">
        <is>
          <t>Sacramento Republic</t>
        </is>
      </c>
      <c r="J62" s="9" t="n">
        <v>1.31</v>
      </c>
      <c r="K62" s="9" t="n">
        <v>1.56</v>
      </c>
      <c r="L62" s="9" t="n">
        <v>12.06</v>
      </c>
      <c r="M62" s="9" t="n">
        <v>4.23</v>
      </c>
      <c r="N62" s="9" t="n">
        <v>35.07</v>
      </c>
      <c r="O62" s="9" t="n">
        <v>410.71</v>
      </c>
      <c r="P62" s="9" t="n">
        <v>338.86</v>
      </c>
      <c r="Q62" s="9" t="n">
        <v>82.5</v>
      </c>
      <c r="R62" s="9" t="n">
        <v>49.69</v>
      </c>
      <c r="S62" s="9" t="n">
        <v>102.49</v>
      </c>
      <c r="T62" s="9" t="n">
        <v>16.77</v>
      </c>
      <c r="U62" s="9" t="n">
        <v>36.94</v>
      </c>
      <c r="V62" s="9" t="n">
        <v>48.77</v>
      </c>
      <c r="W62" s="9" t="n">
        <v>79</v>
      </c>
      <c r="X62" s="9" t="n">
        <v>34.37</v>
      </c>
      <c r="Y62" s="9" t="n">
        <v>33.4</v>
      </c>
      <c r="Z62" s="9" t="n">
        <v>11.23</v>
      </c>
      <c r="AA62" s="9" t="n">
        <v>200.63</v>
      </c>
      <c r="AB62" s="9" t="n">
        <v>99.51000000000001</v>
      </c>
      <c r="AC62" s="9" t="n">
        <v>49.6</v>
      </c>
      <c r="AD62" s="9" t="n">
        <v>4.57</v>
      </c>
      <c r="AE62" s="9" t="n">
        <v>1.11</v>
      </c>
      <c r="AF62" s="9" t="n">
        <v>24.38</v>
      </c>
      <c r="AG62" s="9" t="n">
        <v>30.03</v>
      </c>
      <c r="AH62" s="9" t="n">
        <v>7.17</v>
      </c>
      <c r="AI62" s="9" t="n">
        <v>23.88</v>
      </c>
      <c r="AJ62" s="9" t="n">
        <v>0.91</v>
      </c>
      <c r="AK62" s="9" t="n">
        <v>0.54</v>
      </c>
      <c r="AL62" s="9" t="n">
        <v>59.38</v>
      </c>
      <c r="AM62" s="9" t="n">
        <v>27.6</v>
      </c>
      <c r="AN62" s="9" t="n">
        <v>3.77</v>
      </c>
      <c r="AO62" s="9" t="n">
        <v>13.66</v>
      </c>
      <c r="AP62" s="9" t="n">
        <v>5.37</v>
      </c>
      <c r="AQ62" s="9" t="n">
        <v>1.77</v>
      </c>
      <c r="AR62" s="9" t="n">
        <v>32.98</v>
      </c>
      <c r="AS62" s="9" t="n">
        <v>2.63</v>
      </c>
      <c r="AT62" s="9" t="n">
        <v>0.8</v>
      </c>
      <c r="AU62" s="9" t="n">
        <v>30.43</v>
      </c>
      <c r="AV62" s="9" t="n">
        <v>0.03</v>
      </c>
      <c r="AW62" s="9" t="n">
        <v>0.03</v>
      </c>
      <c r="AX62" s="9" t="n">
        <v>100</v>
      </c>
      <c r="AY62" s="9" t="n">
        <v>16.69</v>
      </c>
      <c r="AZ62" s="9" t="n">
        <v>5.91</v>
      </c>
      <c r="BA62" s="9" t="n">
        <v>35.45</v>
      </c>
      <c r="BB62" s="9" t="n">
        <v>5.8</v>
      </c>
      <c r="BC62" s="9" t="n">
        <v>5.89</v>
      </c>
      <c r="BD62" s="9" t="n">
        <v>22.74</v>
      </c>
      <c r="BE62" s="9" t="n">
        <v>3.09</v>
      </c>
      <c r="BF62" s="9" t="n">
        <v>10.14</v>
      </c>
      <c r="BG62" s="9" t="n">
        <v>16.6</v>
      </c>
      <c r="BH62" s="9" t="n">
        <v>63.46</v>
      </c>
      <c r="BI62" s="9" t="n">
        <v>26.06</v>
      </c>
      <c r="BJ62" s="9" t="n">
        <v>41.06</v>
      </c>
      <c r="BK62" s="9" t="n">
        <v>2.17</v>
      </c>
      <c r="BL62" s="9" t="n">
        <v>0.97</v>
      </c>
      <c r="BM62" s="9" t="n">
        <v>10.29</v>
      </c>
      <c r="BN62" s="9" t="n">
        <v>4</v>
      </c>
      <c r="BO62" s="9" t="n">
        <v>38.89</v>
      </c>
      <c r="BP62" s="9" t="n">
        <v>68.83</v>
      </c>
      <c r="BQ62" s="9" t="n">
        <v>42.69</v>
      </c>
      <c r="BR62" s="9" t="n">
        <v>62.02</v>
      </c>
      <c r="BS62" s="9" t="n">
        <v>41.66</v>
      </c>
      <c r="BT62" s="9" t="n">
        <v>20.57</v>
      </c>
      <c r="BU62" s="9" t="n">
        <v>49.38</v>
      </c>
      <c r="BV62" s="9" t="n">
        <v>4.06</v>
      </c>
      <c r="BW62" s="9" t="n">
        <v>1.71</v>
      </c>
      <c r="BX62" s="9" t="n">
        <v>42.25</v>
      </c>
      <c r="BY62" s="9" t="n">
        <v>36.89</v>
      </c>
      <c r="BZ62" s="9" t="n">
        <v>13.94</v>
      </c>
      <c r="CA62" s="9" t="n">
        <v>14.26</v>
      </c>
      <c r="CB62" s="9" t="n">
        <v>2.57</v>
      </c>
      <c r="CC62" s="9" t="n">
        <v>0.09</v>
      </c>
      <c r="CD62" s="9" t="n">
        <v>145.14</v>
      </c>
      <c r="CE62" s="9" t="n">
        <v>104.69</v>
      </c>
      <c r="CF62" s="9" t="n">
        <v>72.13</v>
      </c>
      <c r="CG62" s="9" t="n">
        <v>65.86</v>
      </c>
      <c r="CH62" s="9" t="n">
        <v>61.83</v>
      </c>
      <c r="CI62" s="9" t="n">
        <v>93.88</v>
      </c>
      <c r="CJ62" s="9" t="n">
        <v>144.2</v>
      </c>
      <c r="CK62" s="9" t="n">
        <v>127.43</v>
      </c>
      <c r="CL62" s="9" t="n">
        <v>88.37</v>
      </c>
      <c r="CM62" s="9" t="n">
        <v>49.8</v>
      </c>
      <c r="CN62" s="9" t="n">
        <v>26.17</v>
      </c>
      <c r="CO62" s="9" t="n">
        <v>52.55</v>
      </c>
      <c r="CP62" s="9" t="n">
        <v>58.66</v>
      </c>
      <c r="CQ62" s="9" t="n">
        <v>39.09</v>
      </c>
      <c r="CR62" s="9" t="n">
        <v>66.63</v>
      </c>
      <c r="CS62" s="9" t="n">
        <v>73</v>
      </c>
      <c r="CT62" s="9" t="n">
        <v>55.06</v>
      </c>
      <c r="CU62" s="9" t="n">
        <v>75.42</v>
      </c>
      <c r="CV62" s="9" t="n">
        <v>1.26</v>
      </c>
      <c r="CW62" s="9" t="n">
        <v>0.49</v>
      </c>
      <c r="CX62" s="9" t="n">
        <v>38.64</v>
      </c>
      <c r="CY62" s="9" t="n">
        <v>21.97</v>
      </c>
      <c r="CZ62" s="9" t="n">
        <v>20.34</v>
      </c>
      <c r="DA62" s="9" t="n">
        <v>92.59</v>
      </c>
      <c r="DB62" s="9" t="n">
        <v>7.43</v>
      </c>
      <c r="DC62" s="9" t="n">
        <v>16.45</v>
      </c>
      <c r="DD62" s="9" t="n">
        <v>3.86</v>
      </c>
      <c r="DE62" s="9" t="n">
        <v>12.42</v>
      </c>
      <c r="DF62" s="9" t="n">
        <v>17.6</v>
      </c>
      <c r="DG62" s="9" t="n">
        <v>20.49</v>
      </c>
      <c r="DH62" s="9" t="n">
        <v>10.3</v>
      </c>
      <c r="DI62" s="9" t="n">
        <v>0.97</v>
      </c>
      <c r="DJ62" s="9" t="n">
        <v>1.18</v>
      </c>
      <c r="DK62" s="9" t="n">
        <v>10.29</v>
      </c>
      <c r="DL62" s="9" t="n">
        <v>3.77</v>
      </c>
      <c r="DM62" s="9" t="n">
        <v>36.67</v>
      </c>
      <c r="DN62" s="9" t="n">
        <v>399.66</v>
      </c>
      <c r="DO62" s="9" t="n">
        <v>330.74</v>
      </c>
      <c r="DP62" s="9" t="n">
        <v>82.76000000000001</v>
      </c>
      <c r="DQ62" s="9" t="n">
        <v>50.31</v>
      </c>
      <c r="DR62" s="9" t="n">
        <v>104.57</v>
      </c>
      <c r="DS62" s="9" t="n">
        <v>19.43</v>
      </c>
      <c r="DT62" s="9" t="n">
        <v>39.6</v>
      </c>
      <c r="DU62" s="9" t="n">
        <v>45.54</v>
      </c>
      <c r="DV62" s="9" t="n">
        <v>79.77</v>
      </c>
      <c r="DW62" s="9" t="n">
        <v>38.49</v>
      </c>
      <c r="DX62" s="9" t="n">
        <v>31</v>
      </c>
      <c r="DY62" s="9" t="n">
        <v>10.29</v>
      </c>
      <c r="DZ62" s="9" t="n">
        <v>200.63</v>
      </c>
      <c r="EA62" s="9" t="n">
        <v>93.09</v>
      </c>
      <c r="EB62" s="9" t="n">
        <v>46.4</v>
      </c>
      <c r="EC62" s="9" t="n">
        <v>4.26</v>
      </c>
      <c r="ED62" s="9" t="n">
        <v>1.11</v>
      </c>
      <c r="EE62" s="9" t="n">
        <v>26.17</v>
      </c>
      <c r="EF62" s="9" t="n">
        <v>25.43</v>
      </c>
      <c r="EG62" s="9" t="n">
        <v>6.31</v>
      </c>
      <c r="EH62" s="9" t="n">
        <v>24.83</v>
      </c>
      <c r="EI62" s="9" t="n">
        <v>0.97</v>
      </c>
      <c r="EJ62" s="9" t="n">
        <v>0.54</v>
      </c>
      <c r="EK62" s="9" t="n">
        <v>55.88</v>
      </c>
      <c r="EL62" s="9" t="n">
        <v>26.6</v>
      </c>
      <c r="EM62" s="9" t="n">
        <v>2.97</v>
      </c>
      <c r="EN62" s="9" t="n">
        <v>11.17</v>
      </c>
      <c r="EO62" s="9" t="n">
        <v>4.2</v>
      </c>
      <c r="EP62" s="9" t="n">
        <v>1.11</v>
      </c>
      <c r="EQ62" s="9" t="n">
        <v>26.53</v>
      </c>
      <c r="ER62" s="9" t="n">
        <v>2.4</v>
      </c>
      <c r="ES62" s="9" t="n">
        <v>0.57</v>
      </c>
      <c r="ET62" s="9" t="n">
        <v>23.81</v>
      </c>
      <c r="EU62" s="9" t="n">
        <v>0.11</v>
      </c>
      <c r="EV62" s="9" t="n">
        <v>0.03</v>
      </c>
      <c r="EW62" s="9" t="n">
        <v>25</v>
      </c>
      <c r="EX62" s="9" t="n">
        <v>12.23</v>
      </c>
      <c r="EY62" s="9" t="n">
        <v>3.63</v>
      </c>
      <c r="EZ62" s="9" t="n">
        <v>29.67</v>
      </c>
      <c r="FA62" s="9" t="n">
        <v>3.34</v>
      </c>
      <c r="FB62" s="9" t="n">
        <v>5.66</v>
      </c>
      <c r="FC62" s="9" t="n">
        <v>20.66</v>
      </c>
      <c r="FD62" s="9" t="n">
        <v>3.26</v>
      </c>
      <c r="FE62" s="9" t="n">
        <v>7.37</v>
      </c>
      <c r="FF62" s="9" t="n">
        <v>14</v>
      </c>
      <c r="FG62" s="9" t="n">
        <v>68.86</v>
      </c>
      <c r="FH62" s="9" t="n">
        <v>26.14</v>
      </c>
      <c r="FI62" s="9" t="n">
        <v>37.97</v>
      </c>
      <c r="FJ62" s="9" t="n">
        <v>2.34</v>
      </c>
      <c r="FK62" s="9" t="n">
        <v>1.31</v>
      </c>
      <c r="FL62" s="9" t="n">
        <v>12.06</v>
      </c>
      <c r="FM62" s="9" t="n">
        <v>4.34</v>
      </c>
      <c r="FN62" s="9" t="n">
        <v>36.02</v>
      </c>
      <c r="FO62" s="9" t="n">
        <v>63.46</v>
      </c>
      <c r="FP62" s="9" t="n">
        <v>37.4</v>
      </c>
      <c r="FQ62" s="9" t="n">
        <v>58.94</v>
      </c>
      <c r="FR62" s="9" t="n">
        <v>41.63</v>
      </c>
      <c r="FS62" s="9" t="n">
        <v>17.74</v>
      </c>
      <c r="FT62" s="9" t="n">
        <v>42.62</v>
      </c>
      <c r="FU62" s="9" t="n">
        <v>3.91</v>
      </c>
      <c r="FV62" s="9" t="n">
        <v>1.97</v>
      </c>
      <c r="FW62" s="9" t="n">
        <v>50.36</v>
      </c>
      <c r="FX62" s="9" t="n">
        <v>36.57</v>
      </c>
      <c r="FY62" s="9" t="n">
        <v>14.4</v>
      </c>
      <c r="FZ62" s="9" t="n">
        <v>14.03</v>
      </c>
      <c r="GA62" s="9" t="n">
        <v>2.89</v>
      </c>
      <c r="GB62" s="9" t="n">
        <v>0.03</v>
      </c>
      <c r="GC62" s="9" t="n">
        <v>138.63</v>
      </c>
      <c r="GD62" s="9" t="n">
        <v>96.86</v>
      </c>
      <c r="GE62" s="9" t="n">
        <v>69.87</v>
      </c>
      <c r="GF62" s="9" t="n">
        <v>59.31</v>
      </c>
      <c r="GG62" s="9" t="n">
        <v>55.54</v>
      </c>
      <c r="GH62" s="9" t="n">
        <v>93.64</v>
      </c>
      <c r="GI62" s="9" t="n">
        <v>149.57</v>
      </c>
      <c r="GJ62" s="9" t="n">
        <v>135.43</v>
      </c>
      <c r="GK62" s="9" t="n">
        <v>90.54000000000001</v>
      </c>
      <c r="GL62" s="9" t="n">
        <v>50.74</v>
      </c>
      <c r="GM62" s="9" t="n">
        <v>26.51</v>
      </c>
      <c r="GN62" s="9" t="n">
        <v>52.25</v>
      </c>
      <c r="GO62" s="9" t="n">
        <v>53.77</v>
      </c>
      <c r="GP62" s="9" t="n">
        <v>34.31</v>
      </c>
      <c r="GQ62" s="9" t="n">
        <v>63.82</v>
      </c>
      <c r="GR62" s="9" t="n">
        <v>68.2</v>
      </c>
      <c r="GS62" s="9" t="n">
        <v>48.2</v>
      </c>
      <c r="GT62" s="9" t="n">
        <v>70.67</v>
      </c>
      <c r="GU62" s="9" t="n">
        <v>1.8</v>
      </c>
      <c r="GV62" s="9" t="n">
        <v>0.77</v>
      </c>
      <c r="GW62" s="9" t="n">
        <v>42.86</v>
      </c>
      <c r="GX62" s="9" t="n">
        <v>21.77</v>
      </c>
      <c r="GY62" s="9" t="n">
        <v>19.17</v>
      </c>
      <c r="GZ62" s="9" t="n">
        <v>88.06</v>
      </c>
      <c r="HA62" s="9" t="n">
        <v>7.74</v>
      </c>
      <c r="HB62" s="9" t="n">
        <v>15.55</v>
      </c>
      <c r="HC62" s="9" t="n">
        <v>3.8</v>
      </c>
      <c r="HD62" s="9" t="n">
        <v>13.56</v>
      </c>
      <c r="HE62" s="9" t="n">
        <v>19.13</v>
      </c>
      <c r="HF62" s="9" t="n">
        <v>20.75</v>
      </c>
      <c r="HG62" s="9" t="n">
        <v>11.81</v>
      </c>
    </row>
    <row r="63">
      <c r="A63" s="12" t="n">
        <v>2024</v>
      </c>
      <c r="B63" s="12" t="n">
        <v>50</v>
      </c>
      <c r="C63" s="5">
        <f>(B63-AVERAGE($B$2:$B$100))/_xlfn.STDEV.P($B$2:$B$100)</f>
        <v/>
      </c>
      <c r="D63" s="12" t="n">
        <v>6</v>
      </c>
      <c r="E63" s="6">
        <f>-D63</f>
        <v/>
      </c>
      <c r="F63" s="7">
        <f>(E63-AVERAGE($E$2:$E$100))/_xlfn.STDEV.P($E$2:$E$100)</f>
        <v/>
      </c>
      <c r="G63" s="7">
        <f>sum(0.5*C63)+(0.5*F63)</f>
        <v/>
      </c>
      <c r="H63" s="12" t="inlineStr">
        <is>
          <t>East</t>
        </is>
      </c>
      <c r="I63" s="8" t="inlineStr">
        <is>
          <t>Tampa Bay Rowdies</t>
        </is>
      </c>
      <c r="J63" s="9" t="n">
        <v>1.58</v>
      </c>
      <c r="K63" s="9" t="n">
        <v>1.82</v>
      </c>
      <c r="L63" s="9" t="n">
        <v>14.42</v>
      </c>
      <c r="M63" s="9" t="n">
        <v>5.08</v>
      </c>
      <c r="N63" s="9" t="n">
        <v>35.26</v>
      </c>
      <c r="O63" s="9" t="n">
        <v>388.53</v>
      </c>
      <c r="P63" s="9" t="n">
        <v>318.67</v>
      </c>
      <c r="Q63" s="9" t="n">
        <v>82.02</v>
      </c>
      <c r="R63" s="9" t="n">
        <v>50.91</v>
      </c>
      <c r="S63" s="9" t="n">
        <v>98.61</v>
      </c>
      <c r="T63" s="9" t="n">
        <v>15.11</v>
      </c>
      <c r="U63" s="9" t="n">
        <v>32</v>
      </c>
      <c r="V63" s="9" t="n">
        <v>51.5</v>
      </c>
      <c r="W63" s="9" t="n">
        <v>78.17</v>
      </c>
      <c r="X63" s="9" t="n">
        <v>33.44</v>
      </c>
      <c r="Y63" s="9" t="n">
        <v>31.31</v>
      </c>
      <c r="Z63" s="9" t="n">
        <v>13.42</v>
      </c>
      <c r="AA63" s="9" t="n">
        <v>193.06</v>
      </c>
      <c r="AB63" s="9" t="n">
        <v>95.53</v>
      </c>
      <c r="AC63" s="9" t="n">
        <v>49.48</v>
      </c>
      <c r="AD63" s="9" t="n">
        <v>5.25</v>
      </c>
      <c r="AE63" s="9" t="n">
        <v>1.33</v>
      </c>
      <c r="AF63" s="9" t="n">
        <v>25.4</v>
      </c>
      <c r="AG63" s="9" t="n">
        <v>32.08</v>
      </c>
      <c r="AH63" s="9" t="n">
        <v>8.81</v>
      </c>
      <c r="AI63" s="9" t="n">
        <v>27.45</v>
      </c>
      <c r="AJ63" s="9" t="n">
        <v>0.97</v>
      </c>
      <c r="AK63" s="9" t="n">
        <v>0.44</v>
      </c>
      <c r="AL63" s="9" t="n">
        <v>45.71</v>
      </c>
      <c r="AM63" s="9" t="n">
        <v>27.22</v>
      </c>
      <c r="AN63" s="9" t="n">
        <v>4.53</v>
      </c>
      <c r="AO63" s="9" t="n">
        <v>16.63</v>
      </c>
      <c r="AP63" s="9" t="n">
        <v>6.58</v>
      </c>
      <c r="AQ63" s="9" t="n">
        <v>1.94</v>
      </c>
      <c r="AR63" s="9" t="n">
        <v>29.54</v>
      </c>
      <c r="AS63" s="9" t="n">
        <v>2.67</v>
      </c>
      <c r="AT63" s="9" t="n">
        <v>0.83</v>
      </c>
      <c r="AU63" s="9" t="n">
        <v>31.25</v>
      </c>
      <c r="AV63" s="9" t="n">
        <v>0.19</v>
      </c>
      <c r="AW63" s="9" t="n">
        <v>0.19</v>
      </c>
      <c r="AX63" s="9" t="n">
        <v>100</v>
      </c>
      <c r="AY63" s="9" t="n">
        <v>20.36</v>
      </c>
      <c r="AZ63" s="9" t="n">
        <v>7.81</v>
      </c>
      <c r="BA63" s="9" t="n">
        <v>38.34</v>
      </c>
      <c r="BB63" s="9" t="n">
        <v>7.47</v>
      </c>
      <c r="BC63" s="9" t="n">
        <v>8</v>
      </c>
      <c r="BD63" s="9" t="n">
        <v>30.11</v>
      </c>
      <c r="BE63" s="9" t="n">
        <v>5.31</v>
      </c>
      <c r="BF63" s="9" t="n">
        <v>12.97</v>
      </c>
      <c r="BG63" s="9" t="n">
        <v>20.47</v>
      </c>
      <c r="BH63" s="9" t="n">
        <v>67.67</v>
      </c>
      <c r="BI63" s="9" t="n">
        <v>28.44</v>
      </c>
      <c r="BJ63" s="9" t="n">
        <v>42.04</v>
      </c>
      <c r="BK63" s="9" t="n">
        <v>1.44</v>
      </c>
      <c r="BL63" s="9" t="n">
        <v>1.36</v>
      </c>
      <c r="BM63" s="9" t="n">
        <v>10.61</v>
      </c>
      <c r="BN63" s="9" t="n">
        <v>4.33</v>
      </c>
      <c r="BO63" s="9" t="n">
        <v>40.84</v>
      </c>
      <c r="BP63" s="9" t="n">
        <v>63.61</v>
      </c>
      <c r="BQ63" s="9" t="n">
        <v>39.08</v>
      </c>
      <c r="BR63" s="9" t="n">
        <v>61.44</v>
      </c>
      <c r="BS63" s="9" t="n">
        <v>35.28</v>
      </c>
      <c r="BT63" s="9" t="n">
        <v>16.86</v>
      </c>
      <c r="BU63" s="9" t="n">
        <v>47.8</v>
      </c>
      <c r="BV63" s="9" t="n">
        <v>3.31</v>
      </c>
      <c r="BW63" s="9" t="n">
        <v>1.61</v>
      </c>
      <c r="BX63" s="9" t="n">
        <v>48.74</v>
      </c>
      <c r="BY63" s="9" t="n">
        <v>33.22</v>
      </c>
      <c r="BZ63" s="9" t="n">
        <v>11.81</v>
      </c>
      <c r="CA63" s="9" t="n">
        <v>15.25</v>
      </c>
      <c r="CB63" s="9" t="n">
        <v>2.44</v>
      </c>
      <c r="CC63" s="9" t="n">
        <v>0.06</v>
      </c>
      <c r="CD63" s="9" t="n">
        <v>141.25</v>
      </c>
      <c r="CE63" s="9" t="n">
        <v>104.81</v>
      </c>
      <c r="CF63" s="9" t="n">
        <v>74.2</v>
      </c>
      <c r="CG63" s="9" t="n">
        <v>53.25</v>
      </c>
      <c r="CH63" s="9" t="n">
        <v>49.42</v>
      </c>
      <c r="CI63" s="9" t="n">
        <v>92.8</v>
      </c>
      <c r="CJ63" s="9" t="n">
        <v>144.78</v>
      </c>
      <c r="CK63" s="9" t="n">
        <v>126.44</v>
      </c>
      <c r="CL63" s="9" t="n">
        <v>87.34</v>
      </c>
      <c r="CM63" s="9" t="n">
        <v>43.44</v>
      </c>
      <c r="CN63" s="9" t="n">
        <v>23.78</v>
      </c>
      <c r="CO63" s="9" t="n">
        <v>54.73</v>
      </c>
      <c r="CP63" s="9" t="n">
        <v>57.69</v>
      </c>
      <c r="CQ63" s="9" t="n">
        <v>40</v>
      </c>
      <c r="CR63" s="9" t="n">
        <v>69.33</v>
      </c>
      <c r="CS63" s="9" t="n">
        <v>74.75</v>
      </c>
      <c r="CT63" s="9" t="n">
        <v>58.25</v>
      </c>
      <c r="CU63" s="9" t="n">
        <v>77.93000000000001</v>
      </c>
      <c r="CV63" s="9" t="n">
        <v>1.58</v>
      </c>
      <c r="CW63" s="9" t="n">
        <v>0.58</v>
      </c>
      <c r="CX63" s="9" t="n">
        <v>36.84</v>
      </c>
      <c r="CY63" s="9" t="n">
        <v>21.08</v>
      </c>
      <c r="CZ63" s="9" t="n">
        <v>19.64</v>
      </c>
      <c r="DA63" s="9" t="n">
        <v>93.15000000000001</v>
      </c>
      <c r="DB63" s="9" t="n">
        <v>6.75</v>
      </c>
      <c r="DC63" s="9" t="n">
        <v>15.35</v>
      </c>
      <c r="DD63" s="9" t="n">
        <v>3.72</v>
      </c>
      <c r="DE63" s="9" t="n">
        <v>11.58</v>
      </c>
      <c r="DF63" s="9" t="n">
        <v>17.49</v>
      </c>
      <c r="DG63" s="9" t="n">
        <v>20.75</v>
      </c>
      <c r="DH63" s="9" t="n">
        <v>10.17</v>
      </c>
      <c r="DI63" s="9" t="n">
        <v>1.36</v>
      </c>
      <c r="DJ63" s="9" t="n">
        <v>1.27</v>
      </c>
      <c r="DK63" s="9" t="n">
        <v>10.61</v>
      </c>
      <c r="DL63" s="9" t="n">
        <v>4.08</v>
      </c>
      <c r="DM63" s="9" t="n">
        <v>38.48</v>
      </c>
      <c r="DN63" s="9" t="n">
        <v>384.36</v>
      </c>
      <c r="DO63" s="9" t="n">
        <v>316.19</v>
      </c>
      <c r="DP63" s="9" t="n">
        <v>82.26000000000001</v>
      </c>
      <c r="DQ63" s="9" t="n">
        <v>49.09</v>
      </c>
      <c r="DR63" s="9" t="n">
        <v>102.44</v>
      </c>
      <c r="DS63" s="9" t="n">
        <v>22.42</v>
      </c>
      <c r="DT63" s="9" t="n">
        <v>37.75</v>
      </c>
      <c r="DU63" s="9" t="n">
        <v>42.28</v>
      </c>
      <c r="DV63" s="9" t="n">
        <v>74.22</v>
      </c>
      <c r="DW63" s="9" t="n">
        <v>38.72</v>
      </c>
      <c r="DX63" s="9" t="n">
        <v>26.06</v>
      </c>
      <c r="DY63" s="9" t="n">
        <v>9.44</v>
      </c>
      <c r="DZ63" s="9" t="n">
        <v>193.06</v>
      </c>
      <c r="EA63" s="9" t="n">
        <v>90.61</v>
      </c>
      <c r="EB63" s="9" t="n">
        <v>46.94</v>
      </c>
      <c r="EC63" s="9" t="n">
        <v>4.31</v>
      </c>
      <c r="ED63" s="9" t="n">
        <v>1.44</v>
      </c>
      <c r="EE63" s="9" t="n">
        <v>33.55</v>
      </c>
      <c r="EF63" s="9" t="n">
        <v>23.44</v>
      </c>
      <c r="EG63" s="9" t="n">
        <v>6.72</v>
      </c>
      <c r="EH63" s="9" t="n">
        <v>28.67</v>
      </c>
      <c r="EI63" s="9" t="n">
        <v>0.72</v>
      </c>
      <c r="EJ63" s="9" t="n">
        <v>0.33</v>
      </c>
      <c r="EK63" s="9" t="n">
        <v>46.15</v>
      </c>
      <c r="EL63" s="9" t="n">
        <v>27.89</v>
      </c>
      <c r="EM63" s="9" t="n">
        <v>2.94</v>
      </c>
      <c r="EN63" s="9" t="n">
        <v>10.56</v>
      </c>
      <c r="EO63" s="9" t="n">
        <v>3.69</v>
      </c>
      <c r="EP63" s="9" t="n">
        <v>0.86</v>
      </c>
      <c r="EQ63" s="9" t="n">
        <v>23.31</v>
      </c>
      <c r="ER63" s="9" t="n">
        <v>2.39</v>
      </c>
      <c r="ES63" s="9" t="n">
        <v>0.47</v>
      </c>
      <c r="ET63" s="9" t="n">
        <v>19.77</v>
      </c>
      <c r="EU63" s="9" t="n">
        <v>0.06</v>
      </c>
      <c r="EV63" s="9" t="n">
        <v>0.03</v>
      </c>
      <c r="EW63" s="9" t="n">
        <v>50</v>
      </c>
      <c r="EX63" s="9" t="n">
        <v>11.08</v>
      </c>
      <c r="EY63" s="9" t="n">
        <v>3.92</v>
      </c>
      <c r="EZ63" s="9" t="n">
        <v>35.34</v>
      </c>
      <c r="FA63" s="9" t="n">
        <v>3.78</v>
      </c>
      <c r="FB63" s="9" t="n">
        <v>5.92</v>
      </c>
      <c r="FC63" s="9" t="n">
        <v>19.97</v>
      </c>
      <c r="FD63" s="9" t="n">
        <v>3.44</v>
      </c>
      <c r="FE63" s="9" t="n">
        <v>7.03</v>
      </c>
      <c r="FF63" s="9" t="n">
        <v>14.06</v>
      </c>
      <c r="FG63" s="9" t="n">
        <v>63.61</v>
      </c>
      <c r="FH63" s="9" t="n">
        <v>24.53</v>
      </c>
      <c r="FI63" s="9" t="n">
        <v>38.56</v>
      </c>
      <c r="FJ63" s="9" t="n">
        <v>1.67</v>
      </c>
      <c r="FK63" s="9" t="n">
        <v>1.58</v>
      </c>
      <c r="FL63" s="9" t="n">
        <v>14.42</v>
      </c>
      <c r="FM63" s="9" t="n">
        <v>5.28</v>
      </c>
      <c r="FN63" s="9" t="n">
        <v>36.61</v>
      </c>
      <c r="FO63" s="9" t="n">
        <v>67.67</v>
      </c>
      <c r="FP63" s="9" t="n">
        <v>39.22</v>
      </c>
      <c r="FQ63" s="9" t="n">
        <v>57.96</v>
      </c>
      <c r="FR63" s="9" t="n">
        <v>35.28</v>
      </c>
      <c r="FS63" s="9" t="n">
        <v>16.11</v>
      </c>
      <c r="FT63" s="9" t="n">
        <v>45.67</v>
      </c>
      <c r="FU63" s="9" t="n">
        <v>4.47</v>
      </c>
      <c r="FV63" s="9" t="n">
        <v>2.22</v>
      </c>
      <c r="FW63" s="9" t="n">
        <v>49.69</v>
      </c>
      <c r="FX63" s="9" t="n">
        <v>39.61</v>
      </c>
      <c r="FY63" s="9" t="n">
        <v>16.03</v>
      </c>
      <c r="FZ63" s="9" t="n">
        <v>12.69</v>
      </c>
      <c r="GA63" s="9" t="n">
        <v>2.53</v>
      </c>
      <c r="GB63" s="9" t="n">
        <v>0.14</v>
      </c>
      <c r="GC63" s="9" t="n">
        <v>138.64</v>
      </c>
      <c r="GD63" s="9" t="n">
        <v>98.22</v>
      </c>
      <c r="GE63" s="9" t="n">
        <v>70.84999999999999</v>
      </c>
      <c r="GF63" s="9" t="n">
        <v>61.14</v>
      </c>
      <c r="GG63" s="9" t="n">
        <v>57.94</v>
      </c>
      <c r="GH63" s="9" t="n">
        <v>94.78</v>
      </c>
      <c r="GI63" s="9" t="n">
        <v>132.86</v>
      </c>
      <c r="GJ63" s="9" t="n">
        <v>117.81</v>
      </c>
      <c r="GK63" s="9" t="n">
        <v>88.67</v>
      </c>
      <c r="GL63" s="9" t="n">
        <v>48.94</v>
      </c>
      <c r="GM63" s="9" t="n">
        <v>25.11</v>
      </c>
      <c r="GN63" s="9" t="n">
        <v>51.31</v>
      </c>
      <c r="GO63" s="9" t="n">
        <v>48.31</v>
      </c>
      <c r="GP63" s="9" t="n">
        <v>29.72</v>
      </c>
      <c r="GQ63" s="9" t="n">
        <v>61.53</v>
      </c>
      <c r="GR63" s="9" t="n">
        <v>66.75</v>
      </c>
      <c r="GS63" s="9" t="n">
        <v>45.53</v>
      </c>
      <c r="GT63" s="9" t="n">
        <v>68.20999999999999</v>
      </c>
      <c r="GU63" s="9" t="n">
        <v>0.97</v>
      </c>
      <c r="GV63" s="9" t="n">
        <v>0.36</v>
      </c>
      <c r="GW63" s="9" t="n">
        <v>37.14</v>
      </c>
      <c r="GX63" s="9" t="n">
        <v>20.17</v>
      </c>
      <c r="GY63" s="9" t="n">
        <v>17.94</v>
      </c>
      <c r="GZ63" s="9" t="n">
        <v>88.98</v>
      </c>
      <c r="HA63" s="9" t="n">
        <v>9.279999999999999</v>
      </c>
      <c r="HB63" s="9" t="n">
        <v>15.71</v>
      </c>
      <c r="HC63" s="9" t="n">
        <v>3.75</v>
      </c>
      <c r="HD63" s="9" t="n">
        <v>13.2</v>
      </c>
      <c r="HE63" s="9" t="n">
        <v>18.23</v>
      </c>
      <c r="HF63" s="9" t="n">
        <v>20.48</v>
      </c>
      <c r="HG63" s="9" t="n">
        <v>11.44</v>
      </c>
    </row>
    <row r="64">
      <c r="A64" s="12" t="n">
        <v>2024</v>
      </c>
      <c r="B64" s="12" t="n">
        <v>46</v>
      </c>
      <c r="C64" s="5">
        <f>(B64-AVERAGE($B$2:$B$100))/_xlfn.STDEV.P($B$2:$B$100)</f>
        <v/>
      </c>
      <c r="D64" s="12" t="n">
        <v>6</v>
      </c>
      <c r="E64" s="6">
        <f>-D64</f>
        <v/>
      </c>
      <c r="F64" s="7">
        <f>(E64-AVERAGE($E$2:$E$100))/_xlfn.STDEV.P($E$2:$E$100)</f>
        <v/>
      </c>
      <c r="G64" s="7">
        <f>sum(0.5*C64)+(0.5*F64)</f>
        <v/>
      </c>
      <c r="H64" s="12" t="inlineStr">
        <is>
          <t>West</t>
        </is>
      </c>
      <c r="I64" s="8" t="inlineStr">
        <is>
          <t>Orange County SC</t>
        </is>
      </c>
      <c r="J64" s="9" t="n">
        <v>1.11</v>
      </c>
      <c r="K64" s="9" t="n">
        <v>1.07</v>
      </c>
      <c r="L64" s="9" t="n">
        <v>9.19</v>
      </c>
      <c r="M64" s="9" t="n">
        <v>3.17</v>
      </c>
      <c r="N64" s="9" t="n">
        <v>34.44</v>
      </c>
      <c r="O64" s="9" t="n">
        <v>394.06</v>
      </c>
      <c r="P64" s="9" t="n">
        <v>330.06</v>
      </c>
      <c r="Q64" s="9" t="n">
        <v>83.76000000000001</v>
      </c>
      <c r="R64" s="9" t="n">
        <v>46.09</v>
      </c>
      <c r="S64" s="9" t="n">
        <v>95.94</v>
      </c>
      <c r="T64" s="9" t="n">
        <v>22.25</v>
      </c>
      <c r="U64" s="9" t="n">
        <v>34.5</v>
      </c>
      <c r="V64" s="9" t="n">
        <v>39.19</v>
      </c>
      <c r="W64" s="9" t="n">
        <v>72.5</v>
      </c>
      <c r="X64" s="9" t="n">
        <v>37.92</v>
      </c>
      <c r="Y64" s="9" t="n">
        <v>25.19</v>
      </c>
      <c r="Z64" s="9" t="n">
        <v>9.390000000000001</v>
      </c>
      <c r="AA64" s="9" t="n">
        <v>184.61</v>
      </c>
      <c r="AB64" s="9" t="n">
        <v>89.75</v>
      </c>
      <c r="AC64" s="9" t="n">
        <v>48.62</v>
      </c>
      <c r="AD64" s="9" t="n">
        <v>3.53</v>
      </c>
      <c r="AE64" s="9" t="n">
        <v>0.97</v>
      </c>
      <c r="AF64" s="9" t="n">
        <v>27.56</v>
      </c>
      <c r="AG64" s="9" t="n">
        <v>23.14</v>
      </c>
      <c r="AH64" s="9" t="n">
        <v>5.58</v>
      </c>
      <c r="AI64" s="9" t="n">
        <v>24.13</v>
      </c>
      <c r="AJ64" s="9" t="n">
        <v>0.67</v>
      </c>
      <c r="AK64" s="9" t="n">
        <v>0.5</v>
      </c>
      <c r="AL64" s="9" t="n">
        <v>75</v>
      </c>
      <c r="AM64" s="9" t="n">
        <v>25.61</v>
      </c>
      <c r="AN64" s="9" t="n">
        <v>2.72</v>
      </c>
      <c r="AO64" s="9" t="n">
        <v>10.63</v>
      </c>
      <c r="AP64" s="9" t="n">
        <v>3.42</v>
      </c>
      <c r="AQ64" s="9" t="n">
        <v>1.11</v>
      </c>
      <c r="AR64" s="9" t="n">
        <v>32.52</v>
      </c>
      <c r="AS64" s="9" t="n">
        <v>2.64</v>
      </c>
      <c r="AT64" s="9" t="n">
        <v>0.5600000000000001</v>
      </c>
      <c r="AU64" s="9" t="n">
        <v>21.05</v>
      </c>
      <c r="AV64" s="9" t="n">
        <v>0.03</v>
      </c>
      <c r="AW64" s="9" t="n">
        <v>0.03</v>
      </c>
      <c r="AX64" s="9" t="n">
        <v>100</v>
      </c>
      <c r="AY64" s="9" t="n">
        <v>12.31</v>
      </c>
      <c r="AZ64" s="9" t="n">
        <v>4.14</v>
      </c>
      <c r="BA64" s="9" t="n">
        <v>33.63</v>
      </c>
      <c r="BB64" s="9" t="n">
        <v>4.22</v>
      </c>
      <c r="BC64" s="9" t="n">
        <v>5.61</v>
      </c>
      <c r="BD64" s="9" t="n">
        <v>19.61</v>
      </c>
      <c r="BE64" s="9" t="n">
        <v>3.19</v>
      </c>
      <c r="BF64" s="9" t="n">
        <v>7.44</v>
      </c>
      <c r="BG64" s="9" t="n">
        <v>13.36</v>
      </c>
      <c r="BH64" s="9" t="n">
        <v>60.58</v>
      </c>
      <c r="BI64" s="9" t="n">
        <v>22.72</v>
      </c>
      <c r="BJ64" s="9" t="n">
        <v>37.51</v>
      </c>
      <c r="BK64" s="9" t="n">
        <v>1.72</v>
      </c>
      <c r="BL64" s="9" t="n">
        <v>1.28</v>
      </c>
      <c r="BM64" s="9" t="n">
        <v>13.36</v>
      </c>
      <c r="BN64" s="9" t="n">
        <v>4.94</v>
      </c>
      <c r="BO64" s="9" t="n">
        <v>37.01</v>
      </c>
      <c r="BP64" s="9" t="n">
        <v>66.97</v>
      </c>
      <c r="BQ64" s="9" t="n">
        <v>41.61</v>
      </c>
      <c r="BR64" s="9" t="n">
        <v>62.13</v>
      </c>
      <c r="BS64" s="9" t="n">
        <v>34</v>
      </c>
      <c r="BT64" s="9" t="n">
        <v>16.78</v>
      </c>
      <c r="BU64" s="9" t="n">
        <v>49.35</v>
      </c>
      <c r="BV64" s="9" t="n">
        <v>2.78</v>
      </c>
      <c r="BW64" s="9" t="n">
        <v>1.28</v>
      </c>
      <c r="BX64" s="9" t="n">
        <v>46</v>
      </c>
      <c r="BY64" s="9" t="n">
        <v>37.25</v>
      </c>
      <c r="BZ64" s="9" t="n">
        <v>15.81</v>
      </c>
      <c r="CA64" s="9" t="n">
        <v>12.25</v>
      </c>
      <c r="CB64" s="9" t="n">
        <v>2.58</v>
      </c>
      <c r="CC64" s="9" t="n">
        <v>0.08</v>
      </c>
      <c r="CD64" s="9" t="n">
        <v>132</v>
      </c>
      <c r="CE64" s="9" t="n">
        <v>96.56</v>
      </c>
      <c r="CF64" s="9" t="n">
        <v>73.15000000000001</v>
      </c>
      <c r="CG64" s="9" t="n">
        <v>64.36</v>
      </c>
      <c r="CH64" s="9" t="n">
        <v>60.97</v>
      </c>
      <c r="CI64" s="9" t="n">
        <v>94.73</v>
      </c>
      <c r="CJ64" s="9" t="n">
        <v>146.08</v>
      </c>
      <c r="CK64" s="9" t="n">
        <v>130.42</v>
      </c>
      <c r="CL64" s="9" t="n">
        <v>89.28</v>
      </c>
      <c r="CM64" s="9" t="n">
        <v>47.92</v>
      </c>
      <c r="CN64" s="9" t="n">
        <v>25.75</v>
      </c>
      <c r="CO64" s="9" t="n">
        <v>53.74</v>
      </c>
      <c r="CP64" s="9" t="n">
        <v>48.31</v>
      </c>
      <c r="CQ64" s="9" t="n">
        <v>31.86</v>
      </c>
      <c r="CR64" s="9" t="n">
        <v>65.95999999999999</v>
      </c>
      <c r="CS64" s="9" t="n">
        <v>66.14</v>
      </c>
      <c r="CT64" s="9" t="n">
        <v>44.56</v>
      </c>
      <c r="CU64" s="9" t="n">
        <v>67.37</v>
      </c>
      <c r="CV64" s="9" t="n">
        <v>1.31</v>
      </c>
      <c r="CW64" s="9" t="n">
        <v>0.64</v>
      </c>
      <c r="CX64" s="9" t="n">
        <v>48.94</v>
      </c>
      <c r="CY64" s="9" t="n">
        <v>18.53</v>
      </c>
      <c r="CZ64" s="9" t="n">
        <v>16.22</v>
      </c>
      <c r="DA64" s="9" t="n">
        <v>87.56</v>
      </c>
      <c r="DB64" s="9" t="n">
        <v>8.609999999999999</v>
      </c>
      <c r="DC64" s="9" t="n">
        <v>16.24</v>
      </c>
      <c r="DD64" s="9" t="n">
        <v>3.98</v>
      </c>
      <c r="DE64" s="9" t="n">
        <v>12.61</v>
      </c>
      <c r="DF64" s="9" t="n">
        <v>17.77</v>
      </c>
      <c r="DG64" s="9" t="n">
        <v>20.3</v>
      </c>
      <c r="DH64" s="9" t="n">
        <v>15.56</v>
      </c>
      <c r="DI64" s="9" t="n">
        <v>1.28</v>
      </c>
      <c r="DJ64" s="9" t="n">
        <v>1.44</v>
      </c>
      <c r="DK64" s="9" t="n">
        <v>13.36</v>
      </c>
      <c r="DL64" s="9" t="n">
        <v>4.72</v>
      </c>
      <c r="DM64" s="9" t="n">
        <v>35.34</v>
      </c>
      <c r="DN64" s="9" t="n">
        <v>462.92</v>
      </c>
      <c r="DO64" s="9" t="n">
        <v>394.81</v>
      </c>
      <c r="DP64" s="9" t="n">
        <v>85.29000000000001</v>
      </c>
      <c r="DQ64" s="9" t="n">
        <v>53.91</v>
      </c>
      <c r="DR64" s="9" t="n">
        <v>95.25</v>
      </c>
      <c r="DS64" s="9" t="n">
        <v>15.33</v>
      </c>
      <c r="DT64" s="9" t="n">
        <v>29.58</v>
      </c>
      <c r="DU64" s="9" t="n">
        <v>50.33</v>
      </c>
      <c r="DV64" s="9" t="n">
        <v>73.19</v>
      </c>
      <c r="DW64" s="9" t="n">
        <v>30.14</v>
      </c>
      <c r="DX64" s="9" t="n">
        <v>28.67</v>
      </c>
      <c r="DY64" s="9" t="n">
        <v>14.39</v>
      </c>
      <c r="DZ64" s="9" t="n">
        <v>184.61</v>
      </c>
      <c r="EA64" s="9" t="n">
        <v>88.58</v>
      </c>
      <c r="EB64" s="9" t="n">
        <v>47.98</v>
      </c>
      <c r="EC64" s="9" t="n">
        <v>5.75</v>
      </c>
      <c r="ED64" s="9" t="n">
        <v>1.67</v>
      </c>
      <c r="EE64" s="9" t="n">
        <v>28.99</v>
      </c>
      <c r="EF64" s="9" t="n">
        <v>33.08</v>
      </c>
      <c r="EG64" s="9" t="n">
        <v>8.720000000000001</v>
      </c>
      <c r="EH64" s="9" t="n">
        <v>26.36</v>
      </c>
      <c r="EI64" s="9" t="n">
        <v>0.67</v>
      </c>
      <c r="EJ64" s="9" t="n">
        <v>0.36</v>
      </c>
      <c r="EK64" s="9" t="n">
        <v>54.17</v>
      </c>
      <c r="EL64" s="9" t="n">
        <v>25.86</v>
      </c>
      <c r="EM64" s="9" t="n">
        <v>3.72</v>
      </c>
      <c r="EN64" s="9" t="n">
        <v>14.39</v>
      </c>
      <c r="EO64" s="9" t="n">
        <v>5.08</v>
      </c>
      <c r="EP64" s="9" t="n">
        <v>1.5</v>
      </c>
      <c r="EQ64" s="9" t="n">
        <v>29.51</v>
      </c>
      <c r="ER64" s="9" t="n">
        <v>2.44</v>
      </c>
      <c r="ES64" s="9" t="n">
        <v>0.89</v>
      </c>
      <c r="ET64" s="9" t="n">
        <v>36.36</v>
      </c>
      <c r="EU64" s="9" t="n">
        <v>0.17</v>
      </c>
      <c r="EV64" s="9" t="n">
        <v>0.17</v>
      </c>
      <c r="EW64" s="9" t="n">
        <v>100</v>
      </c>
      <c r="EX64" s="9" t="n">
        <v>16.28</v>
      </c>
      <c r="EY64" s="9" t="n">
        <v>5.64</v>
      </c>
      <c r="EZ64" s="9" t="n">
        <v>34.64</v>
      </c>
      <c r="FA64" s="9" t="n">
        <v>5.39</v>
      </c>
      <c r="FB64" s="9" t="n">
        <v>7.94</v>
      </c>
      <c r="FC64" s="9" t="n">
        <v>25.97</v>
      </c>
      <c r="FD64" s="9" t="n">
        <v>3.94</v>
      </c>
      <c r="FE64" s="9" t="n">
        <v>9.859999999999999</v>
      </c>
      <c r="FF64" s="9" t="n">
        <v>18.11</v>
      </c>
      <c r="FG64" s="9" t="n">
        <v>66.97</v>
      </c>
      <c r="FH64" s="9" t="n">
        <v>25.36</v>
      </c>
      <c r="FI64" s="9" t="n">
        <v>37.87</v>
      </c>
      <c r="FJ64" s="9" t="n">
        <v>1.78</v>
      </c>
      <c r="FK64" s="9" t="n">
        <v>1.11</v>
      </c>
      <c r="FL64" s="9" t="n">
        <v>9.19</v>
      </c>
      <c r="FM64" s="9" t="n">
        <v>3.33</v>
      </c>
      <c r="FN64" s="9" t="n">
        <v>36.25</v>
      </c>
      <c r="FO64" s="9" t="n">
        <v>60.58</v>
      </c>
      <c r="FP64" s="9" t="n">
        <v>37.86</v>
      </c>
      <c r="FQ64" s="9" t="n">
        <v>62.49</v>
      </c>
      <c r="FR64" s="9" t="n">
        <v>34</v>
      </c>
      <c r="FS64" s="9" t="n">
        <v>14.58</v>
      </c>
      <c r="FT64" s="9" t="n">
        <v>42.89</v>
      </c>
      <c r="FU64" s="9" t="n">
        <v>3.17</v>
      </c>
      <c r="FV64" s="9" t="n">
        <v>1.47</v>
      </c>
      <c r="FW64" s="9" t="n">
        <v>46.49</v>
      </c>
      <c r="FX64" s="9" t="n">
        <v>33.69</v>
      </c>
      <c r="FY64" s="9" t="n">
        <v>12.47</v>
      </c>
      <c r="FZ64" s="9" t="n">
        <v>13.83</v>
      </c>
      <c r="GA64" s="9" t="n">
        <v>2.31</v>
      </c>
      <c r="GB64" s="9" t="n">
        <v>0.14</v>
      </c>
      <c r="GC64" s="9" t="n">
        <v>147.78</v>
      </c>
      <c r="GD64" s="9" t="n">
        <v>110.69</v>
      </c>
      <c r="GE64" s="9" t="n">
        <v>74.91</v>
      </c>
      <c r="GF64" s="9" t="n">
        <v>70.97</v>
      </c>
      <c r="GG64" s="9" t="n">
        <v>67.36</v>
      </c>
      <c r="GH64" s="9" t="n">
        <v>94.91</v>
      </c>
      <c r="GI64" s="9" t="n">
        <v>186.56</v>
      </c>
      <c r="GJ64" s="9" t="n">
        <v>169.19</v>
      </c>
      <c r="GK64" s="9" t="n">
        <v>90.69</v>
      </c>
      <c r="GL64" s="9" t="n">
        <v>50.11</v>
      </c>
      <c r="GM64" s="9" t="n">
        <v>27.58</v>
      </c>
      <c r="GN64" s="9" t="n">
        <v>55.04</v>
      </c>
      <c r="GO64" s="9" t="n">
        <v>61.58</v>
      </c>
      <c r="GP64" s="9" t="n">
        <v>43.61</v>
      </c>
      <c r="GQ64" s="9" t="n">
        <v>70.81999999999999</v>
      </c>
      <c r="GR64" s="9" t="n">
        <v>75.03</v>
      </c>
      <c r="GS64" s="9" t="n">
        <v>57.58</v>
      </c>
      <c r="GT64" s="9" t="n">
        <v>76.75</v>
      </c>
      <c r="GU64" s="9" t="n">
        <v>1.31</v>
      </c>
      <c r="GV64" s="9" t="n">
        <v>0.64</v>
      </c>
      <c r="GW64" s="9" t="n">
        <v>48.94</v>
      </c>
      <c r="GX64" s="9" t="n">
        <v>20.92</v>
      </c>
      <c r="GY64" s="9" t="n">
        <v>19.53</v>
      </c>
      <c r="GZ64" s="9" t="n">
        <v>93.36</v>
      </c>
      <c r="HA64" s="9" t="n">
        <v>7.72</v>
      </c>
      <c r="HB64" s="9" t="n">
        <v>16.48</v>
      </c>
      <c r="HC64" s="9" t="n">
        <v>4.64</v>
      </c>
      <c r="HD64" s="9" t="n">
        <v>11.07</v>
      </c>
      <c r="HE64" s="9" t="n">
        <v>19.05</v>
      </c>
      <c r="HF64" s="9" t="n">
        <v>20.56</v>
      </c>
      <c r="HG64" s="9" t="n">
        <v>10.37</v>
      </c>
    </row>
    <row r="65">
      <c r="A65" s="12" t="n">
        <v>2024</v>
      </c>
      <c r="B65" s="12" t="n">
        <v>48</v>
      </c>
      <c r="C65" s="5">
        <f>(B65-AVERAGE($B$2:$B$100))/_xlfn.STDEV.P($B$2:$B$100)</f>
        <v/>
      </c>
      <c r="D65" s="12" t="n">
        <v>7</v>
      </c>
      <c r="E65" s="6">
        <f>-D65</f>
        <v/>
      </c>
      <c r="F65" s="7">
        <f>(E65-AVERAGE($E$2:$E$100))/_xlfn.STDEV.P($E$2:$E$100)</f>
        <v/>
      </c>
      <c r="G65" s="7">
        <f>sum(0.5*C65)+(0.5*F65)</f>
        <v/>
      </c>
      <c r="H65" s="12" t="inlineStr">
        <is>
          <t>East</t>
        </is>
      </c>
      <c r="I65" s="8" t="inlineStr">
        <is>
          <t>Pittsburgh Riverhounds</t>
        </is>
      </c>
      <c r="J65" s="9" t="n">
        <v>1.17</v>
      </c>
      <c r="K65" s="9" t="n">
        <v>1.36</v>
      </c>
      <c r="L65" s="9" t="n">
        <v>10.11</v>
      </c>
      <c r="M65" s="9" t="n">
        <v>3.49</v>
      </c>
      <c r="N65" s="9" t="n">
        <v>34.46</v>
      </c>
      <c r="O65" s="9" t="n">
        <v>378.6</v>
      </c>
      <c r="P65" s="9" t="n">
        <v>294.03</v>
      </c>
      <c r="Q65" s="9" t="n">
        <v>77.66</v>
      </c>
      <c r="R65" s="9" t="n">
        <v>45.69</v>
      </c>
      <c r="S65" s="9" t="n">
        <v>118.97</v>
      </c>
      <c r="T65" s="9" t="n">
        <v>17.94</v>
      </c>
      <c r="U65" s="9" t="n">
        <v>44.94</v>
      </c>
      <c r="V65" s="9" t="n">
        <v>56.09</v>
      </c>
      <c r="W65" s="9" t="n">
        <v>89.48999999999999</v>
      </c>
      <c r="X65" s="9" t="n">
        <v>37.23</v>
      </c>
      <c r="Y65" s="9" t="n">
        <v>38.94</v>
      </c>
      <c r="Z65" s="9" t="n">
        <v>13.31</v>
      </c>
      <c r="AA65" s="9" t="n">
        <v>190.14</v>
      </c>
      <c r="AB65" s="9" t="n">
        <v>94.66</v>
      </c>
      <c r="AC65" s="9" t="n">
        <v>49.78</v>
      </c>
      <c r="AD65" s="9" t="n">
        <v>3.49</v>
      </c>
      <c r="AE65" s="9" t="n">
        <v>1.11</v>
      </c>
      <c r="AF65" s="9" t="n">
        <v>31.97</v>
      </c>
      <c r="AG65" s="9" t="n">
        <v>28.11</v>
      </c>
      <c r="AH65" s="9" t="n">
        <v>6.26</v>
      </c>
      <c r="AI65" s="9" t="n">
        <v>22.26</v>
      </c>
      <c r="AJ65" s="9" t="n">
        <v>0.74</v>
      </c>
      <c r="AK65" s="9" t="n">
        <v>0.29</v>
      </c>
      <c r="AL65" s="9" t="n">
        <v>38.46</v>
      </c>
      <c r="AM65" s="9" t="n">
        <v>24.74</v>
      </c>
      <c r="AN65" s="9" t="n">
        <v>3.03</v>
      </c>
      <c r="AO65" s="9" t="n">
        <v>12.24</v>
      </c>
      <c r="AP65" s="9" t="n">
        <v>4.86</v>
      </c>
      <c r="AQ65" s="9" t="n">
        <v>1.14</v>
      </c>
      <c r="AR65" s="9" t="n">
        <v>23.53</v>
      </c>
      <c r="AS65" s="9" t="n">
        <v>1.89</v>
      </c>
      <c r="AT65" s="9" t="n">
        <v>0.66</v>
      </c>
      <c r="AU65" s="9" t="n">
        <v>34.85</v>
      </c>
      <c r="AV65" s="9" t="n">
        <v>0.2</v>
      </c>
      <c r="AW65" s="9" t="n">
        <v>0.14</v>
      </c>
      <c r="AX65" s="9" t="n">
        <v>71.43000000000001</v>
      </c>
      <c r="AY65" s="9" t="n">
        <v>15.43</v>
      </c>
      <c r="AZ65" s="9" t="n">
        <v>5.51</v>
      </c>
      <c r="BA65" s="9" t="n">
        <v>35.74</v>
      </c>
      <c r="BB65" s="9" t="n">
        <v>5.66</v>
      </c>
      <c r="BC65" s="9" t="n">
        <v>8.31</v>
      </c>
      <c r="BD65" s="9" t="n">
        <v>26.34</v>
      </c>
      <c r="BE65" s="9" t="n">
        <v>3.46</v>
      </c>
      <c r="BF65" s="9" t="n">
        <v>8.970000000000001</v>
      </c>
      <c r="BG65" s="9" t="n">
        <v>18.8</v>
      </c>
      <c r="BH65" s="9" t="n">
        <v>55.6</v>
      </c>
      <c r="BI65" s="9" t="n">
        <v>21.91</v>
      </c>
      <c r="BJ65" s="9" t="n">
        <v>39.41</v>
      </c>
      <c r="BK65" s="9" t="n">
        <v>1.86</v>
      </c>
      <c r="BL65" s="9" t="n">
        <v>0.83</v>
      </c>
      <c r="BM65" s="9" t="n">
        <v>8.6</v>
      </c>
      <c r="BN65" s="9" t="n">
        <v>3.37</v>
      </c>
      <c r="BO65" s="9" t="n">
        <v>39.2</v>
      </c>
      <c r="BP65" s="9" t="n">
        <v>59.23</v>
      </c>
      <c r="BQ65" s="9" t="n">
        <v>38.51</v>
      </c>
      <c r="BR65" s="9" t="n">
        <v>65.03</v>
      </c>
      <c r="BS65" s="9" t="n">
        <v>46.66</v>
      </c>
      <c r="BT65" s="9" t="n">
        <v>21.34</v>
      </c>
      <c r="BU65" s="9" t="n">
        <v>45.74</v>
      </c>
      <c r="BV65" s="9" t="n">
        <v>3</v>
      </c>
      <c r="BW65" s="9" t="n">
        <v>1.31</v>
      </c>
      <c r="BX65" s="9" t="n">
        <v>43.81</v>
      </c>
      <c r="BY65" s="9" t="n">
        <v>38.89</v>
      </c>
      <c r="BZ65" s="9" t="n">
        <v>15.66</v>
      </c>
      <c r="CA65" s="9" t="n">
        <v>12</v>
      </c>
      <c r="CB65" s="9" t="n">
        <v>1.83</v>
      </c>
      <c r="CC65" s="9" t="n">
        <v>0.09</v>
      </c>
      <c r="CD65" s="9" t="n">
        <v>139.63</v>
      </c>
      <c r="CE65" s="9" t="n">
        <v>88.8</v>
      </c>
      <c r="CF65" s="9" t="n">
        <v>63.6</v>
      </c>
      <c r="CG65" s="9" t="n">
        <v>53.2</v>
      </c>
      <c r="CH65" s="9" t="n">
        <v>49.71</v>
      </c>
      <c r="CI65" s="9" t="n">
        <v>93.45</v>
      </c>
      <c r="CJ65" s="9" t="n">
        <v>136.97</v>
      </c>
      <c r="CK65" s="9" t="n">
        <v>118.2</v>
      </c>
      <c r="CL65" s="9" t="n">
        <v>86.3</v>
      </c>
      <c r="CM65" s="9" t="n">
        <v>57.26</v>
      </c>
      <c r="CN65" s="9" t="n">
        <v>27.66</v>
      </c>
      <c r="CO65" s="9" t="n">
        <v>48.3</v>
      </c>
      <c r="CP65" s="9" t="n">
        <v>56.46</v>
      </c>
      <c r="CQ65" s="9" t="n">
        <v>32.86</v>
      </c>
      <c r="CR65" s="9" t="n">
        <v>58.2</v>
      </c>
      <c r="CS65" s="9" t="n">
        <v>75.48999999999999</v>
      </c>
      <c r="CT65" s="9" t="n">
        <v>53.26</v>
      </c>
      <c r="CU65" s="9" t="n">
        <v>70.55</v>
      </c>
      <c r="CV65" s="9" t="n">
        <v>1.71</v>
      </c>
      <c r="CW65" s="9" t="n">
        <v>0.66</v>
      </c>
      <c r="CX65" s="9" t="n">
        <v>38.33</v>
      </c>
      <c r="CY65" s="9" t="n">
        <v>22.37</v>
      </c>
      <c r="CZ65" s="9" t="n">
        <v>19.66</v>
      </c>
      <c r="DA65" s="9" t="n">
        <v>87.87</v>
      </c>
      <c r="DB65" s="9" t="n">
        <v>6.97</v>
      </c>
      <c r="DC65" s="9" t="n">
        <v>15.84</v>
      </c>
      <c r="DD65" s="9" t="n">
        <v>3.55</v>
      </c>
      <c r="DE65" s="9" t="n">
        <v>15.87</v>
      </c>
      <c r="DF65" s="9" t="n">
        <v>17.36</v>
      </c>
      <c r="DG65" s="9" t="n">
        <v>21.26</v>
      </c>
      <c r="DH65" s="9" t="n">
        <v>12.87</v>
      </c>
      <c r="DI65" s="9" t="n">
        <v>0.83</v>
      </c>
      <c r="DJ65" s="9" t="n">
        <v>0.98</v>
      </c>
      <c r="DK65" s="9" t="n">
        <v>8.6</v>
      </c>
      <c r="DL65" s="9" t="n">
        <v>3.29</v>
      </c>
      <c r="DM65" s="9" t="n">
        <v>38.21</v>
      </c>
      <c r="DN65" s="9" t="n">
        <v>470.43</v>
      </c>
      <c r="DO65" s="9" t="n">
        <v>384.83</v>
      </c>
      <c r="DP65" s="9" t="n">
        <v>81.8</v>
      </c>
      <c r="DQ65" s="9" t="n">
        <v>54.31</v>
      </c>
      <c r="DR65" s="9" t="n">
        <v>123.43</v>
      </c>
      <c r="DS65" s="9" t="n">
        <v>21.63</v>
      </c>
      <c r="DT65" s="9" t="n">
        <v>49.14</v>
      </c>
      <c r="DU65" s="9" t="n">
        <v>52.66</v>
      </c>
      <c r="DV65" s="9" t="n">
        <v>88.73999999999999</v>
      </c>
      <c r="DW65" s="9" t="n">
        <v>40.57</v>
      </c>
      <c r="DX65" s="9" t="n">
        <v>37.8</v>
      </c>
      <c r="DY65" s="9" t="n">
        <v>10.37</v>
      </c>
      <c r="DZ65" s="9" t="n">
        <v>190.14</v>
      </c>
      <c r="EA65" s="9" t="n">
        <v>87.37</v>
      </c>
      <c r="EB65" s="9" t="n">
        <v>45.95</v>
      </c>
      <c r="EC65" s="9" t="n">
        <v>3.69</v>
      </c>
      <c r="ED65" s="9" t="n">
        <v>0.89</v>
      </c>
      <c r="EE65" s="9" t="n">
        <v>24.03</v>
      </c>
      <c r="EF65" s="9" t="n">
        <v>25.23</v>
      </c>
      <c r="EG65" s="9" t="n">
        <v>5.51</v>
      </c>
      <c r="EH65" s="9" t="n">
        <v>21.86</v>
      </c>
      <c r="EI65" s="9" t="n">
        <v>0.46</v>
      </c>
      <c r="EJ65" s="9" t="n">
        <v>0.26</v>
      </c>
      <c r="EK65" s="9" t="n">
        <v>56.25</v>
      </c>
      <c r="EL65" s="9" t="n">
        <v>24.46</v>
      </c>
      <c r="EM65" s="9" t="n">
        <v>2.37</v>
      </c>
      <c r="EN65" s="9" t="n">
        <v>9.699999999999999</v>
      </c>
      <c r="EO65" s="9" t="n">
        <v>3.6</v>
      </c>
      <c r="EP65" s="9" t="n">
        <v>0.83</v>
      </c>
      <c r="EQ65" s="9" t="n">
        <v>23.02</v>
      </c>
      <c r="ER65" s="9" t="n">
        <v>2.14</v>
      </c>
      <c r="ES65" s="9" t="n">
        <v>0.34</v>
      </c>
      <c r="ET65" s="9" t="n">
        <v>16</v>
      </c>
      <c r="EU65" s="9" t="n">
        <v>0.09</v>
      </c>
      <c r="EV65" s="9" t="n">
        <v>0.03</v>
      </c>
      <c r="EW65" s="9" t="n">
        <v>33.33</v>
      </c>
      <c r="EX65" s="9" t="n">
        <v>11.23</v>
      </c>
      <c r="EY65" s="9" t="n">
        <v>3.31</v>
      </c>
      <c r="EZ65" s="9" t="n">
        <v>29.52</v>
      </c>
      <c r="FA65" s="9" t="n">
        <v>3.2</v>
      </c>
      <c r="FB65" s="9" t="n">
        <v>4.86</v>
      </c>
      <c r="FC65" s="9" t="n">
        <v>19.17</v>
      </c>
      <c r="FD65" s="9" t="n">
        <v>2.31</v>
      </c>
      <c r="FE65" s="9" t="n">
        <v>7.11</v>
      </c>
      <c r="FF65" s="9" t="n">
        <v>10.63</v>
      </c>
      <c r="FG65" s="9" t="n">
        <v>59.23</v>
      </c>
      <c r="FH65" s="9" t="n">
        <v>20.71</v>
      </c>
      <c r="FI65" s="9" t="n">
        <v>34.97</v>
      </c>
      <c r="FJ65" s="9" t="n">
        <v>1.46</v>
      </c>
      <c r="FK65" s="9" t="n">
        <v>1.17</v>
      </c>
      <c r="FL65" s="9" t="n">
        <v>10.11</v>
      </c>
      <c r="FM65" s="9" t="n">
        <v>3.66</v>
      </c>
      <c r="FN65" s="9" t="n">
        <v>36.16</v>
      </c>
      <c r="FO65" s="9" t="n">
        <v>55.6</v>
      </c>
      <c r="FP65" s="9" t="n">
        <v>33.69</v>
      </c>
      <c r="FQ65" s="9" t="n">
        <v>60.59</v>
      </c>
      <c r="FR65" s="9" t="n">
        <v>46.66</v>
      </c>
      <c r="FS65" s="9" t="n">
        <v>21.69</v>
      </c>
      <c r="FT65" s="9" t="n">
        <v>46.48</v>
      </c>
      <c r="FU65" s="9" t="n">
        <v>2</v>
      </c>
      <c r="FV65" s="9" t="n">
        <v>1.09</v>
      </c>
      <c r="FW65" s="9" t="n">
        <v>54.29</v>
      </c>
      <c r="FX65" s="9" t="n">
        <v>39.26</v>
      </c>
      <c r="FY65" s="9" t="n">
        <v>14.6</v>
      </c>
      <c r="FZ65" s="9" t="n">
        <v>12.94</v>
      </c>
      <c r="GA65" s="9" t="n">
        <v>2.69</v>
      </c>
      <c r="GB65" s="9" t="n">
        <v>0.06</v>
      </c>
      <c r="GC65" s="9" t="n">
        <v>161.2</v>
      </c>
      <c r="GD65" s="9" t="n">
        <v>107.66</v>
      </c>
      <c r="GE65" s="9" t="n">
        <v>66.78</v>
      </c>
      <c r="GF65" s="9" t="n">
        <v>67.94</v>
      </c>
      <c r="GG65" s="9" t="n">
        <v>63.74</v>
      </c>
      <c r="GH65" s="9" t="n">
        <v>93.81999999999999</v>
      </c>
      <c r="GI65" s="9" t="n">
        <v>184.26</v>
      </c>
      <c r="GJ65" s="9" t="n">
        <v>167.8</v>
      </c>
      <c r="GK65" s="9" t="n">
        <v>91.06999999999999</v>
      </c>
      <c r="GL65" s="9" t="n">
        <v>59.23</v>
      </c>
      <c r="GM65" s="9" t="n">
        <v>29.17</v>
      </c>
      <c r="GN65" s="9" t="n">
        <v>49.25</v>
      </c>
      <c r="GO65" s="9" t="n">
        <v>59.37</v>
      </c>
      <c r="GP65" s="9" t="n">
        <v>36.03</v>
      </c>
      <c r="GQ65" s="9" t="n">
        <v>60.68</v>
      </c>
      <c r="GR65" s="9" t="n">
        <v>77.29000000000001</v>
      </c>
      <c r="GS65" s="9" t="n">
        <v>51.8</v>
      </c>
      <c r="GT65" s="9" t="n">
        <v>67.02</v>
      </c>
      <c r="GU65" s="9" t="n">
        <v>1.09</v>
      </c>
      <c r="GV65" s="9" t="n">
        <v>0.4</v>
      </c>
      <c r="GW65" s="9" t="n">
        <v>36.84</v>
      </c>
      <c r="GX65" s="9" t="n">
        <v>23.83</v>
      </c>
      <c r="GY65" s="9" t="n">
        <v>20.97</v>
      </c>
      <c r="GZ65" s="9" t="n">
        <v>88.01000000000001</v>
      </c>
      <c r="HA65" s="9" t="n">
        <v>8.460000000000001</v>
      </c>
      <c r="HB65" s="9" t="n">
        <v>16.49</v>
      </c>
      <c r="HC65" s="9" t="n">
        <v>4.42</v>
      </c>
      <c r="HD65" s="9" t="n">
        <v>13.52</v>
      </c>
      <c r="HE65" s="9" t="n">
        <v>18.15</v>
      </c>
      <c r="HF65" s="9" t="n">
        <v>20.87</v>
      </c>
      <c r="HG65" s="9" t="n">
        <v>11.45</v>
      </c>
    </row>
    <row r="66">
      <c r="A66" s="12" t="n">
        <v>2024</v>
      </c>
      <c r="B66" s="12" t="n">
        <v>44</v>
      </c>
      <c r="C66" s="5">
        <f>(B66-AVERAGE($B$2:$B$100))/_xlfn.STDEV.P($B$2:$B$100)</f>
        <v/>
      </c>
      <c r="D66" s="12" t="n">
        <v>7</v>
      </c>
      <c r="E66" s="6">
        <f>-D66</f>
        <v/>
      </c>
      <c r="F66" s="7">
        <f>(E66-AVERAGE($E$2:$E$100))/_xlfn.STDEV.P($E$2:$E$100)</f>
        <v/>
      </c>
      <c r="G66" s="7">
        <f>sum(0.5*C66)+(0.5*F66)</f>
        <v/>
      </c>
      <c r="H66" s="12" t="inlineStr">
        <is>
          <t>West</t>
        </is>
      </c>
      <c r="I66" s="8" t="inlineStr">
        <is>
          <t>Oakland Roots</t>
        </is>
      </c>
      <c r="J66" s="9" t="n">
        <v>1.06</v>
      </c>
      <c r="K66" s="9" t="n">
        <v>1.15</v>
      </c>
      <c r="L66" s="9" t="n">
        <v>9.91</v>
      </c>
      <c r="M66" s="9" t="n">
        <v>3.23</v>
      </c>
      <c r="N66" s="9" t="n">
        <v>32.56</v>
      </c>
      <c r="O66" s="9" t="n">
        <v>373.49</v>
      </c>
      <c r="P66" s="9" t="n">
        <v>301.77</v>
      </c>
      <c r="Q66" s="9" t="n">
        <v>80.8</v>
      </c>
      <c r="R66" s="9" t="n">
        <v>46.52</v>
      </c>
      <c r="S66" s="9" t="n">
        <v>103.46</v>
      </c>
      <c r="T66" s="9" t="n">
        <v>17.51</v>
      </c>
      <c r="U66" s="9" t="n">
        <v>38.31</v>
      </c>
      <c r="V66" s="9" t="n">
        <v>47.63</v>
      </c>
      <c r="W66" s="9" t="n">
        <v>79.43000000000001</v>
      </c>
      <c r="X66" s="9" t="n">
        <v>37.06</v>
      </c>
      <c r="Y66" s="9" t="n">
        <v>32.37</v>
      </c>
      <c r="Z66" s="9" t="n">
        <v>10</v>
      </c>
      <c r="AA66" s="9" t="n">
        <v>195</v>
      </c>
      <c r="AB66" s="9" t="n">
        <v>92.03</v>
      </c>
      <c r="AC66" s="9" t="n">
        <v>47.19</v>
      </c>
      <c r="AD66" s="9" t="n">
        <v>4.14</v>
      </c>
      <c r="AE66" s="9" t="n">
        <v>0.97</v>
      </c>
      <c r="AF66" s="9" t="n">
        <v>23.45</v>
      </c>
      <c r="AG66" s="9" t="n">
        <v>26.74</v>
      </c>
      <c r="AH66" s="9" t="n">
        <v>6.17</v>
      </c>
      <c r="AI66" s="9" t="n">
        <v>23.08</v>
      </c>
      <c r="AJ66" s="9" t="n">
        <v>0.89</v>
      </c>
      <c r="AK66" s="9" t="n">
        <v>0.49</v>
      </c>
      <c r="AL66" s="9" t="n">
        <v>54.84</v>
      </c>
      <c r="AM66" s="9" t="n">
        <v>26.46</v>
      </c>
      <c r="AN66" s="9" t="n">
        <v>2.8</v>
      </c>
      <c r="AO66" s="9" t="n">
        <v>10.58</v>
      </c>
      <c r="AP66" s="9" t="n">
        <v>3.91</v>
      </c>
      <c r="AQ66" s="9" t="n">
        <v>0.86</v>
      </c>
      <c r="AR66" s="9" t="n">
        <v>21.9</v>
      </c>
      <c r="AS66" s="9" t="n">
        <v>2.6</v>
      </c>
      <c r="AT66" s="9" t="n">
        <v>0.71</v>
      </c>
      <c r="AU66" s="9" t="n">
        <v>27.47</v>
      </c>
      <c r="AV66" s="9" t="n">
        <v>0.14</v>
      </c>
      <c r="AW66" s="9" t="n">
        <v>0.09</v>
      </c>
      <c r="AX66" s="9" t="n">
        <v>60</v>
      </c>
      <c r="AY66" s="9" t="n">
        <v>11.83</v>
      </c>
      <c r="AZ66" s="9" t="n">
        <v>3.4</v>
      </c>
      <c r="BA66" s="9" t="n">
        <v>28.74</v>
      </c>
      <c r="BB66" s="9" t="n">
        <v>3.54</v>
      </c>
      <c r="BC66" s="9" t="n">
        <v>6.06</v>
      </c>
      <c r="BD66" s="9" t="n">
        <v>21.6</v>
      </c>
      <c r="BE66" s="9" t="n">
        <v>2.46</v>
      </c>
      <c r="BF66" s="9" t="n">
        <v>7.6</v>
      </c>
      <c r="BG66" s="9" t="n">
        <v>13.57</v>
      </c>
      <c r="BH66" s="9" t="n">
        <v>62.14</v>
      </c>
      <c r="BI66" s="9" t="n">
        <v>22.09</v>
      </c>
      <c r="BJ66" s="9" t="n">
        <v>35.54</v>
      </c>
      <c r="BK66" s="9" t="n">
        <v>2.4</v>
      </c>
      <c r="BL66" s="9" t="n">
        <v>1.69</v>
      </c>
      <c r="BM66" s="9" t="n">
        <v>11.2</v>
      </c>
      <c r="BN66" s="9" t="n">
        <v>4.57</v>
      </c>
      <c r="BO66" s="9" t="n">
        <v>40.82</v>
      </c>
      <c r="BP66" s="9" t="n">
        <v>67.29000000000001</v>
      </c>
      <c r="BQ66" s="9" t="n">
        <v>40.4</v>
      </c>
      <c r="BR66" s="9" t="n">
        <v>60.04</v>
      </c>
      <c r="BS66" s="9" t="n">
        <v>35.77</v>
      </c>
      <c r="BT66" s="9" t="n">
        <v>16.06</v>
      </c>
      <c r="BU66" s="9" t="n">
        <v>44.89</v>
      </c>
      <c r="BV66" s="9" t="n">
        <v>2.69</v>
      </c>
      <c r="BW66" s="9" t="n">
        <v>1.31</v>
      </c>
      <c r="BX66" s="9" t="n">
        <v>48.94</v>
      </c>
      <c r="BY66" s="9" t="n">
        <v>37.83</v>
      </c>
      <c r="BZ66" s="9" t="n">
        <v>13.2</v>
      </c>
      <c r="CA66" s="9" t="n">
        <v>13.4</v>
      </c>
      <c r="CB66" s="9" t="n">
        <v>2.66</v>
      </c>
      <c r="CC66" s="9" t="n">
        <v>0.17</v>
      </c>
      <c r="CD66" s="9" t="n">
        <v>132.69</v>
      </c>
      <c r="CE66" s="9" t="n">
        <v>91.14</v>
      </c>
      <c r="CF66" s="9" t="n">
        <v>68.69</v>
      </c>
      <c r="CG66" s="9" t="n">
        <v>58.09</v>
      </c>
      <c r="CH66" s="9" t="n">
        <v>54.6</v>
      </c>
      <c r="CI66" s="9" t="n">
        <v>94</v>
      </c>
      <c r="CJ66" s="9" t="n">
        <v>133.51</v>
      </c>
      <c r="CK66" s="9" t="n">
        <v>117.23</v>
      </c>
      <c r="CL66" s="9" t="n">
        <v>87.8</v>
      </c>
      <c r="CM66" s="9" t="n">
        <v>53.97</v>
      </c>
      <c r="CN66" s="9" t="n">
        <v>27.91</v>
      </c>
      <c r="CO66" s="9" t="n">
        <v>51.72</v>
      </c>
      <c r="CP66" s="9" t="n">
        <v>54.49</v>
      </c>
      <c r="CQ66" s="9" t="n">
        <v>34.03</v>
      </c>
      <c r="CR66" s="9" t="n">
        <v>62.45</v>
      </c>
      <c r="CS66" s="9" t="n">
        <v>70.77</v>
      </c>
      <c r="CT66" s="9" t="n">
        <v>50.09</v>
      </c>
      <c r="CU66" s="9" t="n">
        <v>70.77</v>
      </c>
      <c r="CV66" s="9" t="n">
        <v>1.57</v>
      </c>
      <c r="CW66" s="9" t="n">
        <v>0.6</v>
      </c>
      <c r="CX66" s="9" t="n">
        <v>38.18</v>
      </c>
      <c r="CY66" s="9" t="n">
        <v>19.94</v>
      </c>
      <c r="CZ66" s="9" t="n">
        <v>17.97</v>
      </c>
      <c r="DA66" s="9" t="n">
        <v>90.11</v>
      </c>
      <c r="DB66" s="9" t="n">
        <v>8.06</v>
      </c>
      <c r="DC66" s="9" t="n">
        <v>15.83</v>
      </c>
      <c r="DD66" s="9" t="n">
        <v>3.59</v>
      </c>
      <c r="DE66" s="9" t="n">
        <v>15.02</v>
      </c>
      <c r="DF66" s="9" t="n">
        <v>19.28</v>
      </c>
      <c r="DG66" s="9" t="n">
        <v>21.02</v>
      </c>
      <c r="DH66" s="9" t="n">
        <v>11.61</v>
      </c>
      <c r="DI66" s="9" t="n">
        <v>1.69</v>
      </c>
      <c r="DJ66" s="9" t="n">
        <v>1.38</v>
      </c>
      <c r="DK66" s="9" t="n">
        <v>11.2</v>
      </c>
      <c r="DL66" s="9" t="n">
        <v>4.49</v>
      </c>
      <c r="DM66" s="9" t="n">
        <v>40.05</v>
      </c>
      <c r="DN66" s="9" t="n">
        <v>426.71</v>
      </c>
      <c r="DO66" s="9" t="n">
        <v>354.2</v>
      </c>
      <c r="DP66" s="9" t="n">
        <v>83.01000000000001</v>
      </c>
      <c r="DQ66" s="9" t="n">
        <v>53.48</v>
      </c>
      <c r="DR66" s="9" t="n">
        <v>104.31</v>
      </c>
      <c r="DS66" s="9" t="n">
        <v>18.09</v>
      </c>
      <c r="DT66" s="9" t="n">
        <v>37.17</v>
      </c>
      <c r="DU66" s="9" t="n">
        <v>49.06</v>
      </c>
      <c r="DV66" s="9" t="n">
        <v>79.70999999999999</v>
      </c>
      <c r="DW66" s="9" t="n">
        <v>36.37</v>
      </c>
      <c r="DX66" s="9" t="n">
        <v>32.31</v>
      </c>
      <c r="DY66" s="9" t="n">
        <v>11.03</v>
      </c>
      <c r="DZ66" s="9" t="n">
        <v>195</v>
      </c>
      <c r="EA66" s="9" t="n">
        <v>94.8</v>
      </c>
      <c r="EB66" s="9" t="n">
        <v>48.62</v>
      </c>
      <c r="EC66" s="9" t="n">
        <v>4.77</v>
      </c>
      <c r="ED66" s="9" t="n">
        <v>1.63</v>
      </c>
      <c r="EE66" s="9" t="n">
        <v>34.13</v>
      </c>
      <c r="EF66" s="9" t="n">
        <v>28.46</v>
      </c>
      <c r="EG66" s="9" t="n">
        <v>6.94</v>
      </c>
      <c r="EH66" s="9" t="n">
        <v>24.4</v>
      </c>
      <c r="EI66" s="9" t="n">
        <v>1.03</v>
      </c>
      <c r="EJ66" s="9" t="n">
        <v>0.49</v>
      </c>
      <c r="EK66" s="9" t="n">
        <v>47.22</v>
      </c>
      <c r="EL66" s="9" t="n">
        <v>27.26</v>
      </c>
      <c r="EM66" s="9" t="n">
        <v>3.2</v>
      </c>
      <c r="EN66" s="9" t="n">
        <v>11.74</v>
      </c>
      <c r="EO66" s="9" t="n">
        <v>5</v>
      </c>
      <c r="EP66" s="9" t="n">
        <v>1.2</v>
      </c>
      <c r="EQ66" s="9" t="n">
        <v>24</v>
      </c>
      <c r="ER66" s="9" t="n">
        <v>1.94</v>
      </c>
      <c r="ES66" s="9" t="n">
        <v>0.37</v>
      </c>
      <c r="ET66" s="9" t="n">
        <v>19.12</v>
      </c>
      <c r="EU66" s="9" t="n">
        <v>0.11</v>
      </c>
      <c r="EV66" s="9" t="n">
        <v>0.11</v>
      </c>
      <c r="EW66" s="9" t="n">
        <v>100</v>
      </c>
      <c r="EX66" s="9" t="n">
        <v>15.51</v>
      </c>
      <c r="EY66" s="9" t="n">
        <v>4.97</v>
      </c>
      <c r="EZ66" s="9" t="n">
        <v>32.04</v>
      </c>
      <c r="FA66" s="9" t="n">
        <v>4.89</v>
      </c>
      <c r="FB66" s="9" t="n">
        <v>7.2</v>
      </c>
      <c r="FC66" s="9" t="n">
        <v>24.83</v>
      </c>
      <c r="FD66" s="9" t="n">
        <v>4</v>
      </c>
      <c r="FE66" s="9" t="n">
        <v>9.460000000000001</v>
      </c>
      <c r="FF66" s="9" t="n">
        <v>17.17</v>
      </c>
      <c r="FG66" s="9" t="n">
        <v>67.29000000000001</v>
      </c>
      <c r="FH66" s="9" t="n">
        <v>26.89</v>
      </c>
      <c r="FI66" s="9" t="n">
        <v>39.96</v>
      </c>
      <c r="FJ66" s="9" t="n">
        <v>1.77</v>
      </c>
      <c r="FK66" s="9" t="n">
        <v>1.06</v>
      </c>
      <c r="FL66" s="9" t="n">
        <v>9.91</v>
      </c>
      <c r="FM66" s="9" t="n">
        <v>3.31</v>
      </c>
      <c r="FN66" s="9" t="n">
        <v>33.43</v>
      </c>
      <c r="FO66" s="9" t="n">
        <v>62.14</v>
      </c>
      <c r="FP66" s="9" t="n">
        <v>40.06</v>
      </c>
      <c r="FQ66" s="9" t="n">
        <v>64.45999999999999</v>
      </c>
      <c r="FR66" s="9" t="n">
        <v>35.77</v>
      </c>
      <c r="FS66" s="9" t="n">
        <v>16.31</v>
      </c>
      <c r="FT66" s="9" t="n">
        <v>45.61</v>
      </c>
      <c r="FU66" s="9" t="n">
        <v>2.34</v>
      </c>
      <c r="FV66" s="9" t="n">
        <v>1.31</v>
      </c>
      <c r="FW66" s="9" t="n">
        <v>56.1</v>
      </c>
      <c r="FX66" s="9" t="n">
        <v>36.03</v>
      </c>
      <c r="FY66" s="9" t="n">
        <v>14.37</v>
      </c>
      <c r="FZ66" s="9" t="n">
        <v>14.54</v>
      </c>
      <c r="GA66" s="9" t="n">
        <v>2.83</v>
      </c>
      <c r="GB66" s="9" t="n">
        <v>0.14</v>
      </c>
      <c r="GC66" s="9" t="n">
        <v>148.6</v>
      </c>
      <c r="GD66" s="9" t="n">
        <v>109</v>
      </c>
      <c r="GE66" s="9" t="n">
        <v>73.34999999999999</v>
      </c>
      <c r="GF66" s="9" t="n">
        <v>66.66</v>
      </c>
      <c r="GG66" s="9" t="n">
        <v>63.17</v>
      </c>
      <c r="GH66" s="9" t="n">
        <v>94.77</v>
      </c>
      <c r="GI66" s="9" t="n">
        <v>154.91</v>
      </c>
      <c r="GJ66" s="9" t="n">
        <v>135.91</v>
      </c>
      <c r="GK66" s="9" t="n">
        <v>87.73999999999999</v>
      </c>
      <c r="GL66" s="9" t="n">
        <v>51.03</v>
      </c>
      <c r="GM66" s="9" t="n">
        <v>27.54</v>
      </c>
      <c r="GN66" s="9" t="n">
        <v>53.98</v>
      </c>
      <c r="GO66" s="9" t="n">
        <v>57.09</v>
      </c>
      <c r="GP66" s="9" t="n">
        <v>38.51</v>
      </c>
      <c r="GQ66" s="9" t="n">
        <v>67.47</v>
      </c>
      <c r="GR66" s="9" t="n">
        <v>75.77</v>
      </c>
      <c r="GS66" s="9" t="n">
        <v>55.89</v>
      </c>
      <c r="GT66" s="9" t="n">
        <v>73.76000000000001</v>
      </c>
      <c r="GU66" s="9" t="n">
        <v>1.43</v>
      </c>
      <c r="GV66" s="9" t="n">
        <v>0.6</v>
      </c>
      <c r="GW66" s="9" t="n">
        <v>42</v>
      </c>
      <c r="GX66" s="9" t="n">
        <v>19.29</v>
      </c>
      <c r="GY66" s="9" t="n">
        <v>17.49</v>
      </c>
      <c r="GZ66" s="9" t="n">
        <v>90.67</v>
      </c>
      <c r="HA66" s="9" t="n">
        <v>7.71</v>
      </c>
      <c r="HB66" s="9" t="n">
        <v>15.78</v>
      </c>
      <c r="HC66" s="9" t="n">
        <v>4.12</v>
      </c>
      <c r="HD66" s="9" t="n">
        <v>12.43</v>
      </c>
      <c r="HE66" s="9" t="n">
        <v>18.69</v>
      </c>
      <c r="HF66" s="9" t="n">
        <v>20.05</v>
      </c>
      <c r="HG66" s="9" t="n">
        <v>9.56</v>
      </c>
    </row>
    <row r="67">
      <c r="A67" s="12" t="n">
        <v>2024</v>
      </c>
      <c r="B67" s="12" t="n">
        <v>48</v>
      </c>
      <c r="C67" s="5">
        <f>(B67-AVERAGE($B$2:$B$100))/_xlfn.STDEV.P($B$2:$B$100)</f>
        <v/>
      </c>
      <c r="D67" s="12" t="n">
        <v>8</v>
      </c>
      <c r="E67" s="6">
        <f>-D67</f>
        <v/>
      </c>
      <c r="F67" s="7">
        <f>(E67-AVERAGE($E$2:$E$100))/_xlfn.STDEV.P($E$2:$E$100)</f>
        <v/>
      </c>
      <c r="G67" s="7">
        <f>sum(0.5*C67)+(0.5*F67)</f>
        <v/>
      </c>
      <c r="H67" s="12" t="inlineStr">
        <is>
          <t>East</t>
        </is>
      </c>
      <c r="I67" s="8" t="inlineStr">
        <is>
          <t>North Carolina FC</t>
        </is>
      </c>
      <c r="J67" s="9" t="n">
        <v>1.6</v>
      </c>
      <c r="K67" s="9" t="n">
        <v>1.39</v>
      </c>
      <c r="L67" s="9" t="n">
        <v>11.6</v>
      </c>
      <c r="M67" s="9" t="n">
        <v>4.06</v>
      </c>
      <c r="N67" s="9" t="n">
        <v>34.98</v>
      </c>
      <c r="O67" s="9" t="n">
        <v>378.4</v>
      </c>
      <c r="P67" s="9" t="n">
        <v>314.71</v>
      </c>
      <c r="Q67" s="9" t="n">
        <v>83.17</v>
      </c>
      <c r="R67" s="9" t="n">
        <v>46.54</v>
      </c>
      <c r="S67" s="9" t="n">
        <v>98.29000000000001</v>
      </c>
      <c r="T67" s="9" t="n">
        <v>18.06</v>
      </c>
      <c r="U67" s="9" t="n">
        <v>37.66</v>
      </c>
      <c r="V67" s="9" t="n">
        <v>42.57</v>
      </c>
      <c r="W67" s="9" t="n">
        <v>72.70999999999999</v>
      </c>
      <c r="X67" s="9" t="n">
        <v>34.29</v>
      </c>
      <c r="Y67" s="9" t="n">
        <v>26.91</v>
      </c>
      <c r="Z67" s="9" t="n">
        <v>11.51</v>
      </c>
      <c r="AA67" s="9" t="n">
        <v>175.89</v>
      </c>
      <c r="AB67" s="9" t="n">
        <v>84.54000000000001</v>
      </c>
      <c r="AC67" s="9" t="n">
        <v>48.07</v>
      </c>
      <c r="AD67" s="9" t="n">
        <v>4.77</v>
      </c>
      <c r="AE67" s="9" t="n">
        <v>1.14</v>
      </c>
      <c r="AF67" s="9" t="n">
        <v>23.95</v>
      </c>
      <c r="AG67" s="9" t="n">
        <v>24.23</v>
      </c>
      <c r="AH67" s="9" t="n">
        <v>7.03</v>
      </c>
      <c r="AI67" s="9" t="n">
        <v>29.01</v>
      </c>
      <c r="AJ67" s="9" t="n">
        <v>1.09</v>
      </c>
      <c r="AK67" s="9" t="n">
        <v>0.57</v>
      </c>
      <c r="AL67" s="9" t="n">
        <v>52.63</v>
      </c>
      <c r="AM67" s="9" t="n">
        <v>26.74</v>
      </c>
      <c r="AN67" s="9" t="n">
        <v>3.29</v>
      </c>
      <c r="AO67" s="9" t="n">
        <v>12.29</v>
      </c>
      <c r="AP67" s="9" t="n">
        <v>4.57</v>
      </c>
      <c r="AQ67" s="9" t="n">
        <v>1.46</v>
      </c>
      <c r="AR67" s="9" t="n">
        <v>31.88</v>
      </c>
      <c r="AS67" s="9" t="n">
        <v>2.66</v>
      </c>
      <c r="AT67" s="9" t="n">
        <v>0.49</v>
      </c>
      <c r="AU67" s="9" t="n">
        <v>18.28</v>
      </c>
      <c r="AV67" s="9" t="n">
        <v>0.17</v>
      </c>
      <c r="AW67" s="9" t="n">
        <v>0.14</v>
      </c>
      <c r="AX67" s="9" t="n">
        <v>83.33</v>
      </c>
      <c r="AY67" s="9" t="n">
        <v>11.2</v>
      </c>
      <c r="AZ67" s="9" t="n">
        <v>3.69</v>
      </c>
      <c r="BA67" s="9" t="n">
        <v>32.91</v>
      </c>
      <c r="BB67" s="9" t="n">
        <v>3.63</v>
      </c>
      <c r="BC67" s="9" t="n">
        <v>5.66</v>
      </c>
      <c r="BD67" s="9" t="n">
        <v>19.8</v>
      </c>
      <c r="BE67" s="9" t="n">
        <v>4.26</v>
      </c>
      <c r="BF67" s="9" t="n">
        <v>6.57</v>
      </c>
      <c r="BG67" s="9" t="n">
        <v>16.06</v>
      </c>
      <c r="BH67" s="9" t="n">
        <v>60.2</v>
      </c>
      <c r="BI67" s="9" t="n">
        <v>24.91</v>
      </c>
      <c r="BJ67" s="9" t="n">
        <v>41.39</v>
      </c>
      <c r="BK67" s="9" t="n">
        <v>1.43</v>
      </c>
      <c r="BL67" s="9" t="n">
        <v>1.31</v>
      </c>
      <c r="BM67" s="9" t="n">
        <v>8.890000000000001</v>
      </c>
      <c r="BN67" s="9" t="n">
        <v>3.51</v>
      </c>
      <c r="BO67" s="9" t="n">
        <v>39.55</v>
      </c>
      <c r="BP67" s="9" t="n">
        <v>55.83</v>
      </c>
      <c r="BQ67" s="9" t="n">
        <v>34.43</v>
      </c>
      <c r="BR67" s="9" t="n">
        <v>61.67</v>
      </c>
      <c r="BS67" s="9" t="n">
        <v>35.57</v>
      </c>
      <c r="BT67" s="9" t="n">
        <v>15.37</v>
      </c>
      <c r="BU67" s="9" t="n">
        <v>43.21</v>
      </c>
      <c r="BV67" s="9" t="n">
        <v>3.23</v>
      </c>
      <c r="BW67" s="9" t="n">
        <v>1.71</v>
      </c>
      <c r="BX67" s="9" t="n">
        <v>53.1</v>
      </c>
      <c r="BY67" s="9" t="n">
        <v>36.77</v>
      </c>
      <c r="BZ67" s="9" t="n">
        <v>14.54</v>
      </c>
      <c r="CA67" s="9" t="n">
        <v>12.8</v>
      </c>
      <c r="CB67" s="9" t="n">
        <v>2.37</v>
      </c>
      <c r="CC67" s="9" t="n">
        <v>0.11</v>
      </c>
      <c r="CD67" s="9" t="n">
        <v>129.26</v>
      </c>
      <c r="CE67" s="9" t="n">
        <v>93.54000000000001</v>
      </c>
      <c r="CF67" s="9" t="n">
        <v>72.37</v>
      </c>
      <c r="CG67" s="9" t="n">
        <v>57.89</v>
      </c>
      <c r="CH67" s="9" t="n">
        <v>54.29</v>
      </c>
      <c r="CI67" s="9" t="n">
        <v>93.78</v>
      </c>
      <c r="CJ67" s="9" t="n">
        <v>140.51</v>
      </c>
      <c r="CK67" s="9" t="n">
        <v>125.31</v>
      </c>
      <c r="CL67" s="9" t="n">
        <v>89.18000000000001</v>
      </c>
      <c r="CM67" s="9" t="n">
        <v>39.94</v>
      </c>
      <c r="CN67" s="9" t="n">
        <v>21.06</v>
      </c>
      <c r="CO67" s="9" t="n">
        <v>52.72</v>
      </c>
      <c r="CP67" s="9" t="n">
        <v>45.97</v>
      </c>
      <c r="CQ67" s="9" t="n">
        <v>30.77</v>
      </c>
      <c r="CR67" s="9" t="n">
        <v>66.94</v>
      </c>
      <c r="CS67" s="9" t="n">
        <v>64.2</v>
      </c>
      <c r="CT67" s="9" t="n">
        <v>45.77</v>
      </c>
      <c r="CU67" s="9" t="n">
        <v>71.3</v>
      </c>
      <c r="CV67" s="9" t="n">
        <v>2.11</v>
      </c>
      <c r="CW67" s="9" t="n">
        <v>0.86</v>
      </c>
      <c r="CX67" s="9" t="n">
        <v>40.54</v>
      </c>
      <c r="CY67" s="9" t="n">
        <v>18.66</v>
      </c>
      <c r="CZ67" s="9" t="n">
        <v>15.26</v>
      </c>
      <c r="DA67" s="9" t="n">
        <v>81.78</v>
      </c>
      <c r="DB67" s="9" t="n">
        <v>7.54</v>
      </c>
      <c r="DC67" s="9" t="n">
        <v>15.99</v>
      </c>
      <c r="DD67" s="9" t="n">
        <v>3.84</v>
      </c>
      <c r="DE67" s="9" t="n">
        <v>11.12</v>
      </c>
      <c r="DF67" s="9" t="n">
        <v>18.36</v>
      </c>
      <c r="DG67" s="9" t="n">
        <v>19.76</v>
      </c>
      <c r="DH67" s="9" t="n">
        <v>13.52</v>
      </c>
      <c r="DI67" s="9" t="n">
        <v>1.31</v>
      </c>
      <c r="DJ67" s="9" t="n">
        <v>1.05</v>
      </c>
      <c r="DK67" s="9" t="n">
        <v>8.890000000000001</v>
      </c>
      <c r="DL67" s="9" t="n">
        <v>3.26</v>
      </c>
      <c r="DM67" s="9" t="n">
        <v>36.66</v>
      </c>
      <c r="DN67" s="9" t="n">
        <v>439.34</v>
      </c>
      <c r="DO67" s="9" t="n">
        <v>365.57</v>
      </c>
      <c r="DP67" s="9" t="n">
        <v>83.20999999999999</v>
      </c>
      <c r="DQ67" s="9" t="n">
        <v>53.46</v>
      </c>
      <c r="DR67" s="9" t="n">
        <v>99.89</v>
      </c>
      <c r="DS67" s="9" t="n">
        <v>17.46</v>
      </c>
      <c r="DT67" s="9" t="n">
        <v>34.23</v>
      </c>
      <c r="DU67" s="9" t="n">
        <v>48.2</v>
      </c>
      <c r="DV67" s="9" t="n">
        <v>73.29000000000001</v>
      </c>
      <c r="DW67" s="9" t="n">
        <v>31.09</v>
      </c>
      <c r="DX67" s="9" t="n">
        <v>32.26</v>
      </c>
      <c r="DY67" s="9" t="n">
        <v>9.94</v>
      </c>
      <c r="DZ67" s="9" t="n">
        <v>175.89</v>
      </c>
      <c r="EA67" s="9" t="n">
        <v>84.23</v>
      </c>
      <c r="EB67" s="9" t="n">
        <v>47.89</v>
      </c>
      <c r="EC67" s="9" t="n">
        <v>4.06</v>
      </c>
      <c r="ED67" s="9" t="n">
        <v>1.34</v>
      </c>
      <c r="EE67" s="9" t="n">
        <v>33.1</v>
      </c>
      <c r="EF67" s="9" t="n">
        <v>26.63</v>
      </c>
      <c r="EG67" s="9" t="n">
        <v>5.31</v>
      </c>
      <c r="EH67" s="9" t="n">
        <v>19.96</v>
      </c>
      <c r="EI67" s="9" t="n">
        <v>0.46</v>
      </c>
      <c r="EJ67" s="9" t="n">
        <v>0.2</v>
      </c>
      <c r="EK67" s="9" t="n">
        <v>43.75</v>
      </c>
      <c r="EL67" s="9" t="n">
        <v>25.91</v>
      </c>
      <c r="EM67" s="9" t="n">
        <v>2.91</v>
      </c>
      <c r="EN67" s="9" t="n">
        <v>11.25</v>
      </c>
      <c r="EO67" s="9" t="n">
        <v>4.46</v>
      </c>
      <c r="EP67" s="9" t="n">
        <v>1.2</v>
      </c>
      <c r="EQ67" s="9" t="n">
        <v>26.92</v>
      </c>
      <c r="ER67" s="9" t="n">
        <v>2.06</v>
      </c>
      <c r="ES67" s="9" t="n">
        <v>0.37</v>
      </c>
      <c r="ET67" s="9" t="n">
        <v>18.06</v>
      </c>
      <c r="EU67" s="9" t="n">
        <v>0.14</v>
      </c>
      <c r="EV67" s="9" t="n">
        <v>0.14</v>
      </c>
      <c r="EW67" s="9" t="n">
        <v>100</v>
      </c>
      <c r="EX67" s="9" t="n">
        <v>12.34</v>
      </c>
      <c r="EY67" s="9" t="n">
        <v>3.71</v>
      </c>
      <c r="EZ67" s="9" t="n">
        <v>30.09</v>
      </c>
      <c r="FA67" s="9" t="n">
        <v>3.57</v>
      </c>
      <c r="FB67" s="9" t="n">
        <v>5.11</v>
      </c>
      <c r="FC67" s="9" t="n">
        <v>21.54</v>
      </c>
      <c r="FD67" s="9" t="n">
        <v>3.17</v>
      </c>
      <c r="FE67" s="9" t="n">
        <v>7.69</v>
      </c>
      <c r="FF67" s="9" t="n">
        <v>12.14</v>
      </c>
      <c r="FG67" s="9" t="n">
        <v>55.86</v>
      </c>
      <c r="FH67" s="9" t="n">
        <v>21.4</v>
      </c>
      <c r="FI67" s="9" t="n">
        <v>38.31</v>
      </c>
      <c r="FJ67" s="9" t="n">
        <v>3.86</v>
      </c>
      <c r="FK67" s="9" t="n">
        <v>1.6</v>
      </c>
      <c r="FL67" s="9" t="n">
        <v>11.6</v>
      </c>
      <c r="FM67" s="9" t="n">
        <v>4.34</v>
      </c>
      <c r="FN67" s="9" t="n">
        <v>37.44</v>
      </c>
      <c r="FO67" s="9" t="n">
        <v>60.17</v>
      </c>
      <c r="FP67" s="9" t="n">
        <v>35.26</v>
      </c>
      <c r="FQ67" s="9" t="n">
        <v>58.59</v>
      </c>
      <c r="FR67" s="9" t="n">
        <v>35.57</v>
      </c>
      <c r="FS67" s="9" t="n">
        <v>17.31</v>
      </c>
      <c r="FT67" s="9" t="n">
        <v>48.67</v>
      </c>
      <c r="FU67" s="9" t="n">
        <v>3.2</v>
      </c>
      <c r="FV67" s="9" t="n">
        <v>1.8</v>
      </c>
      <c r="FW67" s="9" t="n">
        <v>56.25</v>
      </c>
      <c r="FX67" s="9" t="n">
        <v>34.71</v>
      </c>
      <c r="FY67" s="9" t="n">
        <v>11.91</v>
      </c>
      <c r="FZ67" s="9" t="n">
        <v>12.69</v>
      </c>
      <c r="GA67" s="9" t="n">
        <v>2.29</v>
      </c>
      <c r="GB67" s="9" t="n">
        <v>0.06</v>
      </c>
      <c r="GC67" s="9" t="n">
        <v>144.86</v>
      </c>
      <c r="GD67" s="9" t="n">
        <v>102.34</v>
      </c>
      <c r="GE67" s="9" t="n">
        <v>70.65000000000001</v>
      </c>
      <c r="GF67" s="9" t="n">
        <v>64.63</v>
      </c>
      <c r="GG67" s="9" t="n">
        <v>60.86</v>
      </c>
      <c r="GH67" s="9" t="n">
        <v>94.16</v>
      </c>
      <c r="GI67" s="9" t="n">
        <v>175.17</v>
      </c>
      <c r="GJ67" s="9" t="n">
        <v>157.97</v>
      </c>
      <c r="GK67" s="9" t="n">
        <v>90.18000000000001</v>
      </c>
      <c r="GL67" s="9" t="n">
        <v>49.91</v>
      </c>
      <c r="GM67" s="9" t="n">
        <v>24.6</v>
      </c>
      <c r="GN67" s="9" t="n">
        <v>49.28</v>
      </c>
      <c r="GO67" s="9" t="n">
        <v>59.54</v>
      </c>
      <c r="GP67" s="9" t="n">
        <v>36.91</v>
      </c>
      <c r="GQ67" s="9" t="n">
        <v>62</v>
      </c>
      <c r="GR67" s="9" t="n">
        <v>71.56999999999999</v>
      </c>
      <c r="GS67" s="9" t="n">
        <v>49.69</v>
      </c>
      <c r="GT67" s="9" t="n">
        <v>69.42</v>
      </c>
      <c r="GU67" s="9" t="n">
        <v>2.43</v>
      </c>
      <c r="GV67" s="9" t="n">
        <v>0.74</v>
      </c>
      <c r="GW67" s="9" t="n">
        <v>30.59</v>
      </c>
      <c r="GX67" s="9" t="n">
        <v>19.71</v>
      </c>
      <c r="GY67" s="9" t="n">
        <v>18.63</v>
      </c>
      <c r="GZ67" s="9" t="n">
        <v>94.48999999999999</v>
      </c>
      <c r="HA67" s="9" t="n">
        <v>8.31</v>
      </c>
      <c r="HB67" s="9" t="n">
        <v>16.21</v>
      </c>
      <c r="HC67" s="9" t="n">
        <v>4.43</v>
      </c>
      <c r="HD67" s="9" t="n">
        <v>11.9</v>
      </c>
      <c r="HE67" s="9" t="n">
        <v>18.91</v>
      </c>
      <c r="HF67" s="9" t="n">
        <v>20.44</v>
      </c>
      <c r="HG67" s="9" t="n">
        <v>11.77</v>
      </c>
    </row>
    <row r="68">
      <c r="A68" s="12" t="n">
        <v>2024</v>
      </c>
      <c r="B68" s="12" t="n">
        <v>42</v>
      </c>
      <c r="C68" s="5">
        <f>(B68-AVERAGE($B$2:$B$100))/_xlfn.STDEV.P($B$2:$B$100)</f>
        <v/>
      </c>
      <c r="D68" s="12" t="n">
        <v>8</v>
      </c>
      <c r="E68" s="6">
        <f>-D68</f>
        <v/>
      </c>
      <c r="F68" s="7">
        <f>(E68-AVERAGE($E$2:$E$100))/_xlfn.STDEV.P($E$2:$E$100)</f>
        <v/>
      </c>
      <c r="G68" s="7">
        <f>sum(0.5*C68)+(0.5*F68)</f>
        <v/>
      </c>
      <c r="H68" s="12" t="inlineStr">
        <is>
          <t>West</t>
        </is>
      </c>
      <c r="I68" s="8" t="inlineStr">
        <is>
          <t>Phoenix Rising</t>
        </is>
      </c>
      <c r="J68" s="9" t="n">
        <v>0.97</v>
      </c>
      <c r="K68" s="9" t="n">
        <v>1.17</v>
      </c>
      <c r="L68" s="9" t="n">
        <v>10.71</v>
      </c>
      <c r="M68" s="9" t="n">
        <v>4</v>
      </c>
      <c r="N68" s="9" t="n">
        <v>37.33</v>
      </c>
      <c r="O68" s="9" t="n">
        <v>452.46</v>
      </c>
      <c r="P68" s="9" t="n">
        <v>387.77</v>
      </c>
      <c r="Q68" s="9" t="n">
        <v>85.7</v>
      </c>
      <c r="R68" s="9" t="n">
        <v>56.51</v>
      </c>
      <c r="S68" s="9" t="n">
        <v>91.03</v>
      </c>
      <c r="T68" s="9" t="n">
        <v>17.49</v>
      </c>
      <c r="U68" s="9" t="n">
        <v>31.09</v>
      </c>
      <c r="V68" s="9" t="n">
        <v>42.46</v>
      </c>
      <c r="W68" s="9" t="n">
        <v>69.37</v>
      </c>
      <c r="X68" s="9" t="n">
        <v>31.8</v>
      </c>
      <c r="Y68" s="9" t="n">
        <v>27.03</v>
      </c>
      <c r="Z68" s="9" t="n">
        <v>10.54</v>
      </c>
      <c r="AA68" s="9" t="n">
        <v>175.57</v>
      </c>
      <c r="AB68" s="9" t="n">
        <v>86.11</v>
      </c>
      <c r="AC68" s="9" t="n">
        <v>49.05</v>
      </c>
      <c r="AD68" s="9" t="n">
        <v>4.49</v>
      </c>
      <c r="AE68" s="9" t="n">
        <v>1.46</v>
      </c>
      <c r="AF68" s="9" t="n">
        <v>32.48</v>
      </c>
      <c r="AG68" s="9" t="n">
        <v>27.2</v>
      </c>
      <c r="AH68" s="9" t="n">
        <v>6.94</v>
      </c>
      <c r="AI68" s="9" t="n">
        <v>25.53</v>
      </c>
      <c r="AJ68" s="9" t="n">
        <v>1.11</v>
      </c>
      <c r="AK68" s="9" t="n">
        <v>0.51</v>
      </c>
      <c r="AL68" s="9" t="n">
        <v>46.15</v>
      </c>
      <c r="AM68" s="9" t="n">
        <v>25.37</v>
      </c>
      <c r="AN68" s="9" t="n">
        <v>2.83</v>
      </c>
      <c r="AO68" s="9" t="n">
        <v>11.15</v>
      </c>
      <c r="AP68" s="9" t="n">
        <v>4.54</v>
      </c>
      <c r="AQ68" s="9" t="n">
        <v>0.83</v>
      </c>
      <c r="AR68" s="9" t="n">
        <v>18.24</v>
      </c>
      <c r="AS68" s="9" t="n">
        <v>2.26</v>
      </c>
      <c r="AT68" s="9" t="n">
        <v>0.51</v>
      </c>
      <c r="AU68" s="9" t="n">
        <v>22.78</v>
      </c>
      <c r="AV68" s="9" t="n">
        <v>0.14</v>
      </c>
      <c r="AW68" s="9" t="n">
        <v>0.11</v>
      </c>
      <c r="AX68" s="9" t="n">
        <v>80</v>
      </c>
      <c r="AY68" s="9" t="n">
        <v>14.74</v>
      </c>
      <c r="AZ68" s="9" t="n">
        <v>4.17</v>
      </c>
      <c r="BA68" s="9" t="n">
        <v>28.29</v>
      </c>
      <c r="BB68" s="9" t="n">
        <v>4.43</v>
      </c>
      <c r="BC68" s="9" t="n">
        <v>7.14</v>
      </c>
      <c r="BD68" s="9" t="n">
        <v>24.57</v>
      </c>
      <c r="BE68" s="9" t="n">
        <v>3</v>
      </c>
      <c r="BF68" s="9" t="n">
        <v>8.890000000000001</v>
      </c>
      <c r="BG68" s="9" t="n">
        <v>15.34</v>
      </c>
      <c r="BH68" s="9" t="n">
        <v>68.48999999999999</v>
      </c>
      <c r="BI68" s="9" t="n">
        <v>27.46</v>
      </c>
      <c r="BJ68" s="9" t="n">
        <v>40.09</v>
      </c>
      <c r="BK68" s="9" t="n">
        <v>2.11</v>
      </c>
      <c r="BL68" s="9" t="n">
        <v>1.17</v>
      </c>
      <c r="BM68" s="9" t="n">
        <v>10.4</v>
      </c>
      <c r="BN68" s="9" t="n">
        <v>3.97</v>
      </c>
      <c r="BO68" s="9" t="n">
        <v>38.19</v>
      </c>
      <c r="BP68" s="9" t="n">
        <v>58.23</v>
      </c>
      <c r="BQ68" s="9" t="n">
        <v>36.91</v>
      </c>
      <c r="BR68" s="9" t="n">
        <v>63.4</v>
      </c>
      <c r="BS68" s="9" t="n">
        <v>26.71</v>
      </c>
      <c r="BT68" s="9" t="n">
        <v>12.29</v>
      </c>
      <c r="BU68" s="9" t="n">
        <v>45.99</v>
      </c>
      <c r="BV68" s="9" t="n">
        <v>2.06</v>
      </c>
      <c r="BW68" s="9" t="n">
        <v>1.11</v>
      </c>
      <c r="BX68" s="9" t="n">
        <v>54.17</v>
      </c>
      <c r="BY68" s="9" t="n">
        <v>33.31</v>
      </c>
      <c r="BZ68" s="9" t="n">
        <v>12.34</v>
      </c>
      <c r="CA68" s="9" t="n">
        <v>11.17</v>
      </c>
      <c r="CB68" s="9" t="n">
        <v>2.77</v>
      </c>
      <c r="CC68" s="9" t="n">
        <v>0.09</v>
      </c>
      <c r="CD68" s="9" t="n">
        <v>143.46</v>
      </c>
      <c r="CE68" s="9" t="n">
        <v>108.57</v>
      </c>
      <c r="CF68" s="9" t="n">
        <v>75.68000000000001</v>
      </c>
      <c r="CG68" s="9" t="n">
        <v>68.09</v>
      </c>
      <c r="CH68" s="9" t="n">
        <v>64.03</v>
      </c>
      <c r="CI68" s="9" t="n">
        <v>94.04000000000001</v>
      </c>
      <c r="CJ68" s="9" t="n">
        <v>182.46</v>
      </c>
      <c r="CK68" s="9" t="n">
        <v>167.03</v>
      </c>
      <c r="CL68" s="9" t="n">
        <v>91.54000000000001</v>
      </c>
      <c r="CM68" s="9" t="n">
        <v>43.49</v>
      </c>
      <c r="CN68" s="9" t="n">
        <v>24.09</v>
      </c>
      <c r="CO68" s="9" t="n">
        <v>55.39</v>
      </c>
      <c r="CP68" s="9" t="n">
        <v>55.34</v>
      </c>
      <c r="CQ68" s="9" t="n">
        <v>39.26</v>
      </c>
      <c r="CR68" s="9" t="n">
        <v>70.93000000000001</v>
      </c>
      <c r="CS68" s="9" t="n">
        <v>71.59999999999999</v>
      </c>
      <c r="CT68" s="9" t="n">
        <v>53.91</v>
      </c>
      <c r="CU68" s="9" t="n">
        <v>75.3</v>
      </c>
      <c r="CV68" s="9" t="n">
        <v>2.6</v>
      </c>
      <c r="CW68" s="9" t="n">
        <v>1.11</v>
      </c>
      <c r="CX68" s="9" t="n">
        <v>42.86</v>
      </c>
      <c r="CY68" s="9" t="n">
        <v>19.69</v>
      </c>
      <c r="CZ68" s="9" t="n">
        <v>18.4</v>
      </c>
      <c r="DA68" s="9" t="n">
        <v>93.47</v>
      </c>
      <c r="DB68" s="9" t="n">
        <v>8.289999999999999</v>
      </c>
      <c r="DC68" s="9" t="n">
        <v>15.17</v>
      </c>
      <c r="DD68" s="9" t="n">
        <v>4.75</v>
      </c>
      <c r="DE68" s="9" t="n">
        <v>9.9</v>
      </c>
      <c r="DF68" s="9" t="n">
        <v>18.88</v>
      </c>
      <c r="DG68" s="9" t="n">
        <v>20.45</v>
      </c>
      <c r="DH68" s="9" t="n">
        <v>10.7</v>
      </c>
      <c r="DI68" s="9" t="n">
        <v>1.17</v>
      </c>
      <c r="DJ68" s="9" t="n">
        <v>1.2</v>
      </c>
      <c r="DK68" s="9" t="n">
        <v>10.4</v>
      </c>
      <c r="DL68" s="9" t="n">
        <v>3.77</v>
      </c>
      <c r="DM68" s="9" t="n">
        <v>36.26</v>
      </c>
      <c r="DN68" s="9" t="n">
        <v>360.63</v>
      </c>
      <c r="DO68" s="9" t="n">
        <v>299.6</v>
      </c>
      <c r="DP68" s="9" t="n">
        <v>83.08</v>
      </c>
      <c r="DQ68" s="9" t="n">
        <v>43.49</v>
      </c>
      <c r="DR68" s="9" t="n">
        <v>89.54000000000001</v>
      </c>
      <c r="DS68" s="9" t="n">
        <v>17.37</v>
      </c>
      <c r="DT68" s="9" t="n">
        <v>31.2</v>
      </c>
      <c r="DU68" s="9" t="n">
        <v>40.97</v>
      </c>
      <c r="DV68" s="9" t="n">
        <v>67.89</v>
      </c>
      <c r="DW68" s="9" t="n">
        <v>31.89</v>
      </c>
      <c r="DX68" s="9" t="n">
        <v>25.8</v>
      </c>
      <c r="DY68" s="9" t="n">
        <v>10.2</v>
      </c>
      <c r="DZ68" s="9" t="n">
        <v>175.57</v>
      </c>
      <c r="EA68" s="9" t="n">
        <v>83.97</v>
      </c>
      <c r="EB68" s="9" t="n">
        <v>47.83</v>
      </c>
      <c r="EC68" s="9" t="n">
        <v>4.57</v>
      </c>
      <c r="ED68" s="9" t="n">
        <v>1.09</v>
      </c>
      <c r="EE68" s="9" t="n">
        <v>23.75</v>
      </c>
      <c r="EF68" s="9" t="n">
        <v>25.91</v>
      </c>
      <c r="EG68" s="9" t="n">
        <v>6.66</v>
      </c>
      <c r="EH68" s="9" t="n">
        <v>25.69</v>
      </c>
      <c r="EI68" s="9" t="n">
        <v>0.77</v>
      </c>
      <c r="EJ68" s="9" t="n">
        <v>0.4</v>
      </c>
      <c r="EK68" s="9" t="n">
        <v>51.85</v>
      </c>
      <c r="EL68" s="9" t="n">
        <v>24.14</v>
      </c>
      <c r="EM68" s="9" t="n">
        <v>2.77</v>
      </c>
      <c r="EN68" s="9" t="n">
        <v>11.48</v>
      </c>
      <c r="EO68" s="9" t="n">
        <v>4.51</v>
      </c>
      <c r="EP68" s="9" t="n">
        <v>1.11</v>
      </c>
      <c r="EQ68" s="9" t="n">
        <v>24.68</v>
      </c>
      <c r="ER68" s="9" t="n">
        <v>2.06</v>
      </c>
      <c r="ES68" s="9" t="n">
        <v>0.4</v>
      </c>
      <c r="ET68" s="9" t="n">
        <v>19.44</v>
      </c>
      <c r="EU68" s="9" t="n">
        <v>0.17</v>
      </c>
      <c r="EV68" s="9" t="n">
        <v>0.09</v>
      </c>
      <c r="EW68" s="9" t="n">
        <v>50</v>
      </c>
      <c r="EX68" s="9" t="n">
        <v>13.29</v>
      </c>
      <c r="EY68" s="9" t="n">
        <v>4.31</v>
      </c>
      <c r="EZ68" s="9" t="n">
        <v>32.47</v>
      </c>
      <c r="FA68" s="9" t="n">
        <v>4.46</v>
      </c>
      <c r="FB68" s="9" t="n">
        <v>6.37</v>
      </c>
      <c r="FC68" s="9" t="n">
        <v>21.63</v>
      </c>
      <c r="FD68" s="9" t="n">
        <v>3.06</v>
      </c>
      <c r="FE68" s="9" t="n">
        <v>8.09</v>
      </c>
      <c r="FF68" s="9" t="n">
        <v>14.14</v>
      </c>
      <c r="FG68" s="9" t="n">
        <v>58.23</v>
      </c>
      <c r="FH68" s="9" t="n">
        <v>21.31</v>
      </c>
      <c r="FI68" s="9" t="n">
        <v>36.6</v>
      </c>
      <c r="FJ68" s="9" t="n">
        <v>2.09</v>
      </c>
      <c r="FK68" s="9" t="n">
        <v>0.97</v>
      </c>
      <c r="FL68" s="9" t="n">
        <v>10.71</v>
      </c>
      <c r="FM68" s="9" t="n">
        <v>4.11</v>
      </c>
      <c r="FN68" s="9" t="n">
        <v>38.4</v>
      </c>
      <c r="FO68" s="9" t="n">
        <v>68.48999999999999</v>
      </c>
      <c r="FP68" s="9" t="n">
        <v>41.03</v>
      </c>
      <c r="FQ68" s="9" t="n">
        <v>59.91</v>
      </c>
      <c r="FR68" s="9" t="n">
        <v>26.71</v>
      </c>
      <c r="FS68" s="9" t="n">
        <v>12.4</v>
      </c>
      <c r="FT68" s="9" t="n">
        <v>46.42</v>
      </c>
      <c r="FU68" s="9" t="n">
        <v>3.89</v>
      </c>
      <c r="FV68" s="9" t="n">
        <v>1.94</v>
      </c>
      <c r="FW68" s="9" t="n">
        <v>50</v>
      </c>
      <c r="FX68" s="9" t="n">
        <v>36.86</v>
      </c>
      <c r="FY68" s="9" t="n">
        <v>13.06</v>
      </c>
      <c r="FZ68" s="9" t="n">
        <v>11.57</v>
      </c>
      <c r="GA68" s="9" t="n">
        <v>2.23</v>
      </c>
      <c r="GB68" s="9" t="n">
        <v>0</v>
      </c>
      <c r="GC68" s="9" t="n">
        <v>123.14</v>
      </c>
      <c r="GD68" s="9" t="n">
        <v>90.37</v>
      </c>
      <c r="GE68" s="9" t="n">
        <v>73.39</v>
      </c>
      <c r="GF68" s="9" t="n">
        <v>53.54</v>
      </c>
      <c r="GG68" s="9" t="n">
        <v>50.57</v>
      </c>
      <c r="GH68" s="9" t="n">
        <v>94.45</v>
      </c>
      <c r="GI68" s="9" t="n">
        <v>131.54</v>
      </c>
      <c r="GJ68" s="9" t="n">
        <v>116.31</v>
      </c>
      <c r="GK68" s="9" t="n">
        <v>88.42</v>
      </c>
      <c r="GL68" s="9" t="n">
        <v>39.51</v>
      </c>
      <c r="GM68" s="9" t="n">
        <v>20.43</v>
      </c>
      <c r="GN68" s="9" t="n">
        <v>51.7</v>
      </c>
      <c r="GO68" s="9" t="n">
        <v>49.4</v>
      </c>
      <c r="GP68" s="9" t="n">
        <v>34.77</v>
      </c>
      <c r="GQ68" s="9" t="n">
        <v>70.39</v>
      </c>
      <c r="GR68" s="9" t="n">
        <v>64.29000000000001</v>
      </c>
      <c r="GS68" s="9" t="n">
        <v>47.2</v>
      </c>
      <c r="GT68" s="9" t="n">
        <v>73.42</v>
      </c>
      <c r="GU68" s="9" t="n">
        <v>1.57</v>
      </c>
      <c r="GV68" s="9" t="n">
        <v>0.54</v>
      </c>
      <c r="GW68" s="9" t="n">
        <v>34.55</v>
      </c>
      <c r="GX68" s="9" t="n">
        <v>16.11</v>
      </c>
      <c r="GY68" s="9" t="n">
        <v>14.74</v>
      </c>
      <c r="GZ68" s="9" t="n">
        <v>91.48999999999999</v>
      </c>
      <c r="HA68" s="9" t="n">
        <v>8.630000000000001</v>
      </c>
      <c r="HB68" s="9" t="n">
        <v>15.71</v>
      </c>
      <c r="HC68" s="9" t="n">
        <v>3.88</v>
      </c>
      <c r="HD68" s="9" t="n">
        <v>11.25</v>
      </c>
      <c r="HE68" s="9" t="n">
        <v>19.79</v>
      </c>
      <c r="HF68" s="9" t="n">
        <v>20.23</v>
      </c>
      <c r="HG68" s="9" t="n">
        <v>14.57</v>
      </c>
    </row>
    <row r="69">
      <c r="A69" s="10" t="n">
        <v>2024</v>
      </c>
      <c r="B69" s="10" t="n">
        <v>45</v>
      </c>
      <c r="C69" s="5">
        <f>(B69-AVERAGE($B$2:$B$100))/_xlfn.STDEV.P($B$2:$B$100)</f>
        <v/>
      </c>
      <c r="D69" s="10" t="n">
        <v>9</v>
      </c>
      <c r="E69" s="6">
        <f>-D69</f>
        <v/>
      </c>
      <c r="F69" s="7">
        <f>(E69-AVERAGE($E$2:$E$100))/_xlfn.STDEV.P($E$2:$E$100)</f>
        <v/>
      </c>
      <c r="G69" s="7">
        <f>sum(0.5*C69)+(0.5*F69)</f>
        <v/>
      </c>
      <c r="H69" s="12" t="inlineStr">
        <is>
          <t>East</t>
        </is>
      </c>
      <c r="I69" s="8" t="inlineStr">
        <is>
          <t>Birmingham Legion</t>
        </is>
      </c>
      <c r="J69" s="9" t="n">
        <v>1.3</v>
      </c>
      <c r="K69" s="9" t="n">
        <v>1.29</v>
      </c>
      <c r="L69" s="9" t="n">
        <v>12.64</v>
      </c>
      <c r="M69" s="9" t="n">
        <v>4.21</v>
      </c>
      <c r="N69" s="9" t="n">
        <v>33.33</v>
      </c>
      <c r="O69" s="9" t="n">
        <v>430.39</v>
      </c>
      <c r="P69" s="9" t="n">
        <v>358.61</v>
      </c>
      <c r="Q69" s="9" t="n">
        <v>83.31999999999999</v>
      </c>
      <c r="R69" s="9" t="n">
        <v>49.34</v>
      </c>
      <c r="S69" s="9" t="n">
        <v>98.06</v>
      </c>
      <c r="T69" s="9" t="n">
        <v>18.12</v>
      </c>
      <c r="U69" s="9" t="n">
        <v>31.76</v>
      </c>
      <c r="V69" s="9" t="n">
        <v>48.18</v>
      </c>
      <c r="W69" s="9" t="n">
        <v>72.48</v>
      </c>
      <c r="X69" s="9" t="n">
        <v>35</v>
      </c>
      <c r="Y69" s="9" t="n">
        <v>26.52</v>
      </c>
      <c r="Z69" s="9" t="n">
        <v>10.97</v>
      </c>
      <c r="AA69" s="9" t="n">
        <v>174.18</v>
      </c>
      <c r="AB69" s="9" t="n">
        <v>82.27</v>
      </c>
      <c r="AC69" s="9" t="n">
        <v>47.23</v>
      </c>
      <c r="AD69" s="9" t="n">
        <v>6.12</v>
      </c>
      <c r="AE69" s="9" t="n">
        <v>1.88</v>
      </c>
      <c r="AF69" s="9" t="n">
        <v>30.69</v>
      </c>
      <c r="AG69" s="9" t="n">
        <v>29.21</v>
      </c>
      <c r="AH69" s="9" t="n">
        <v>8.27</v>
      </c>
      <c r="AI69" s="9" t="n">
        <v>28.32</v>
      </c>
      <c r="AJ69" s="9" t="n">
        <v>0.91</v>
      </c>
      <c r="AK69" s="9" t="n">
        <v>0.61</v>
      </c>
      <c r="AL69" s="9" t="n">
        <v>66.67</v>
      </c>
      <c r="AM69" s="9" t="n">
        <v>25.45</v>
      </c>
      <c r="AN69" s="9" t="n">
        <v>3.45</v>
      </c>
      <c r="AO69" s="9" t="n">
        <v>13.57</v>
      </c>
      <c r="AP69" s="9" t="n">
        <v>4.94</v>
      </c>
      <c r="AQ69" s="9" t="n">
        <v>1.52</v>
      </c>
      <c r="AR69" s="9" t="n">
        <v>30.67</v>
      </c>
      <c r="AS69" s="9" t="n">
        <v>1.73</v>
      </c>
      <c r="AT69" s="9" t="n">
        <v>0.58</v>
      </c>
      <c r="AU69" s="9" t="n">
        <v>33.33</v>
      </c>
      <c r="AV69" s="9" t="n">
        <v>0</v>
      </c>
      <c r="AW69" s="9" t="n">
        <v>0</v>
      </c>
      <c r="AX69" s="9" t="n">
        <v>0</v>
      </c>
      <c r="AY69" s="9" t="n">
        <v>12.85</v>
      </c>
      <c r="AZ69" s="9" t="n">
        <v>3.58</v>
      </c>
      <c r="BA69" s="9" t="n">
        <v>27.83</v>
      </c>
      <c r="BB69" s="9" t="n">
        <v>3.61</v>
      </c>
      <c r="BC69" s="9" t="n">
        <v>6.82</v>
      </c>
      <c r="BD69" s="9" t="n">
        <v>22.94</v>
      </c>
      <c r="BE69" s="9" t="n">
        <v>4.18</v>
      </c>
      <c r="BF69" s="9" t="n">
        <v>7.58</v>
      </c>
      <c r="BG69" s="9" t="n">
        <v>15.52</v>
      </c>
      <c r="BH69" s="9" t="n">
        <v>60.73</v>
      </c>
      <c r="BI69" s="9" t="n">
        <v>23.03</v>
      </c>
      <c r="BJ69" s="9" t="n">
        <v>37.92</v>
      </c>
      <c r="BK69" s="9" t="n">
        <v>2.15</v>
      </c>
      <c r="BL69" s="9" t="n">
        <v>1.55</v>
      </c>
      <c r="BM69" s="9" t="n">
        <v>13.03</v>
      </c>
      <c r="BN69" s="9" t="n">
        <v>4.79</v>
      </c>
      <c r="BO69" s="9" t="n">
        <v>36.74</v>
      </c>
      <c r="BP69" s="9" t="n">
        <v>62.79</v>
      </c>
      <c r="BQ69" s="9" t="n">
        <v>36.55</v>
      </c>
      <c r="BR69" s="9" t="n">
        <v>58.2</v>
      </c>
      <c r="BS69" s="9" t="n">
        <v>29.03</v>
      </c>
      <c r="BT69" s="9" t="n">
        <v>13.52</v>
      </c>
      <c r="BU69" s="9" t="n">
        <v>46.56</v>
      </c>
      <c r="BV69" s="9" t="n">
        <v>1.97</v>
      </c>
      <c r="BW69" s="9" t="n">
        <v>1.18</v>
      </c>
      <c r="BX69" s="9" t="n">
        <v>60</v>
      </c>
      <c r="BY69" s="9" t="n">
        <v>36.06</v>
      </c>
      <c r="BZ69" s="9" t="n">
        <v>12.58</v>
      </c>
      <c r="CA69" s="9" t="n">
        <v>11.24</v>
      </c>
      <c r="CB69" s="9" t="n">
        <v>2</v>
      </c>
      <c r="CC69" s="9" t="n">
        <v>0.06</v>
      </c>
      <c r="CD69" s="9" t="n">
        <v>141.48</v>
      </c>
      <c r="CE69" s="9" t="n">
        <v>102.58</v>
      </c>
      <c r="CF69" s="9" t="n">
        <v>72.5</v>
      </c>
      <c r="CG69" s="9" t="n">
        <v>63.52</v>
      </c>
      <c r="CH69" s="9" t="n">
        <v>60.3</v>
      </c>
      <c r="CI69" s="9" t="n">
        <v>94.94</v>
      </c>
      <c r="CJ69" s="9" t="n">
        <v>170</v>
      </c>
      <c r="CK69" s="9" t="n">
        <v>151.76</v>
      </c>
      <c r="CL69" s="9" t="n">
        <v>89.27</v>
      </c>
      <c r="CM69" s="9" t="n">
        <v>49.12</v>
      </c>
      <c r="CN69" s="9" t="n">
        <v>24.52</v>
      </c>
      <c r="CO69" s="9" t="n">
        <v>49.91</v>
      </c>
      <c r="CP69" s="9" t="n">
        <v>59.67</v>
      </c>
      <c r="CQ69" s="9" t="n">
        <v>40.15</v>
      </c>
      <c r="CR69" s="9" t="n">
        <v>67.29000000000001</v>
      </c>
      <c r="CS69" s="9" t="n">
        <v>71.7</v>
      </c>
      <c r="CT69" s="9" t="n">
        <v>51.79</v>
      </c>
      <c r="CU69" s="9" t="n">
        <v>72.23</v>
      </c>
      <c r="CV69" s="9" t="n">
        <v>1.64</v>
      </c>
      <c r="CW69" s="9" t="n">
        <v>0.7</v>
      </c>
      <c r="CX69" s="9" t="n">
        <v>42.59</v>
      </c>
      <c r="CY69" s="9" t="n">
        <v>19.82</v>
      </c>
      <c r="CZ69" s="9" t="n">
        <v>17.67</v>
      </c>
      <c r="DA69" s="9" t="n">
        <v>89.14</v>
      </c>
      <c r="DB69" s="9" t="n">
        <v>9.15</v>
      </c>
      <c r="DC69" s="9" t="n">
        <v>16.15</v>
      </c>
      <c r="DD69" s="9" t="n">
        <v>4.23</v>
      </c>
      <c r="DE69" s="9" t="n">
        <v>11.75</v>
      </c>
      <c r="DF69" s="9" t="n">
        <v>20.05</v>
      </c>
      <c r="DG69" s="9" t="n">
        <v>20.93</v>
      </c>
      <c r="DH69" s="9" t="n">
        <v>14.23</v>
      </c>
      <c r="DI69" s="9" t="n">
        <v>1.55</v>
      </c>
      <c r="DJ69" s="9" t="n">
        <v>1.52</v>
      </c>
      <c r="DK69" s="9" t="n">
        <v>13.03</v>
      </c>
      <c r="DL69" s="9" t="n">
        <v>4.61</v>
      </c>
      <c r="DM69" s="9" t="n">
        <v>35.35</v>
      </c>
      <c r="DN69" s="9" t="n">
        <v>444.39</v>
      </c>
      <c r="DO69" s="9" t="n">
        <v>377.85</v>
      </c>
      <c r="DP69" s="9" t="n">
        <v>85.03</v>
      </c>
      <c r="DQ69" s="9" t="n">
        <v>50.66</v>
      </c>
      <c r="DR69" s="9" t="n">
        <v>98.33</v>
      </c>
      <c r="DS69" s="9" t="n">
        <v>18.94</v>
      </c>
      <c r="DT69" s="9" t="n">
        <v>32.18</v>
      </c>
      <c r="DU69" s="9" t="n">
        <v>47.21</v>
      </c>
      <c r="DV69" s="9" t="n">
        <v>73.7</v>
      </c>
      <c r="DW69" s="9" t="n">
        <v>35.55</v>
      </c>
      <c r="DX69" s="9" t="n">
        <v>27.24</v>
      </c>
      <c r="DY69" s="9" t="n">
        <v>10.91</v>
      </c>
      <c r="DZ69" s="9" t="n">
        <v>174.18</v>
      </c>
      <c r="EA69" s="9" t="n">
        <v>85.94</v>
      </c>
      <c r="EB69" s="9" t="n">
        <v>49.34</v>
      </c>
      <c r="EC69" s="9" t="n">
        <v>5.09</v>
      </c>
      <c r="ED69" s="9" t="n">
        <v>1.67</v>
      </c>
      <c r="EE69" s="9" t="n">
        <v>32.74</v>
      </c>
      <c r="EF69" s="9" t="n">
        <v>29.73</v>
      </c>
      <c r="EG69" s="9" t="n">
        <v>8.390000000000001</v>
      </c>
      <c r="EH69" s="9" t="n">
        <v>28.24</v>
      </c>
      <c r="EI69" s="9" t="n">
        <v>0.85</v>
      </c>
      <c r="EJ69" s="9" t="n">
        <v>0.39</v>
      </c>
      <c r="EK69" s="9" t="n">
        <v>46.43</v>
      </c>
      <c r="EL69" s="9" t="n">
        <v>26.03</v>
      </c>
      <c r="EM69" s="9" t="n">
        <v>3.52</v>
      </c>
      <c r="EN69" s="9" t="n">
        <v>13.5</v>
      </c>
      <c r="EO69" s="9" t="n">
        <v>5.39</v>
      </c>
      <c r="EP69" s="9" t="n">
        <v>1.58</v>
      </c>
      <c r="EQ69" s="9" t="n">
        <v>29.21</v>
      </c>
      <c r="ER69" s="9" t="n">
        <v>2.12</v>
      </c>
      <c r="ES69" s="9" t="n">
        <v>0.39</v>
      </c>
      <c r="ET69" s="9" t="n">
        <v>18.57</v>
      </c>
      <c r="EU69" s="9" t="n">
        <v>0.12</v>
      </c>
      <c r="EV69" s="9" t="n">
        <v>0.12</v>
      </c>
      <c r="EW69" s="9" t="n">
        <v>100</v>
      </c>
      <c r="EX69" s="9" t="n">
        <v>14.24</v>
      </c>
      <c r="EY69" s="9" t="n">
        <v>5.12</v>
      </c>
      <c r="EZ69" s="9" t="n">
        <v>35.96</v>
      </c>
      <c r="FA69" s="9" t="n">
        <v>4.97</v>
      </c>
      <c r="FB69" s="9" t="n">
        <v>7.64</v>
      </c>
      <c r="FC69" s="9" t="n">
        <v>24.79</v>
      </c>
      <c r="FD69" s="9" t="n">
        <v>4.27</v>
      </c>
      <c r="FE69" s="9" t="n">
        <v>8.58</v>
      </c>
      <c r="FF69" s="9" t="n">
        <v>18.94</v>
      </c>
      <c r="FG69" s="9" t="n">
        <v>62.76</v>
      </c>
      <c r="FH69" s="9" t="n">
        <v>26.21</v>
      </c>
      <c r="FI69" s="9" t="n">
        <v>41.77</v>
      </c>
      <c r="FJ69" s="9" t="n">
        <v>1.67</v>
      </c>
      <c r="FK69" s="9" t="n">
        <v>1.3</v>
      </c>
      <c r="FL69" s="9" t="n">
        <v>12.64</v>
      </c>
      <c r="FM69" s="9" t="n">
        <v>4.39</v>
      </c>
      <c r="FN69" s="9" t="n">
        <v>34.77</v>
      </c>
      <c r="FO69" s="9" t="n">
        <v>60.73</v>
      </c>
      <c r="FP69" s="9" t="n">
        <v>37.7</v>
      </c>
      <c r="FQ69" s="9" t="n">
        <v>62.08</v>
      </c>
      <c r="FR69" s="9" t="n">
        <v>29.06</v>
      </c>
      <c r="FS69" s="9" t="n">
        <v>13.45</v>
      </c>
      <c r="FT69" s="9" t="n">
        <v>46.3</v>
      </c>
      <c r="FU69" s="9" t="n">
        <v>2.58</v>
      </c>
      <c r="FV69" s="9" t="n">
        <v>1.64</v>
      </c>
      <c r="FW69" s="9" t="n">
        <v>63.53</v>
      </c>
      <c r="FX69" s="9" t="n">
        <v>38.18</v>
      </c>
      <c r="FY69" s="9" t="n">
        <v>15.24</v>
      </c>
      <c r="FZ69" s="9" t="n">
        <v>11.06</v>
      </c>
      <c r="GA69" s="9" t="n">
        <v>1.55</v>
      </c>
      <c r="GB69" s="9" t="n">
        <v>0.03</v>
      </c>
      <c r="GC69" s="9" t="n">
        <v>146.67</v>
      </c>
      <c r="GD69" s="9" t="n">
        <v>111.12</v>
      </c>
      <c r="GE69" s="9" t="n">
        <v>75.76000000000001</v>
      </c>
      <c r="GF69" s="9" t="n">
        <v>67</v>
      </c>
      <c r="GG69" s="9" t="n">
        <v>63.03</v>
      </c>
      <c r="GH69" s="9" t="n">
        <v>94.08</v>
      </c>
      <c r="GI69" s="9" t="n">
        <v>174.12</v>
      </c>
      <c r="GJ69" s="9" t="n">
        <v>156.97</v>
      </c>
      <c r="GK69" s="9" t="n">
        <v>90.15000000000001</v>
      </c>
      <c r="GL69" s="9" t="n">
        <v>40.91</v>
      </c>
      <c r="GM69" s="9" t="n">
        <v>23</v>
      </c>
      <c r="GN69" s="9" t="n">
        <v>56.22</v>
      </c>
      <c r="GO69" s="9" t="n">
        <v>56.76</v>
      </c>
      <c r="GP69" s="9" t="n">
        <v>39.45</v>
      </c>
      <c r="GQ69" s="9" t="n">
        <v>69.51000000000001</v>
      </c>
      <c r="GR69" s="9" t="n">
        <v>72.94</v>
      </c>
      <c r="GS69" s="9" t="n">
        <v>55.18</v>
      </c>
      <c r="GT69" s="9" t="n">
        <v>75.65000000000001</v>
      </c>
      <c r="GU69" s="9" t="n">
        <v>1.94</v>
      </c>
      <c r="GV69" s="9" t="n">
        <v>0.7</v>
      </c>
      <c r="GW69" s="9" t="n">
        <v>35.94</v>
      </c>
      <c r="GX69" s="9" t="n">
        <v>17.82</v>
      </c>
      <c r="GY69" s="9" t="n">
        <v>16.03</v>
      </c>
      <c r="GZ69" s="9" t="n">
        <v>89.97</v>
      </c>
      <c r="HA69" s="9" t="n">
        <v>8.82</v>
      </c>
      <c r="HB69" s="9" t="n">
        <v>16.22</v>
      </c>
      <c r="HC69" s="9" t="n">
        <v>4.4</v>
      </c>
      <c r="HD69" s="9" t="n">
        <v>9.449999999999999</v>
      </c>
      <c r="HE69" s="9" t="n">
        <v>18.72</v>
      </c>
      <c r="HF69" s="9" t="n">
        <v>19.97</v>
      </c>
      <c r="HG69" s="9" t="n">
        <v>13.13</v>
      </c>
    </row>
    <row r="70">
      <c r="A70" s="12" t="n">
        <v>2024</v>
      </c>
      <c r="B70" s="12" t="n">
        <v>39</v>
      </c>
      <c r="C70" s="5">
        <f>(B70-AVERAGE($B$2:$B$100))/_xlfn.STDEV.P($B$2:$B$100)</f>
        <v/>
      </c>
      <c r="D70" s="12" t="n">
        <v>9</v>
      </c>
      <c r="E70" s="6">
        <f>-D70</f>
        <v/>
      </c>
      <c r="F70" s="7">
        <f>(E70-AVERAGE($E$2:$E$100))/_xlfn.STDEV.P($E$2:$E$100)</f>
        <v/>
      </c>
      <c r="G70" s="7">
        <f>sum(0.5*C70)+(0.5*F70)</f>
        <v/>
      </c>
      <c r="H70" s="12" t="inlineStr">
        <is>
          <t>West</t>
        </is>
      </c>
      <c r="I70" s="8" t="inlineStr">
        <is>
          <t>San Antonio</t>
        </is>
      </c>
      <c r="J70" s="9" t="n">
        <v>1.06</v>
      </c>
      <c r="K70" s="9" t="n">
        <v>1</v>
      </c>
      <c r="L70" s="9" t="n">
        <v>9.41</v>
      </c>
      <c r="M70" s="9" t="n">
        <v>3.09</v>
      </c>
      <c r="N70" s="9" t="n">
        <v>32.81</v>
      </c>
      <c r="O70" s="9" t="n">
        <v>324.91</v>
      </c>
      <c r="P70" s="9" t="n">
        <v>251.71</v>
      </c>
      <c r="Q70" s="9" t="n">
        <v>77.47</v>
      </c>
      <c r="R70" s="9" t="n">
        <v>47.59</v>
      </c>
      <c r="S70" s="9" t="n">
        <v>109.71</v>
      </c>
      <c r="T70" s="9" t="n">
        <v>18.71</v>
      </c>
      <c r="U70" s="9" t="n">
        <v>37.88</v>
      </c>
      <c r="V70" s="9" t="n">
        <v>53.12</v>
      </c>
      <c r="W70" s="9" t="n">
        <v>81.70999999999999</v>
      </c>
      <c r="X70" s="9" t="n">
        <v>37.79</v>
      </c>
      <c r="Y70" s="9" t="n">
        <v>32.21</v>
      </c>
      <c r="Z70" s="9" t="n">
        <v>11.71</v>
      </c>
      <c r="AA70" s="9" t="n">
        <v>210.03</v>
      </c>
      <c r="AB70" s="9" t="n">
        <v>101.94</v>
      </c>
      <c r="AC70" s="9" t="n">
        <v>48.54</v>
      </c>
      <c r="AD70" s="9" t="n">
        <v>3.56</v>
      </c>
      <c r="AE70" s="9" t="n">
        <v>0.88</v>
      </c>
      <c r="AF70" s="9" t="n">
        <v>24.79</v>
      </c>
      <c r="AG70" s="9" t="n">
        <v>27.32</v>
      </c>
      <c r="AH70" s="9" t="n">
        <v>5.62</v>
      </c>
      <c r="AI70" s="9" t="n">
        <v>20.56</v>
      </c>
      <c r="AJ70" s="9" t="n">
        <v>0.74</v>
      </c>
      <c r="AK70" s="9" t="n">
        <v>0.35</v>
      </c>
      <c r="AL70" s="9" t="n">
        <v>48</v>
      </c>
      <c r="AM70" s="9" t="n">
        <v>24.62</v>
      </c>
      <c r="AN70" s="9" t="n">
        <v>2.91</v>
      </c>
      <c r="AO70" s="9" t="n">
        <v>11.83</v>
      </c>
      <c r="AP70" s="9" t="n">
        <v>4.82</v>
      </c>
      <c r="AQ70" s="9" t="n">
        <v>1.38</v>
      </c>
      <c r="AR70" s="9" t="n">
        <v>28.66</v>
      </c>
      <c r="AS70" s="9" t="n">
        <v>2.91</v>
      </c>
      <c r="AT70" s="9" t="n">
        <v>0.59</v>
      </c>
      <c r="AU70" s="9" t="n">
        <v>20.2</v>
      </c>
      <c r="AV70" s="9" t="n">
        <v>0.15</v>
      </c>
      <c r="AW70" s="9" t="n">
        <v>0.09</v>
      </c>
      <c r="AX70" s="9" t="n">
        <v>60</v>
      </c>
      <c r="AY70" s="9" t="n">
        <v>15.09</v>
      </c>
      <c r="AZ70" s="9" t="n">
        <v>4.68</v>
      </c>
      <c r="BA70" s="9" t="n">
        <v>30.99</v>
      </c>
      <c r="BB70" s="9" t="n">
        <v>4.56</v>
      </c>
      <c r="BC70" s="9" t="n">
        <v>5.44</v>
      </c>
      <c r="BD70" s="9" t="n">
        <v>22.47</v>
      </c>
      <c r="BE70" s="9" t="n">
        <v>2.94</v>
      </c>
      <c r="BF70" s="9" t="n">
        <v>8.91</v>
      </c>
      <c r="BG70" s="9" t="n">
        <v>14.32</v>
      </c>
      <c r="BH70" s="9" t="n">
        <v>66.88</v>
      </c>
      <c r="BI70" s="9" t="n">
        <v>24.91</v>
      </c>
      <c r="BJ70" s="9" t="n">
        <v>37.25</v>
      </c>
      <c r="BK70" s="9" t="n">
        <v>2.18</v>
      </c>
      <c r="BL70" s="9" t="n">
        <v>1.44</v>
      </c>
      <c r="BM70" s="9" t="n">
        <v>11.91</v>
      </c>
      <c r="BN70" s="9" t="n">
        <v>4.59</v>
      </c>
      <c r="BO70" s="9" t="n">
        <v>38.52</v>
      </c>
      <c r="BP70" s="9" t="n">
        <v>71.88</v>
      </c>
      <c r="BQ70" s="9" t="n">
        <v>44.47</v>
      </c>
      <c r="BR70" s="9" t="n">
        <v>61.87</v>
      </c>
      <c r="BS70" s="9" t="n">
        <v>42</v>
      </c>
      <c r="BT70" s="9" t="n">
        <v>20.5</v>
      </c>
      <c r="BU70" s="9" t="n">
        <v>48.81</v>
      </c>
      <c r="BV70" s="9" t="n">
        <v>3.03</v>
      </c>
      <c r="BW70" s="9" t="n">
        <v>1.47</v>
      </c>
      <c r="BX70" s="9" t="n">
        <v>48.54</v>
      </c>
      <c r="BY70" s="9" t="n">
        <v>36.91</v>
      </c>
      <c r="BZ70" s="9" t="n">
        <v>15.5</v>
      </c>
      <c r="CA70" s="9" t="n">
        <v>15.91</v>
      </c>
      <c r="CB70" s="9" t="n">
        <v>2.74</v>
      </c>
      <c r="CC70" s="9" t="n">
        <v>0.09</v>
      </c>
      <c r="CD70" s="9" t="n">
        <v>130.76</v>
      </c>
      <c r="CE70" s="9" t="n">
        <v>87.38</v>
      </c>
      <c r="CF70" s="9" t="n">
        <v>66.81999999999999</v>
      </c>
      <c r="CG70" s="9" t="n">
        <v>49.56</v>
      </c>
      <c r="CH70" s="9" t="n">
        <v>45.97</v>
      </c>
      <c r="CI70" s="9" t="n">
        <v>92.76000000000001</v>
      </c>
      <c r="CJ70" s="9" t="n">
        <v>99.18000000000001</v>
      </c>
      <c r="CK70" s="9" t="n">
        <v>83.76000000000001</v>
      </c>
      <c r="CL70" s="9" t="n">
        <v>84.45999999999999</v>
      </c>
      <c r="CM70" s="9" t="n">
        <v>47.21</v>
      </c>
      <c r="CN70" s="9" t="n">
        <v>22.91</v>
      </c>
      <c r="CO70" s="9" t="n">
        <v>48.54</v>
      </c>
      <c r="CP70" s="9" t="n">
        <v>50.94</v>
      </c>
      <c r="CQ70" s="9" t="n">
        <v>30.91</v>
      </c>
      <c r="CR70" s="9" t="n">
        <v>60.68</v>
      </c>
      <c r="CS70" s="9" t="n">
        <v>66.26000000000001</v>
      </c>
      <c r="CT70" s="9" t="n">
        <v>45.53</v>
      </c>
      <c r="CU70" s="9" t="n">
        <v>68.70999999999999</v>
      </c>
      <c r="CV70" s="9" t="n">
        <v>1.09</v>
      </c>
      <c r="CW70" s="9" t="n">
        <v>0.5</v>
      </c>
      <c r="CX70" s="9" t="n">
        <v>45.95</v>
      </c>
      <c r="CY70" s="9" t="n">
        <v>21.91</v>
      </c>
      <c r="CZ70" s="9" t="n">
        <v>19.06</v>
      </c>
      <c r="DA70" s="9" t="n">
        <v>86.98</v>
      </c>
      <c r="DB70" s="9" t="n">
        <v>8.970000000000001</v>
      </c>
      <c r="DC70" s="9" t="n">
        <v>14.86</v>
      </c>
      <c r="DD70" s="9" t="n">
        <v>3.11</v>
      </c>
      <c r="DE70" s="9" t="n">
        <v>15.23</v>
      </c>
      <c r="DF70" s="9" t="n">
        <v>18.61</v>
      </c>
      <c r="DG70" s="9" t="n">
        <v>20.98</v>
      </c>
      <c r="DH70" s="9" t="n">
        <v>9.119999999999999</v>
      </c>
      <c r="DI70" s="9" t="n">
        <v>1.44</v>
      </c>
      <c r="DJ70" s="9" t="n">
        <v>1.18</v>
      </c>
      <c r="DK70" s="9" t="n">
        <v>11.91</v>
      </c>
      <c r="DL70" s="9" t="n">
        <v>4.26</v>
      </c>
      <c r="DM70" s="9" t="n">
        <v>35.8</v>
      </c>
      <c r="DN70" s="9" t="n">
        <v>364.76</v>
      </c>
      <c r="DO70" s="9" t="n">
        <v>294.29</v>
      </c>
      <c r="DP70" s="9" t="n">
        <v>80.68000000000001</v>
      </c>
      <c r="DQ70" s="9" t="n">
        <v>52.42</v>
      </c>
      <c r="DR70" s="9" t="n">
        <v>109.03</v>
      </c>
      <c r="DS70" s="9" t="n">
        <v>20.09</v>
      </c>
      <c r="DT70" s="9" t="n">
        <v>39.03</v>
      </c>
      <c r="DU70" s="9" t="n">
        <v>49.91</v>
      </c>
      <c r="DV70" s="9" t="n">
        <v>80.97</v>
      </c>
      <c r="DW70" s="9" t="n">
        <v>39.71</v>
      </c>
      <c r="DX70" s="9" t="n">
        <v>30.71</v>
      </c>
      <c r="DY70" s="9" t="n">
        <v>10.56</v>
      </c>
      <c r="DZ70" s="9" t="n">
        <v>210.03</v>
      </c>
      <c r="EA70" s="9" t="n">
        <v>99.97</v>
      </c>
      <c r="EB70" s="9" t="n">
        <v>47.6</v>
      </c>
      <c r="EC70" s="9" t="n">
        <v>5.47</v>
      </c>
      <c r="ED70" s="9" t="n">
        <v>1.53</v>
      </c>
      <c r="EE70" s="9" t="n">
        <v>27.96</v>
      </c>
      <c r="EF70" s="9" t="n">
        <v>29.71</v>
      </c>
      <c r="EG70" s="9" t="n">
        <v>7.12</v>
      </c>
      <c r="EH70" s="9" t="n">
        <v>23.96</v>
      </c>
      <c r="EI70" s="9" t="n">
        <v>0.5600000000000001</v>
      </c>
      <c r="EJ70" s="9" t="n">
        <v>0.18</v>
      </c>
      <c r="EK70" s="9" t="n">
        <v>31.58</v>
      </c>
      <c r="EL70" s="9" t="n">
        <v>29.03</v>
      </c>
      <c r="EM70" s="9" t="n">
        <v>4.09</v>
      </c>
      <c r="EN70" s="9" t="n">
        <v>14.08</v>
      </c>
      <c r="EO70" s="9" t="n">
        <v>6.06</v>
      </c>
      <c r="EP70" s="9" t="n">
        <v>1.71</v>
      </c>
      <c r="EQ70" s="9" t="n">
        <v>28.16</v>
      </c>
      <c r="ER70" s="9" t="n">
        <v>2.21</v>
      </c>
      <c r="ES70" s="9" t="n">
        <v>0.65</v>
      </c>
      <c r="ET70" s="9" t="n">
        <v>29.33</v>
      </c>
      <c r="EU70" s="9" t="n">
        <v>0.09</v>
      </c>
      <c r="EV70" s="9" t="n">
        <v>0.09</v>
      </c>
      <c r="EW70" s="9" t="n">
        <v>100</v>
      </c>
      <c r="EX70" s="9" t="n">
        <v>15.74</v>
      </c>
      <c r="EY70" s="9" t="n">
        <v>4.94</v>
      </c>
      <c r="EZ70" s="9" t="n">
        <v>31.4</v>
      </c>
      <c r="FA70" s="9" t="n">
        <v>4.56</v>
      </c>
      <c r="FB70" s="9" t="n">
        <v>7.44</v>
      </c>
      <c r="FC70" s="9" t="n">
        <v>24.35</v>
      </c>
      <c r="FD70" s="9" t="n">
        <v>3.76</v>
      </c>
      <c r="FE70" s="9" t="n">
        <v>9.15</v>
      </c>
      <c r="FF70" s="9" t="n">
        <v>16.12</v>
      </c>
      <c r="FG70" s="9" t="n">
        <v>71.88</v>
      </c>
      <c r="FH70" s="9" t="n">
        <v>27.41</v>
      </c>
      <c r="FI70" s="9" t="n">
        <v>38.13</v>
      </c>
      <c r="FJ70" s="9" t="n">
        <v>0.97</v>
      </c>
      <c r="FK70" s="9" t="n">
        <v>1.06</v>
      </c>
      <c r="FL70" s="9" t="n">
        <v>9.41</v>
      </c>
      <c r="FM70" s="9" t="n">
        <v>3.35</v>
      </c>
      <c r="FN70" s="9" t="n">
        <v>35.63</v>
      </c>
      <c r="FO70" s="9" t="n">
        <v>66.88</v>
      </c>
      <c r="FP70" s="9" t="n">
        <v>41.97</v>
      </c>
      <c r="FQ70" s="9" t="n">
        <v>62.75</v>
      </c>
      <c r="FR70" s="9" t="n">
        <v>42</v>
      </c>
      <c r="FS70" s="9" t="n">
        <v>18.59</v>
      </c>
      <c r="FT70" s="9" t="n">
        <v>44.26</v>
      </c>
      <c r="FU70" s="9" t="n">
        <v>3.18</v>
      </c>
      <c r="FV70" s="9" t="n">
        <v>1.47</v>
      </c>
      <c r="FW70" s="9" t="n">
        <v>46.3</v>
      </c>
      <c r="FX70" s="9" t="n">
        <v>37.76</v>
      </c>
      <c r="FY70" s="9" t="n">
        <v>14.47</v>
      </c>
      <c r="FZ70" s="9" t="n">
        <v>12.24</v>
      </c>
      <c r="GA70" s="9" t="n">
        <v>2.91</v>
      </c>
      <c r="GB70" s="9" t="n">
        <v>0.15</v>
      </c>
      <c r="GC70" s="9" t="n">
        <v>133.82</v>
      </c>
      <c r="GD70" s="9" t="n">
        <v>95.68000000000001</v>
      </c>
      <c r="GE70" s="9" t="n">
        <v>71.48999999999999</v>
      </c>
      <c r="GF70" s="9" t="n">
        <v>55.18</v>
      </c>
      <c r="GG70" s="9" t="n">
        <v>51.91</v>
      </c>
      <c r="GH70" s="9" t="n">
        <v>94.08</v>
      </c>
      <c r="GI70" s="9" t="n">
        <v>125.71</v>
      </c>
      <c r="GJ70" s="9" t="n">
        <v>108.29</v>
      </c>
      <c r="GK70" s="9" t="n">
        <v>86.15000000000001</v>
      </c>
      <c r="GL70" s="9" t="n">
        <v>44.38</v>
      </c>
      <c r="GM70" s="9" t="n">
        <v>24.09</v>
      </c>
      <c r="GN70" s="9" t="n">
        <v>54.27</v>
      </c>
      <c r="GO70" s="9" t="n">
        <v>53.68</v>
      </c>
      <c r="GP70" s="9" t="n">
        <v>37</v>
      </c>
      <c r="GQ70" s="9" t="n">
        <v>68.93000000000001</v>
      </c>
      <c r="GR70" s="9" t="n">
        <v>73.06</v>
      </c>
      <c r="GS70" s="9" t="n">
        <v>53.18</v>
      </c>
      <c r="GT70" s="9" t="n">
        <v>72.79000000000001</v>
      </c>
      <c r="GU70" s="9" t="n">
        <v>1.94</v>
      </c>
      <c r="GV70" s="9" t="n">
        <v>1.18</v>
      </c>
      <c r="GW70" s="9" t="n">
        <v>60.61</v>
      </c>
      <c r="GX70" s="9" t="n">
        <v>23.09</v>
      </c>
      <c r="GY70" s="9" t="n">
        <v>19.79</v>
      </c>
      <c r="GZ70" s="9" t="n">
        <v>85.73</v>
      </c>
      <c r="HA70" s="9" t="n">
        <v>7.26</v>
      </c>
      <c r="HB70" s="9" t="n">
        <v>14.85</v>
      </c>
      <c r="HC70" s="9" t="n">
        <v>3.4</v>
      </c>
      <c r="HD70" s="9" t="n">
        <v>12.97</v>
      </c>
      <c r="HE70" s="9" t="n">
        <v>19.38</v>
      </c>
      <c r="HF70" s="9" t="n">
        <v>20.83</v>
      </c>
      <c r="HG70" s="9" t="n">
        <v>9.25</v>
      </c>
    </row>
    <row r="71">
      <c r="A71" s="12" t="n">
        <v>2024</v>
      </c>
      <c r="B71" s="12" t="n">
        <v>44</v>
      </c>
      <c r="C71" s="5">
        <f>(B71-AVERAGE($B$2:$B$100))/_xlfn.STDEV.P($B$2:$B$100)</f>
        <v/>
      </c>
      <c r="D71" s="12" t="n">
        <v>10</v>
      </c>
      <c r="E71" s="6">
        <f>-D71</f>
        <v/>
      </c>
      <c r="F71" s="7">
        <f>(E71-AVERAGE($E$2:$E$100))/_xlfn.STDEV.P($E$2:$E$100)</f>
        <v/>
      </c>
      <c r="G71" s="7">
        <f>sum(0.5*C71)+(0.5*F71)</f>
        <v/>
      </c>
      <c r="H71" s="12" t="inlineStr">
        <is>
          <t>East</t>
        </is>
      </c>
      <c r="I71" s="8" t="inlineStr">
        <is>
          <t>Hartford Athletic</t>
        </is>
      </c>
      <c r="J71" s="9" t="n">
        <v>1.15</v>
      </c>
      <c r="K71" s="9" t="n">
        <v>1.34</v>
      </c>
      <c r="L71" s="9" t="n">
        <v>10.06</v>
      </c>
      <c r="M71" s="9" t="n">
        <v>3.79</v>
      </c>
      <c r="N71" s="9" t="n">
        <v>37.72</v>
      </c>
      <c r="O71" s="9" t="n">
        <v>387.53</v>
      </c>
      <c r="P71" s="9" t="n">
        <v>317.26</v>
      </c>
      <c r="Q71" s="9" t="n">
        <v>81.87</v>
      </c>
      <c r="R71" s="9" t="n">
        <v>48.96</v>
      </c>
      <c r="S71" s="9" t="n">
        <v>101.41</v>
      </c>
      <c r="T71" s="9" t="n">
        <v>19.41</v>
      </c>
      <c r="U71" s="9" t="n">
        <v>35.85</v>
      </c>
      <c r="V71" s="9" t="n">
        <v>46.15</v>
      </c>
      <c r="W71" s="9" t="n">
        <v>75.47</v>
      </c>
      <c r="X71" s="9" t="n">
        <v>36.12</v>
      </c>
      <c r="Y71" s="9" t="n">
        <v>28.71</v>
      </c>
      <c r="Z71" s="9" t="n">
        <v>10.65</v>
      </c>
      <c r="AA71" s="9" t="n">
        <v>186.82</v>
      </c>
      <c r="AB71" s="9" t="n">
        <v>90.81999999999999</v>
      </c>
      <c r="AC71" s="9" t="n">
        <v>48.61</v>
      </c>
      <c r="AD71" s="9" t="n">
        <v>3.68</v>
      </c>
      <c r="AE71" s="9" t="n">
        <v>1.03</v>
      </c>
      <c r="AF71" s="9" t="n">
        <v>28</v>
      </c>
      <c r="AG71" s="9" t="n">
        <v>25</v>
      </c>
      <c r="AH71" s="9" t="n">
        <v>6.15</v>
      </c>
      <c r="AI71" s="9" t="n">
        <v>24.59</v>
      </c>
      <c r="AJ71" s="9" t="n">
        <v>0.9399999999999999</v>
      </c>
      <c r="AK71" s="9" t="n">
        <v>0.29</v>
      </c>
      <c r="AL71" s="9" t="n">
        <v>31.25</v>
      </c>
      <c r="AM71" s="9" t="n">
        <v>26.53</v>
      </c>
      <c r="AN71" s="9" t="n">
        <v>3.18</v>
      </c>
      <c r="AO71" s="9" t="n">
        <v>11.97</v>
      </c>
      <c r="AP71" s="9" t="n">
        <v>4.32</v>
      </c>
      <c r="AQ71" s="9" t="n">
        <v>1.44</v>
      </c>
      <c r="AR71" s="9" t="n">
        <v>33.33</v>
      </c>
      <c r="AS71" s="9" t="n">
        <v>1.71</v>
      </c>
      <c r="AT71" s="9" t="n">
        <v>0.24</v>
      </c>
      <c r="AU71" s="9" t="n">
        <v>13.79</v>
      </c>
      <c r="AV71" s="9" t="n">
        <v>0.09</v>
      </c>
      <c r="AW71" s="9" t="n">
        <v>0.06</v>
      </c>
      <c r="AX71" s="9" t="n">
        <v>66.67</v>
      </c>
      <c r="AY71" s="9" t="n">
        <v>13.35</v>
      </c>
      <c r="AZ71" s="9" t="n">
        <v>4.15</v>
      </c>
      <c r="BA71" s="9" t="n">
        <v>31.06</v>
      </c>
      <c r="BB71" s="9" t="n">
        <v>4.03</v>
      </c>
      <c r="BC71" s="9" t="n">
        <v>6.06</v>
      </c>
      <c r="BD71" s="9" t="n">
        <v>22.94</v>
      </c>
      <c r="BE71" s="9" t="n">
        <v>4.12</v>
      </c>
      <c r="BF71" s="9" t="n">
        <v>8.18</v>
      </c>
      <c r="BG71" s="9" t="n">
        <v>15.65</v>
      </c>
      <c r="BH71" s="9" t="n">
        <v>63.15</v>
      </c>
      <c r="BI71" s="9" t="n">
        <v>25.32</v>
      </c>
      <c r="BJ71" s="9" t="n">
        <v>40.1</v>
      </c>
      <c r="BK71" s="9" t="n">
        <v>2.15</v>
      </c>
      <c r="BL71" s="9" t="n">
        <v>1.53</v>
      </c>
      <c r="BM71" s="9" t="n">
        <v>14.53</v>
      </c>
      <c r="BN71" s="9" t="n">
        <v>5.38</v>
      </c>
      <c r="BO71" s="9" t="n">
        <v>37.04</v>
      </c>
      <c r="BP71" s="9" t="n">
        <v>62.94</v>
      </c>
      <c r="BQ71" s="9" t="n">
        <v>38</v>
      </c>
      <c r="BR71" s="9" t="n">
        <v>60.37</v>
      </c>
      <c r="BS71" s="9" t="n">
        <v>37.62</v>
      </c>
      <c r="BT71" s="9" t="n">
        <v>17.62</v>
      </c>
      <c r="BU71" s="9" t="n">
        <v>46.83</v>
      </c>
      <c r="BV71" s="9" t="n">
        <v>2.94</v>
      </c>
      <c r="BW71" s="9" t="n">
        <v>1.65</v>
      </c>
      <c r="BX71" s="9" t="n">
        <v>56</v>
      </c>
      <c r="BY71" s="9" t="n">
        <v>40.85</v>
      </c>
      <c r="BZ71" s="9" t="n">
        <v>14.32</v>
      </c>
      <c r="CA71" s="9" t="n">
        <v>12.5</v>
      </c>
      <c r="CB71" s="9" t="n">
        <v>2.35</v>
      </c>
      <c r="CC71" s="9" t="n">
        <v>0.12</v>
      </c>
      <c r="CD71" s="9" t="n">
        <v>132.82</v>
      </c>
      <c r="CE71" s="9" t="n">
        <v>91.76000000000001</v>
      </c>
      <c r="CF71" s="9" t="n">
        <v>69.09</v>
      </c>
      <c r="CG71" s="9" t="n">
        <v>59.35</v>
      </c>
      <c r="CH71" s="9" t="n">
        <v>56.09</v>
      </c>
      <c r="CI71" s="9" t="n">
        <v>94.5</v>
      </c>
      <c r="CJ71" s="9" t="n">
        <v>144.24</v>
      </c>
      <c r="CK71" s="9" t="n">
        <v>127.82</v>
      </c>
      <c r="CL71" s="9" t="n">
        <v>88.62</v>
      </c>
      <c r="CM71" s="9" t="n">
        <v>51.56</v>
      </c>
      <c r="CN71" s="9" t="n">
        <v>26.26</v>
      </c>
      <c r="CO71" s="9" t="n">
        <v>50.94</v>
      </c>
      <c r="CP71" s="9" t="n">
        <v>52.79</v>
      </c>
      <c r="CQ71" s="9" t="n">
        <v>33.38</v>
      </c>
      <c r="CR71" s="9" t="n">
        <v>63.23</v>
      </c>
      <c r="CS71" s="9" t="n">
        <v>67.06</v>
      </c>
      <c r="CT71" s="9" t="n">
        <v>46.53</v>
      </c>
      <c r="CU71" s="9" t="n">
        <v>69.39</v>
      </c>
      <c r="CV71" s="9" t="n">
        <v>1.82</v>
      </c>
      <c r="CW71" s="9" t="n">
        <v>0.79</v>
      </c>
      <c r="CX71" s="9" t="n">
        <v>43.55</v>
      </c>
      <c r="CY71" s="9" t="n">
        <v>18.15</v>
      </c>
      <c r="CZ71" s="9" t="n">
        <v>16.65</v>
      </c>
      <c r="DA71" s="9" t="n">
        <v>91.73</v>
      </c>
      <c r="DB71" s="9" t="n">
        <v>8.85</v>
      </c>
      <c r="DC71" s="9" t="n">
        <v>15.72</v>
      </c>
      <c r="DD71" s="9" t="n">
        <v>3.93</v>
      </c>
      <c r="DE71" s="9" t="n">
        <v>13.9</v>
      </c>
      <c r="DF71" s="9" t="n">
        <v>18.01</v>
      </c>
      <c r="DG71" s="9" t="n">
        <v>20.77</v>
      </c>
      <c r="DH71" s="9" t="n">
        <v>11.77</v>
      </c>
      <c r="DI71" s="9" t="n">
        <v>1.53</v>
      </c>
      <c r="DJ71" s="9" t="n">
        <v>1.7</v>
      </c>
      <c r="DK71" s="9" t="n">
        <v>14.53</v>
      </c>
      <c r="DL71" s="9" t="n">
        <v>5.15</v>
      </c>
      <c r="DM71" s="9" t="n">
        <v>35.43</v>
      </c>
      <c r="DN71" s="9" t="n">
        <v>412.03</v>
      </c>
      <c r="DO71" s="9" t="n">
        <v>343.53</v>
      </c>
      <c r="DP71" s="9" t="n">
        <v>83.37</v>
      </c>
      <c r="DQ71" s="9" t="n">
        <v>51.04</v>
      </c>
      <c r="DR71" s="9" t="n">
        <v>100.76</v>
      </c>
      <c r="DS71" s="9" t="n">
        <v>17.68</v>
      </c>
      <c r="DT71" s="9" t="n">
        <v>34.94</v>
      </c>
      <c r="DU71" s="9" t="n">
        <v>48.15</v>
      </c>
      <c r="DV71" s="9" t="n">
        <v>76</v>
      </c>
      <c r="DW71" s="9" t="n">
        <v>33.56</v>
      </c>
      <c r="DX71" s="9" t="n">
        <v>30.47</v>
      </c>
      <c r="DY71" s="9" t="n">
        <v>11.97</v>
      </c>
      <c r="DZ71" s="9" t="n">
        <v>186.82</v>
      </c>
      <c r="EA71" s="9" t="n">
        <v>89.26000000000001</v>
      </c>
      <c r="EB71" s="9" t="n">
        <v>47.78</v>
      </c>
      <c r="EC71" s="9" t="n">
        <v>6.65</v>
      </c>
      <c r="ED71" s="9" t="n">
        <v>1.76</v>
      </c>
      <c r="EE71" s="9" t="n">
        <v>26.55</v>
      </c>
      <c r="EF71" s="9" t="n">
        <v>30.29</v>
      </c>
      <c r="EG71" s="9" t="n">
        <v>8.82</v>
      </c>
      <c r="EH71" s="9" t="n">
        <v>29.13</v>
      </c>
      <c r="EI71" s="9" t="n">
        <v>0.65</v>
      </c>
      <c r="EJ71" s="9" t="n">
        <v>0.44</v>
      </c>
      <c r="EK71" s="9" t="n">
        <v>68.18000000000001</v>
      </c>
      <c r="EL71" s="9" t="n">
        <v>27.91</v>
      </c>
      <c r="EM71" s="9" t="n">
        <v>4.41</v>
      </c>
      <c r="EN71" s="9" t="n">
        <v>15.81</v>
      </c>
      <c r="EO71" s="9" t="n">
        <v>6.18</v>
      </c>
      <c r="EP71" s="9" t="n">
        <v>2.12</v>
      </c>
      <c r="EQ71" s="9" t="n">
        <v>34.29</v>
      </c>
      <c r="ER71" s="9" t="n">
        <v>2.74</v>
      </c>
      <c r="ES71" s="9" t="n">
        <v>0.82</v>
      </c>
      <c r="ET71" s="9" t="n">
        <v>30.11</v>
      </c>
      <c r="EU71" s="9" t="n">
        <v>0.24</v>
      </c>
      <c r="EV71" s="9" t="n">
        <v>0.24</v>
      </c>
      <c r="EW71" s="9" t="n">
        <v>100</v>
      </c>
      <c r="EX71" s="9" t="n">
        <v>17.18</v>
      </c>
      <c r="EY71" s="9" t="n">
        <v>5.91</v>
      </c>
      <c r="EZ71" s="9" t="n">
        <v>34.42</v>
      </c>
      <c r="FA71" s="9" t="n">
        <v>5.65</v>
      </c>
      <c r="FB71" s="9" t="n">
        <v>7.53</v>
      </c>
      <c r="FC71" s="9" t="n">
        <v>25.09</v>
      </c>
      <c r="FD71" s="9" t="n">
        <v>4.03</v>
      </c>
      <c r="FE71" s="9" t="n">
        <v>11</v>
      </c>
      <c r="FF71" s="9" t="n">
        <v>18.03</v>
      </c>
      <c r="FG71" s="9" t="n">
        <v>62.94</v>
      </c>
      <c r="FH71" s="9" t="n">
        <v>24.94</v>
      </c>
      <c r="FI71" s="9" t="n">
        <v>39.63</v>
      </c>
      <c r="FJ71" s="9" t="n">
        <v>1.35</v>
      </c>
      <c r="FK71" s="9" t="n">
        <v>1.15</v>
      </c>
      <c r="FL71" s="9" t="n">
        <v>10.06</v>
      </c>
      <c r="FM71" s="9" t="n">
        <v>4</v>
      </c>
      <c r="FN71" s="9" t="n">
        <v>39.77</v>
      </c>
      <c r="FO71" s="9" t="n">
        <v>63.15</v>
      </c>
      <c r="FP71" s="9" t="n">
        <v>37.82</v>
      </c>
      <c r="FQ71" s="9" t="n">
        <v>59.9</v>
      </c>
      <c r="FR71" s="9" t="n">
        <v>37.62</v>
      </c>
      <c r="FS71" s="9" t="n">
        <v>17.18</v>
      </c>
      <c r="FT71" s="9" t="n">
        <v>45.66</v>
      </c>
      <c r="FU71" s="9" t="n">
        <v>2.15</v>
      </c>
      <c r="FV71" s="9" t="n">
        <v>0.9399999999999999</v>
      </c>
      <c r="FW71" s="9" t="n">
        <v>43.84</v>
      </c>
      <c r="FX71" s="9" t="n">
        <v>32.47</v>
      </c>
      <c r="FY71" s="9" t="n">
        <v>13.21</v>
      </c>
      <c r="FZ71" s="9" t="n">
        <v>13.62</v>
      </c>
      <c r="GA71" s="9" t="n">
        <v>2.18</v>
      </c>
      <c r="GB71" s="9" t="n">
        <v>0.03</v>
      </c>
      <c r="GC71" s="9" t="n">
        <v>141.91</v>
      </c>
      <c r="GD71" s="9" t="n">
        <v>105.74</v>
      </c>
      <c r="GE71" s="9" t="n">
        <v>74.51000000000001</v>
      </c>
      <c r="GF71" s="9" t="n">
        <v>58.88</v>
      </c>
      <c r="GG71" s="9" t="n">
        <v>54.97</v>
      </c>
      <c r="GH71" s="9" t="n">
        <v>93.36</v>
      </c>
      <c r="GI71" s="9" t="n">
        <v>154.21</v>
      </c>
      <c r="GJ71" s="9" t="n">
        <v>136.21</v>
      </c>
      <c r="GK71" s="9" t="n">
        <v>88.33</v>
      </c>
      <c r="GL71" s="9" t="n">
        <v>43.06</v>
      </c>
      <c r="GM71" s="9" t="n">
        <v>24.65</v>
      </c>
      <c r="GN71" s="9" t="n">
        <v>57.24</v>
      </c>
      <c r="GO71" s="9" t="n">
        <v>53.56</v>
      </c>
      <c r="GP71" s="9" t="n">
        <v>38.88</v>
      </c>
      <c r="GQ71" s="9" t="n">
        <v>72.59999999999999</v>
      </c>
      <c r="GR71" s="9" t="n">
        <v>75.06</v>
      </c>
      <c r="GS71" s="9" t="n">
        <v>56.76</v>
      </c>
      <c r="GT71" s="9" t="n">
        <v>75.63</v>
      </c>
      <c r="GU71" s="9" t="n">
        <v>1.29</v>
      </c>
      <c r="GV71" s="9" t="n">
        <v>0.68</v>
      </c>
      <c r="GW71" s="9" t="n">
        <v>52.27</v>
      </c>
      <c r="GX71" s="9" t="n">
        <v>20.59</v>
      </c>
      <c r="GY71" s="9" t="n">
        <v>17.88</v>
      </c>
      <c r="GZ71" s="9" t="n">
        <v>86.86</v>
      </c>
      <c r="HA71" s="9" t="n">
        <v>7.79</v>
      </c>
      <c r="HB71" s="9" t="n">
        <v>16.14</v>
      </c>
      <c r="HC71" s="9" t="n">
        <v>3.97</v>
      </c>
      <c r="HD71" s="9" t="n">
        <v>10.87</v>
      </c>
      <c r="HE71" s="9" t="n">
        <v>18.76</v>
      </c>
      <c r="HF71" s="9" t="n">
        <v>19.76</v>
      </c>
      <c r="HG71" s="9" t="n">
        <v>11.05</v>
      </c>
    </row>
    <row r="72">
      <c r="A72" s="12" t="n">
        <v>2024</v>
      </c>
      <c r="B72" s="12" t="n">
        <v>38</v>
      </c>
      <c r="C72" s="5">
        <f>(B72-AVERAGE($B$2:$B$100))/_xlfn.STDEV.P($B$2:$B$100)</f>
        <v/>
      </c>
      <c r="D72" s="12" t="n">
        <v>10</v>
      </c>
      <c r="E72" s="6">
        <f>-D72</f>
        <v/>
      </c>
      <c r="F72" s="7">
        <f>(E72-AVERAGE($E$2:$E$100))/_xlfn.STDEV.P($E$2:$E$100)</f>
        <v/>
      </c>
      <c r="G72" s="7">
        <f>sum(0.5*C72)+(0.5*F72)</f>
        <v/>
      </c>
      <c r="H72" s="12" t="inlineStr">
        <is>
          <t>West</t>
        </is>
      </c>
      <c r="I72" s="8" t="inlineStr">
        <is>
          <t>FC Tulsa</t>
        </is>
      </c>
      <c r="J72" s="9" t="n">
        <v>0.97</v>
      </c>
      <c r="K72" s="9" t="n">
        <v>1.09</v>
      </c>
      <c r="L72" s="9" t="n">
        <v>9.970000000000001</v>
      </c>
      <c r="M72" s="9" t="n">
        <v>3.41</v>
      </c>
      <c r="N72" s="9" t="n">
        <v>34.22</v>
      </c>
      <c r="O72" s="9" t="n">
        <v>335.24</v>
      </c>
      <c r="P72" s="9" t="n">
        <v>266.56</v>
      </c>
      <c r="Q72" s="9" t="n">
        <v>79.51000000000001</v>
      </c>
      <c r="R72" s="9" t="n">
        <v>45.55</v>
      </c>
      <c r="S72" s="9" t="n">
        <v>109.24</v>
      </c>
      <c r="T72" s="9" t="n">
        <v>20.21</v>
      </c>
      <c r="U72" s="9" t="n">
        <v>40.38</v>
      </c>
      <c r="V72" s="9" t="n">
        <v>48.65</v>
      </c>
      <c r="W72" s="9" t="n">
        <v>77.56</v>
      </c>
      <c r="X72" s="9" t="n">
        <v>34.88</v>
      </c>
      <c r="Y72" s="9" t="n">
        <v>32.32</v>
      </c>
      <c r="Z72" s="9" t="n">
        <v>10.35</v>
      </c>
      <c r="AA72" s="9" t="n">
        <v>211.38</v>
      </c>
      <c r="AB72" s="9" t="n">
        <v>99.76000000000001</v>
      </c>
      <c r="AC72" s="9" t="n">
        <v>47.2</v>
      </c>
      <c r="AD72" s="9" t="n">
        <v>4.18</v>
      </c>
      <c r="AE72" s="9" t="n">
        <v>1.29</v>
      </c>
      <c r="AF72" s="9" t="n">
        <v>30.99</v>
      </c>
      <c r="AG72" s="9" t="n">
        <v>24.68</v>
      </c>
      <c r="AH72" s="9" t="n">
        <v>6.09</v>
      </c>
      <c r="AI72" s="9" t="n">
        <v>24.67</v>
      </c>
      <c r="AJ72" s="9" t="n">
        <v>0.53</v>
      </c>
      <c r="AK72" s="9" t="n">
        <v>0.32</v>
      </c>
      <c r="AL72" s="9" t="n">
        <v>61.11</v>
      </c>
      <c r="AM72" s="9" t="n">
        <v>27.26</v>
      </c>
      <c r="AN72" s="9" t="n">
        <v>3.12</v>
      </c>
      <c r="AO72" s="9" t="n">
        <v>11.43</v>
      </c>
      <c r="AP72" s="9" t="n">
        <v>4.71</v>
      </c>
      <c r="AQ72" s="9" t="n">
        <v>1.21</v>
      </c>
      <c r="AR72" s="9" t="n">
        <v>25.63</v>
      </c>
      <c r="AS72" s="9" t="n">
        <v>2.76</v>
      </c>
      <c r="AT72" s="9" t="n">
        <v>0.47</v>
      </c>
      <c r="AU72" s="9" t="n">
        <v>17.02</v>
      </c>
      <c r="AV72" s="9" t="n">
        <v>0.12</v>
      </c>
      <c r="AW72" s="9" t="n">
        <v>0.06</v>
      </c>
      <c r="AX72" s="9" t="n">
        <v>50</v>
      </c>
      <c r="AY72" s="9" t="n">
        <v>13.35</v>
      </c>
      <c r="AZ72" s="9" t="n">
        <v>4.44</v>
      </c>
      <c r="BA72" s="9" t="n">
        <v>33.26</v>
      </c>
      <c r="BB72" s="9" t="n">
        <v>4.18</v>
      </c>
      <c r="BC72" s="9" t="n">
        <v>6.06</v>
      </c>
      <c r="BD72" s="9" t="n">
        <v>21.68</v>
      </c>
      <c r="BE72" s="9" t="n">
        <v>2.18</v>
      </c>
      <c r="BF72" s="9" t="n">
        <v>8.94</v>
      </c>
      <c r="BG72" s="9" t="n">
        <v>14.44</v>
      </c>
      <c r="BH72" s="9" t="n">
        <v>65.44</v>
      </c>
      <c r="BI72" s="9" t="n">
        <v>24.15</v>
      </c>
      <c r="BJ72" s="9" t="n">
        <v>36.9</v>
      </c>
      <c r="BK72" s="9" t="n">
        <v>1.85</v>
      </c>
      <c r="BL72" s="9" t="n">
        <v>1.41</v>
      </c>
      <c r="BM72" s="9" t="n">
        <v>14.5</v>
      </c>
      <c r="BN72" s="9" t="n">
        <v>4.91</v>
      </c>
      <c r="BO72" s="9" t="n">
        <v>33.87</v>
      </c>
      <c r="BP72" s="9" t="n">
        <v>73.20999999999999</v>
      </c>
      <c r="BQ72" s="9" t="n">
        <v>44.88</v>
      </c>
      <c r="BR72" s="9" t="n">
        <v>61.31</v>
      </c>
      <c r="BS72" s="9" t="n">
        <v>45.56</v>
      </c>
      <c r="BT72" s="9" t="n">
        <v>19.06</v>
      </c>
      <c r="BU72" s="9" t="n">
        <v>41.83</v>
      </c>
      <c r="BV72" s="9" t="n">
        <v>3.29</v>
      </c>
      <c r="BW72" s="9" t="n">
        <v>1.79</v>
      </c>
      <c r="BX72" s="9" t="n">
        <v>54.46</v>
      </c>
      <c r="BY72" s="9" t="n">
        <v>39.71</v>
      </c>
      <c r="BZ72" s="9" t="n">
        <v>15.26</v>
      </c>
      <c r="CA72" s="9" t="n">
        <v>14.85</v>
      </c>
      <c r="CB72" s="9" t="n">
        <v>2.74</v>
      </c>
      <c r="CC72" s="9" t="n">
        <v>0.09</v>
      </c>
      <c r="CD72" s="9" t="n">
        <v>125.68</v>
      </c>
      <c r="CE72" s="9" t="n">
        <v>87.15000000000001</v>
      </c>
      <c r="CF72" s="9" t="n">
        <v>69.34</v>
      </c>
      <c r="CG72" s="9" t="n">
        <v>49.76</v>
      </c>
      <c r="CH72" s="9" t="n">
        <v>46.24</v>
      </c>
      <c r="CI72" s="9" t="n">
        <v>92.91</v>
      </c>
      <c r="CJ72" s="9" t="n">
        <v>119</v>
      </c>
      <c r="CK72" s="9" t="n">
        <v>101.85</v>
      </c>
      <c r="CL72" s="9" t="n">
        <v>85.59</v>
      </c>
      <c r="CM72" s="9" t="n">
        <v>50.24</v>
      </c>
      <c r="CN72" s="9" t="n">
        <v>28.88</v>
      </c>
      <c r="CO72" s="9" t="n">
        <v>57.49</v>
      </c>
      <c r="CP72" s="9" t="n">
        <v>49.35</v>
      </c>
      <c r="CQ72" s="9" t="n">
        <v>31.41</v>
      </c>
      <c r="CR72" s="9" t="n">
        <v>63.65</v>
      </c>
      <c r="CS72" s="9" t="n">
        <v>67.31999999999999</v>
      </c>
      <c r="CT72" s="9" t="n">
        <v>48.41</v>
      </c>
      <c r="CU72" s="9" t="n">
        <v>71.91</v>
      </c>
      <c r="CV72" s="9" t="n">
        <v>1.15</v>
      </c>
      <c r="CW72" s="9" t="n">
        <v>0.32</v>
      </c>
      <c r="CX72" s="9" t="n">
        <v>28.21</v>
      </c>
      <c r="CY72" s="9" t="n">
        <v>20.38</v>
      </c>
      <c r="CZ72" s="9" t="n">
        <v>17.44</v>
      </c>
      <c r="DA72" s="9" t="n">
        <v>85.56999999999999</v>
      </c>
      <c r="DB72" s="9" t="n">
        <v>10.5</v>
      </c>
      <c r="DC72" s="9" t="n">
        <v>15.26</v>
      </c>
      <c r="DD72" s="9" t="n">
        <v>3.32</v>
      </c>
      <c r="DE72" s="9" t="n">
        <v>15.71</v>
      </c>
      <c r="DF72" s="9" t="n">
        <v>19.23</v>
      </c>
      <c r="DG72" s="9" t="n">
        <v>21</v>
      </c>
      <c r="DH72" s="9" t="n">
        <v>10.61</v>
      </c>
      <c r="DI72" s="9" t="n">
        <v>1.41</v>
      </c>
      <c r="DJ72" s="9" t="n">
        <v>1.82</v>
      </c>
      <c r="DK72" s="9" t="n">
        <v>14.5</v>
      </c>
      <c r="DL72" s="9" t="n">
        <v>4.74</v>
      </c>
      <c r="DM72" s="9" t="n">
        <v>32.66</v>
      </c>
      <c r="DN72" s="9" t="n">
        <v>413.79</v>
      </c>
      <c r="DO72" s="9" t="n">
        <v>342.12</v>
      </c>
      <c r="DP72" s="9" t="n">
        <v>82.68000000000001</v>
      </c>
      <c r="DQ72" s="9" t="n">
        <v>54.45</v>
      </c>
      <c r="DR72" s="9" t="n">
        <v>106.5</v>
      </c>
      <c r="DS72" s="9" t="n">
        <v>17.79</v>
      </c>
      <c r="DT72" s="9" t="n">
        <v>40.82</v>
      </c>
      <c r="DU72" s="9" t="n">
        <v>47.88</v>
      </c>
      <c r="DV72" s="9" t="n">
        <v>82.44</v>
      </c>
      <c r="DW72" s="9" t="n">
        <v>36.18</v>
      </c>
      <c r="DX72" s="9" t="n">
        <v>35.09</v>
      </c>
      <c r="DY72" s="9" t="n">
        <v>11.18</v>
      </c>
      <c r="DZ72" s="9" t="n">
        <v>211.38</v>
      </c>
      <c r="EA72" s="9" t="n">
        <v>103</v>
      </c>
      <c r="EB72" s="9" t="n">
        <v>48.73</v>
      </c>
      <c r="EC72" s="9" t="n">
        <v>5.74</v>
      </c>
      <c r="ED72" s="9" t="n">
        <v>1.29</v>
      </c>
      <c r="EE72" s="9" t="n">
        <v>22.56</v>
      </c>
      <c r="EF72" s="9" t="n">
        <v>28.59</v>
      </c>
      <c r="EG72" s="9" t="n">
        <v>9.15</v>
      </c>
      <c r="EH72" s="9" t="n">
        <v>32</v>
      </c>
      <c r="EI72" s="9" t="n">
        <v>1.03</v>
      </c>
      <c r="EJ72" s="9" t="n">
        <v>0.53</v>
      </c>
      <c r="EK72" s="9" t="n">
        <v>51.43</v>
      </c>
      <c r="EL72" s="9" t="n">
        <v>27.35</v>
      </c>
      <c r="EM72" s="9" t="n">
        <v>4.03</v>
      </c>
      <c r="EN72" s="9" t="n">
        <v>14.73</v>
      </c>
      <c r="EO72" s="9" t="n">
        <v>4.74</v>
      </c>
      <c r="EP72" s="9" t="n">
        <v>1.41</v>
      </c>
      <c r="EQ72" s="9" t="n">
        <v>29.81</v>
      </c>
      <c r="ER72" s="9" t="n">
        <v>2.65</v>
      </c>
      <c r="ES72" s="9" t="n">
        <v>0.5600000000000001</v>
      </c>
      <c r="ET72" s="9" t="n">
        <v>21.11</v>
      </c>
      <c r="EU72" s="9" t="n">
        <v>0.32</v>
      </c>
      <c r="EV72" s="9" t="n">
        <v>0.24</v>
      </c>
      <c r="EW72" s="9" t="n">
        <v>72.73</v>
      </c>
      <c r="EX72" s="9" t="n">
        <v>15.62</v>
      </c>
      <c r="EY72" s="9" t="n">
        <v>5.15</v>
      </c>
      <c r="EZ72" s="9" t="n">
        <v>32.96</v>
      </c>
      <c r="FA72" s="9" t="n">
        <v>5.12</v>
      </c>
      <c r="FB72" s="9" t="n">
        <v>8.91</v>
      </c>
      <c r="FC72" s="9" t="n">
        <v>26.94</v>
      </c>
      <c r="FD72" s="9" t="n">
        <v>4.18</v>
      </c>
      <c r="FE72" s="9" t="n">
        <v>9.26</v>
      </c>
      <c r="FF72" s="9" t="n">
        <v>19.71</v>
      </c>
      <c r="FG72" s="9" t="n">
        <v>73.20999999999999</v>
      </c>
      <c r="FH72" s="9" t="n">
        <v>28.32</v>
      </c>
      <c r="FI72" s="9" t="n">
        <v>38.69</v>
      </c>
      <c r="FJ72" s="9" t="n">
        <v>1.97</v>
      </c>
      <c r="FK72" s="9" t="n">
        <v>0.97</v>
      </c>
      <c r="FL72" s="9" t="n">
        <v>9.970000000000001</v>
      </c>
      <c r="FM72" s="9" t="n">
        <v>3.59</v>
      </c>
      <c r="FN72" s="9" t="n">
        <v>35.99</v>
      </c>
      <c r="FO72" s="9" t="n">
        <v>65.44</v>
      </c>
      <c r="FP72" s="9" t="n">
        <v>41.29</v>
      </c>
      <c r="FQ72" s="9" t="n">
        <v>63.1</v>
      </c>
      <c r="FR72" s="9" t="n">
        <v>45.56</v>
      </c>
      <c r="FS72" s="9" t="n">
        <v>22.76</v>
      </c>
      <c r="FT72" s="9" t="n">
        <v>49.97</v>
      </c>
      <c r="FU72" s="9" t="n">
        <v>2.32</v>
      </c>
      <c r="FV72" s="9" t="n">
        <v>0.85</v>
      </c>
      <c r="FW72" s="9" t="n">
        <v>36.71</v>
      </c>
      <c r="FX72" s="9" t="n">
        <v>35.62</v>
      </c>
      <c r="FY72" s="9" t="n">
        <v>14.29</v>
      </c>
      <c r="FZ72" s="9" t="n">
        <v>12.94</v>
      </c>
      <c r="GA72" s="9" t="n">
        <v>2</v>
      </c>
      <c r="GB72" s="9" t="n">
        <v>0.09</v>
      </c>
      <c r="GC72" s="9" t="n">
        <v>143.41</v>
      </c>
      <c r="GD72" s="9" t="n">
        <v>102.32</v>
      </c>
      <c r="GE72" s="9" t="n">
        <v>71.34999999999999</v>
      </c>
      <c r="GF72" s="9" t="n">
        <v>66.38</v>
      </c>
      <c r="GG72" s="9" t="n">
        <v>62.91</v>
      </c>
      <c r="GH72" s="9" t="n">
        <v>94.77</v>
      </c>
      <c r="GI72" s="9" t="n">
        <v>149.32</v>
      </c>
      <c r="GJ72" s="9" t="n">
        <v>131.91</v>
      </c>
      <c r="GK72" s="9" t="n">
        <v>88.34</v>
      </c>
      <c r="GL72" s="9" t="n">
        <v>51.71</v>
      </c>
      <c r="GM72" s="9" t="n">
        <v>28.12</v>
      </c>
      <c r="GN72" s="9" t="n">
        <v>54.38</v>
      </c>
      <c r="GO72" s="9" t="n">
        <v>56.26</v>
      </c>
      <c r="GP72" s="9" t="n">
        <v>36.65</v>
      </c>
      <c r="GQ72" s="9" t="n">
        <v>65.13</v>
      </c>
      <c r="GR72" s="9" t="n">
        <v>74.94</v>
      </c>
      <c r="GS72" s="9" t="n">
        <v>55</v>
      </c>
      <c r="GT72" s="9" t="n">
        <v>73.39</v>
      </c>
      <c r="GU72" s="9" t="n">
        <v>1.47</v>
      </c>
      <c r="GV72" s="9" t="n">
        <v>0.79</v>
      </c>
      <c r="GW72" s="9" t="n">
        <v>54</v>
      </c>
      <c r="GX72" s="9" t="n">
        <v>21.38</v>
      </c>
      <c r="GY72" s="9" t="n">
        <v>18.94</v>
      </c>
      <c r="GZ72" s="9" t="n">
        <v>88.58</v>
      </c>
      <c r="HA72" s="9" t="n">
        <v>7.44</v>
      </c>
      <c r="HB72" s="9" t="n">
        <v>15.79</v>
      </c>
      <c r="HC72" s="9" t="n">
        <v>3.89</v>
      </c>
      <c r="HD72" s="9" t="n">
        <v>12.91</v>
      </c>
      <c r="HE72" s="9" t="n">
        <v>18.52</v>
      </c>
      <c r="HF72" s="9" t="n">
        <v>20.83</v>
      </c>
      <c r="HG72" s="9" t="n">
        <v>9.4</v>
      </c>
    </row>
    <row r="73">
      <c r="A73" s="12" t="n">
        <v>2024</v>
      </c>
      <c r="B73" s="12" t="n">
        <v>44</v>
      </c>
      <c r="C73" s="5">
        <f>(B73-AVERAGE($B$2:$B$100))/_xlfn.STDEV.P($B$2:$B$100)</f>
        <v/>
      </c>
      <c r="D73" s="12" t="n">
        <v>11</v>
      </c>
      <c r="E73" s="6">
        <f>-D73</f>
        <v/>
      </c>
      <c r="F73" s="7">
        <f>(E73-AVERAGE($E$2:$E$100))/_xlfn.STDEV.P($E$2:$E$100)</f>
        <v/>
      </c>
      <c r="G73" s="7">
        <f>sum(0.5*C73)+(0.5*F73)</f>
        <v/>
      </c>
      <c r="H73" s="12" t="inlineStr">
        <is>
          <t>East</t>
        </is>
      </c>
      <c r="I73" s="8" t="inlineStr">
        <is>
          <t>Loudoun United</t>
        </is>
      </c>
      <c r="J73" s="9" t="n">
        <v>1.29</v>
      </c>
      <c r="K73" s="9" t="n">
        <v>1.48</v>
      </c>
      <c r="L73" s="9" t="n">
        <v>10.88</v>
      </c>
      <c r="M73" s="9" t="n">
        <v>4.38</v>
      </c>
      <c r="N73" s="9" t="n">
        <v>40.27</v>
      </c>
      <c r="O73" s="9" t="n">
        <v>481.12</v>
      </c>
      <c r="P73" s="9" t="n">
        <v>407.62</v>
      </c>
      <c r="Q73" s="9" t="n">
        <v>84.72</v>
      </c>
      <c r="R73" s="9" t="n">
        <v>52.07</v>
      </c>
      <c r="S73" s="9" t="n">
        <v>104.24</v>
      </c>
      <c r="T73" s="9" t="n">
        <v>19.74</v>
      </c>
      <c r="U73" s="9" t="n">
        <v>39.82</v>
      </c>
      <c r="V73" s="9" t="n">
        <v>44.68</v>
      </c>
      <c r="W73" s="9" t="n">
        <v>78.94</v>
      </c>
      <c r="X73" s="9" t="n">
        <v>36</v>
      </c>
      <c r="Y73" s="9" t="n">
        <v>31.76</v>
      </c>
      <c r="Z73" s="9" t="n">
        <v>11.18</v>
      </c>
      <c r="AA73" s="9" t="n">
        <v>185.32</v>
      </c>
      <c r="AB73" s="9" t="n">
        <v>87.31999999999999</v>
      </c>
      <c r="AC73" s="9" t="n">
        <v>47.12</v>
      </c>
      <c r="AD73" s="9" t="n">
        <v>4.09</v>
      </c>
      <c r="AE73" s="9" t="n">
        <v>1.29</v>
      </c>
      <c r="AF73" s="9" t="n">
        <v>31.65</v>
      </c>
      <c r="AG73" s="9" t="n">
        <v>27.32</v>
      </c>
      <c r="AH73" s="9" t="n">
        <v>6.94</v>
      </c>
      <c r="AI73" s="9" t="n">
        <v>25.4</v>
      </c>
      <c r="AJ73" s="9" t="n">
        <v>0.53</v>
      </c>
      <c r="AK73" s="9" t="n">
        <v>0.44</v>
      </c>
      <c r="AL73" s="9" t="n">
        <v>83.33</v>
      </c>
      <c r="AM73" s="9" t="n">
        <v>25.41</v>
      </c>
      <c r="AN73" s="9" t="n">
        <v>2.97</v>
      </c>
      <c r="AO73" s="9" t="n">
        <v>11.69</v>
      </c>
      <c r="AP73" s="9" t="n">
        <v>4.03</v>
      </c>
      <c r="AQ73" s="9" t="n">
        <v>0.9399999999999999</v>
      </c>
      <c r="AR73" s="9" t="n">
        <v>23.36</v>
      </c>
      <c r="AS73" s="9" t="n">
        <v>2.44</v>
      </c>
      <c r="AT73" s="9" t="n">
        <v>0.5600000000000001</v>
      </c>
      <c r="AU73" s="9" t="n">
        <v>22.89</v>
      </c>
      <c r="AV73" s="9" t="n">
        <v>0.18</v>
      </c>
      <c r="AW73" s="9" t="n">
        <v>0.09</v>
      </c>
      <c r="AX73" s="9" t="n">
        <v>50</v>
      </c>
      <c r="AY73" s="9" t="n">
        <v>13.74</v>
      </c>
      <c r="AZ73" s="9" t="n">
        <v>4.74</v>
      </c>
      <c r="BA73" s="9" t="n">
        <v>34.48</v>
      </c>
      <c r="BB73" s="9" t="n">
        <v>4.47</v>
      </c>
      <c r="BC73" s="9" t="n">
        <v>8.32</v>
      </c>
      <c r="BD73" s="9" t="n">
        <v>23.59</v>
      </c>
      <c r="BE73" s="9" t="n">
        <v>4</v>
      </c>
      <c r="BF73" s="9" t="n">
        <v>7.85</v>
      </c>
      <c r="BG73" s="9" t="n">
        <v>17.21</v>
      </c>
      <c r="BH73" s="9" t="n">
        <v>66.18000000000001</v>
      </c>
      <c r="BI73" s="9" t="n">
        <v>24.94</v>
      </c>
      <c r="BJ73" s="9" t="n">
        <v>37.69</v>
      </c>
      <c r="BK73" s="9" t="n">
        <v>1.59</v>
      </c>
      <c r="BL73" s="9" t="n">
        <v>1.15</v>
      </c>
      <c r="BM73" s="9" t="n">
        <v>10.41</v>
      </c>
      <c r="BN73" s="9" t="n">
        <v>4.18</v>
      </c>
      <c r="BO73" s="9" t="n">
        <v>40.11</v>
      </c>
      <c r="BP73" s="9" t="n">
        <v>61.44</v>
      </c>
      <c r="BQ73" s="9" t="n">
        <v>36.24</v>
      </c>
      <c r="BR73" s="9" t="n">
        <v>58.98</v>
      </c>
      <c r="BS73" s="9" t="n">
        <v>32.03</v>
      </c>
      <c r="BT73" s="9" t="n">
        <v>15.47</v>
      </c>
      <c r="BU73" s="9" t="n">
        <v>48.3</v>
      </c>
      <c r="BV73" s="9" t="n">
        <v>2.38</v>
      </c>
      <c r="BW73" s="9" t="n">
        <v>1.15</v>
      </c>
      <c r="BX73" s="9" t="n">
        <v>48.15</v>
      </c>
      <c r="BY73" s="9" t="n">
        <v>37.21</v>
      </c>
      <c r="BZ73" s="9" t="n">
        <v>11.94</v>
      </c>
      <c r="CA73" s="9" t="n">
        <v>11.56</v>
      </c>
      <c r="CB73" s="9" t="n">
        <v>2.32</v>
      </c>
      <c r="CC73" s="9" t="n">
        <v>0.03</v>
      </c>
      <c r="CD73" s="9" t="n">
        <v>160.12</v>
      </c>
      <c r="CE73" s="9" t="n">
        <v>118.74</v>
      </c>
      <c r="CF73" s="9" t="n">
        <v>74.16</v>
      </c>
      <c r="CG73" s="9" t="n">
        <v>75.88</v>
      </c>
      <c r="CH73" s="9" t="n">
        <v>71.73999999999999</v>
      </c>
      <c r="CI73" s="9" t="n">
        <v>94.53</v>
      </c>
      <c r="CJ73" s="9" t="n">
        <v>171.18</v>
      </c>
      <c r="CK73" s="9" t="n">
        <v>154.97</v>
      </c>
      <c r="CL73" s="9" t="n">
        <v>90.53</v>
      </c>
      <c r="CM73" s="9" t="n">
        <v>42.97</v>
      </c>
      <c r="CN73" s="9" t="n">
        <v>22.47</v>
      </c>
      <c r="CO73" s="9" t="n">
        <v>52.29</v>
      </c>
      <c r="CP73" s="9" t="n">
        <v>54.74</v>
      </c>
      <c r="CQ73" s="9" t="n">
        <v>39.03</v>
      </c>
      <c r="CR73" s="9" t="n">
        <v>71.31</v>
      </c>
      <c r="CS73" s="9" t="n">
        <v>78.20999999999999</v>
      </c>
      <c r="CT73" s="9" t="n">
        <v>53.5</v>
      </c>
      <c r="CU73" s="9" t="n">
        <v>68.41</v>
      </c>
      <c r="CV73" s="9" t="n">
        <v>1.85</v>
      </c>
      <c r="CW73" s="9" t="n">
        <v>0.53</v>
      </c>
      <c r="CX73" s="9" t="n">
        <v>28.57</v>
      </c>
      <c r="CY73" s="9" t="n">
        <v>20.15</v>
      </c>
      <c r="CZ73" s="9" t="n">
        <v>18.41</v>
      </c>
      <c r="DA73" s="9" t="n">
        <v>91.39</v>
      </c>
      <c r="DB73" s="9" t="n">
        <v>6.82</v>
      </c>
      <c r="DC73" s="9" t="n">
        <v>17.22</v>
      </c>
      <c r="DD73" s="9" t="n">
        <v>4.76</v>
      </c>
      <c r="DE73" s="9" t="n">
        <v>9.289999999999999</v>
      </c>
      <c r="DF73" s="9" t="n">
        <v>17.73</v>
      </c>
      <c r="DG73" s="9" t="n">
        <v>18.79</v>
      </c>
      <c r="DH73" s="9" t="n">
        <v>12.54</v>
      </c>
      <c r="DI73" s="9" t="n">
        <v>1.15</v>
      </c>
      <c r="DJ73" s="9" t="n">
        <v>1.3</v>
      </c>
      <c r="DK73" s="9" t="n">
        <v>10.41</v>
      </c>
      <c r="DL73" s="9" t="n">
        <v>3.94</v>
      </c>
      <c r="DM73" s="9" t="n">
        <v>37.85</v>
      </c>
      <c r="DN73" s="9" t="n">
        <v>409.65</v>
      </c>
      <c r="DO73" s="9" t="n">
        <v>339.71</v>
      </c>
      <c r="DP73" s="9" t="n">
        <v>82.93000000000001</v>
      </c>
      <c r="DQ73" s="9" t="n">
        <v>47.93</v>
      </c>
      <c r="DR73" s="9" t="n">
        <v>101.79</v>
      </c>
      <c r="DS73" s="9" t="n">
        <v>18.15</v>
      </c>
      <c r="DT73" s="9" t="n">
        <v>35.88</v>
      </c>
      <c r="DU73" s="9" t="n">
        <v>47.76</v>
      </c>
      <c r="DV73" s="9" t="n">
        <v>80.65000000000001</v>
      </c>
      <c r="DW73" s="9" t="n">
        <v>34.12</v>
      </c>
      <c r="DX73" s="9" t="n">
        <v>33.65</v>
      </c>
      <c r="DY73" s="9" t="n">
        <v>12.88</v>
      </c>
      <c r="DZ73" s="9" t="n">
        <v>185.32</v>
      </c>
      <c r="EA73" s="9" t="n">
        <v>91.59</v>
      </c>
      <c r="EB73" s="9" t="n">
        <v>49.42</v>
      </c>
      <c r="EC73" s="9" t="n">
        <v>4.38</v>
      </c>
      <c r="ED73" s="9" t="n">
        <v>1.24</v>
      </c>
      <c r="EE73" s="9" t="n">
        <v>28.19</v>
      </c>
      <c r="EF73" s="9" t="n">
        <v>27.76</v>
      </c>
      <c r="EG73" s="9" t="n">
        <v>6.68</v>
      </c>
      <c r="EH73" s="9" t="n">
        <v>24.05</v>
      </c>
      <c r="EI73" s="9" t="n">
        <v>1.15</v>
      </c>
      <c r="EJ73" s="9" t="n">
        <v>0.68</v>
      </c>
      <c r="EK73" s="9" t="n">
        <v>58.97</v>
      </c>
      <c r="EL73" s="9" t="n">
        <v>22.88</v>
      </c>
      <c r="EM73" s="9" t="n">
        <v>2.62</v>
      </c>
      <c r="EN73" s="9" t="n">
        <v>11.44</v>
      </c>
      <c r="EO73" s="9" t="n">
        <v>3.94</v>
      </c>
      <c r="EP73" s="9" t="n">
        <v>1.03</v>
      </c>
      <c r="EQ73" s="9" t="n">
        <v>26.12</v>
      </c>
      <c r="ER73" s="9" t="n">
        <v>1.97</v>
      </c>
      <c r="ES73" s="9" t="n">
        <v>0.35</v>
      </c>
      <c r="ET73" s="9" t="n">
        <v>17.91</v>
      </c>
      <c r="EU73" s="9" t="n">
        <v>0.03</v>
      </c>
      <c r="EV73" s="9" t="n">
        <v>0.03</v>
      </c>
      <c r="EW73" s="9" t="n">
        <v>100</v>
      </c>
      <c r="EX73" s="9" t="n">
        <v>14.21</v>
      </c>
      <c r="EY73" s="9" t="n">
        <v>4.06</v>
      </c>
      <c r="EZ73" s="9" t="n">
        <v>28.57</v>
      </c>
      <c r="FA73" s="9" t="n">
        <v>4</v>
      </c>
      <c r="FB73" s="9" t="n">
        <v>6.21</v>
      </c>
      <c r="FC73" s="9" t="n">
        <v>22.65</v>
      </c>
      <c r="FD73" s="9" t="n">
        <v>4</v>
      </c>
      <c r="FE73" s="9" t="n">
        <v>8.789999999999999</v>
      </c>
      <c r="FF73" s="9" t="n">
        <v>15.38</v>
      </c>
      <c r="FG73" s="9" t="n">
        <v>61.44</v>
      </c>
      <c r="FH73" s="9" t="n">
        <v>25.21</v>
      </c>
      <c r="FI73" s="9" t="n">
        <v>41.02</v>
      </c>
      <c r="FJ73" s="9" t="n">
        <v>1.82</v>
      </c>
      <c r="FK73" s="9" t="n">
        <v>1.29</v>
      </c>
      <c r="FL73" s="9" t="n">
        <v>10.88</v>
      </c>
      <c r="FM73" s="9" t="n">
        <v>4.5</v>
      </c>
      <c r="FN73" s="9" t="n">
        <v>41.35</v>
      </c>
      <c r="FO73" s="9" t="n">
        <v>66.18000000000001</v>
      </c>
      <c r="FP73" s="9" t="n">
        <v>41.24</v>
      </c>
      <c r="FQ73" s="9" t="n">
        <v>62.31</v>
      </c>
      <c r="FR73" s="9" t="n">
        <v>32.03</v>
      </c>
      <c r="FS73" s="9" t="n">
        <v>14.21</v>
      </c>
      <c r="FT73" s="9" t="n">
        <v>44.35</v>
      </c>
      <c r="FU73" s="9" t="n">
        <v>3.44</v>
      </c>
      <c r="FV73" s="9" t="n">
        <v>1.26</v>
      </c>
      <c r="FW73" s="9" t="n">
        <v>36.75</v>
      </c>
      <c r="FX73" s="9" t="n">
        <v>40.82</v>
      </c>
      <c r="FY73" s="9" t="n">
        <v>15.26</v>
      </c>
      <c r="FZ73" s="9" t="n">
        <v>13.32</v>
      </c>
      <c r="GA73" s="9" t="n">
        <v>2.44</v>
      </c>
      <c r="GB73" s="9" t="n">
        <v>0.24</v>
      </c>
      <c r="GC73" s="9" t="n">
        <v>136.68</v>
      </c>
      <c r="GD73" s="9" t="n">
        <v>97.03</v>
      </c>
      <c r="GE73" s="9" t="n">
        <v>70.98999999999999</v>
      </c>
      <c r="GF73" s="9" t="n">
        <v>63.88</v>
      </c>
      <c r="GG73" s="9" t="n">
        <v>60.38</v>
      </c>
      <c r="GH73" s="9" t="n">
        <v>94.52</v>
      </c>
      <c r="GI73" s="9" t="n">
        <v>154.21</v>
      </c>
      <c r="GJ73" s="9" t="n">
        <v>137.85</v>
      </c>
      <c r="GK73" s="9" t="n">
        <v>89.40000000000001</v>
      </c>
      <c r="GL73" s="9" t="n">
        <v>49.56</v>
      </c>
      <c r="GM73" s="9" t="n">
        <v>25.56</v>
      </c>
      <c r="GN73" s="9" t="n">
        <v>51.57</v>
      </c>
      <c r="GO73" s="9" t="n">
        <v>51.91</v>
      </c>
      <c r="GP73" s="9" t="n">
        <v>33.21</v>
      </c>
      <c r="GQ73" s="9" t="n">
        <v>63.97</v>
      </c>
      <c r="GR73" s="9" t="n">
        <v>65.20999999999999</v>
      </c>
      <c r="GS73" s="9" t="n">
        <v>47.24</v>
      </c>
      <c r="GT73" s="9" t="n">
        <v>72.44</v>
      </c>
      <c r="GU73" s="9" t="n">
        <v>1.91</v>
      </c>
      <c r="GV73" s="9" t="n">
        <v>0.85</v>
      </c>
      <c r="GW73" s="9" t="n">
        <v>44.62</v>
      </c>
      <c r="GX73" s="9" t="n">
        <v>18.68</v>
      </c>
      <c r="GY73" s="9" t="n">
        <v>16.24</v>
      </c>
      <c r="GZ73" s="9" t="n">
        <v>86.93000000000001</v>
      </c>
      <c r="HA73" s="9" t="n">
        <v>7.12</v>
      </c>
      <c r="HB73" s="9" t="n">
        <v>15.96</v>
      </c>
      <c r="HC73" s="9" t="n">
        <v>4.15</v>
      </c>
      <c r="HD73" s="9" t="n">
        <v>12.42</v>
      </c>
      <c r="HE73" s="9" t="n">
        <v>18.28</v>
      </c>
      <c r="HF73" s="9" t="n">
        <v>20.06</v>
      </c>
      <c r="HG73" s="9" t="n">
        <v>11.6</v>
      </c>
    </row>
    <row r="74">
      <c r="A74" s="12" t="n">
        <v>2024</v>
      </c>
      <c r="B74" s="12" t="n">
        <v>34</v>
      </c>
      <c r="C74" s="5">
        <f>(B74-AVERAGE($B$2:$B$100))/_xlfn.STDEV.P($B$2:$B$100)</f>
        <v/>
      </c>
      <c r="D74" s="12" t="n">
        <v>11</v>
      </c>
      <c r="E74" s="6">
        <f>-D74</f>
        <v/>
      </c>
      <c r="F74" s="7">
        <f>(E74-AVERAGE($E$2:$E$100))/_xlfn.STDEV.P($E$2:$E$100)</f>
        <v/>
      </c>
      <c r="G74" s="7">
        <f>sum(0.5*C74)+(0.5*F74)</f>
        <v/>
      </c>
      <c r="H74" s="12" t="inlineStr">
        <is>
          <t>West</t>
        </is>
      </c>
      <c r="I74" s="8" t="inlineStr">
        <is>
          <t>Monterey Bay FC</t>
        </is>
      </c>
      <c r="J74" s="9" t="n">
        <v>0.85</v>
      </c>
      <c r="K74" s="9" t="n">
        <v>1.23</v>
      </c>
      <c r="L74" s="9" t="n">
        <v>10.29</v>
      </c>
      <c r="M74" s="9" t="n">
        <v>3.32</v>
      </c>
      <c r="N74" s="9" t="n">
        <v>32.29</v>
      </c>
      <c r="O74" s="9" t="n">
        <v>427.21</v>
      </c>
      <c r="P74" s="9" t="n">
        <v>352.79</v>
      </c>
      <c r="Q74" s="9" t="n">
        <v>82.58</v>
      </c>
      <c r="R74" s="9" t="n">
        <v>49.08</v>
      </c>
      <c r="S74" s="9" t="n">
        <v>104.59</v>
      </c>
      <c r="T74" s="9" t="n">
        <v>19.12</v>
      </c>
      <c r="U74" s="9" t="n">
        <v>38.12</v>
      </c>
      <c r="V74" s="9" t="n">
        <v>47.35</v>
      </c>
      <c r="W74" s="9" t="n">
        <v>80.44</v>
      </c>
      <c r="X74" s="9" t="n">
        <v>37.62</v>
      </c>
      <c r="Y74" s="9" t="n">
        <v>30.35</v>
      </c>
      <c r="Z74" s="9" t="n">
        <v>12.47</v>
      </c>
      <c r="AA74" s="9" t="n">
        <v>191.62</v>
      </c>
      <c r="AB74" s="9" t="n">
        <v>91.53</v>
      </c>
      <c r="AC74" s="9" t="n">
        <v>47.77</v>
      </c>
      <c r="AD74" s="9" t="n">
        <v>4.12</v>
      </c>
      <c r="AE74" s="9" t="n">
        <v>0.91</v>
      </c>
      <c r="AF74" s="9" t="n">
        <v>22.14</v>
      </c>
      <c r="AG74" s="9" t="n">
        <v>29.26</v>
      </c>
      <c r="AH74" s="9" t="n">
        <v>6.71</v>
      </c>
      <c r="AI74" s="9" t="n">
        <v>22.91</v>
      </c>
      <c r="AJ74" s="9" t="n">
        <v>0.82</v>
      </c>
      <c r="AK74" s="9" t="n">
        <v>0.38</v>
      </c>
      <c r="AL74" s="9" t="n">
        <v>46.43</v>
      </c>
      <c r="AM74" s="9" t="n">
        <v>25.03</v>
      </c>
      <c r="AN74" s="9" t="n">
        <v>2.68</v>
      </c>
      <c r="AO74" s="9" t="n">
        <v>10.69</v>
      </c>
      <c r="AP74" s="9" t="n">
        <v>4.76</v>
      </c>
      <c r="AQ74" s="9" t="n">
        <v>1.32</v>
      </c>
      <c r="AR74" s="9" t="n">
        <v>27.78</v>
      </c>
      <c r="AS74" s="9" t="n">
        <v>2.56</v>
      </c>
      <c r="AT74" s="9" t="n">
        <v>0.35</v>
      </c>
      <c r="AU74" s="9" t="n">
        <v>13.79</v>
      </c>
      <c r="AV74" s="9" t="n">
        <v>0.18</v>
      </c>
      <c r="AW74" s="9" t="n">
        <v>0.09</v>
      </c>
      <c r="AX74" s="9" t="n">
        <v>50</v>
      </c>
      <c r="AY74" s="9" t="n">
        <v>16.71</v>
      </c>
      <c r="AZ74" s="9" t="n">
        <v>5.26</v>
      </c>
      <c r="BA74" s="9" t="n">
        <v>31.51</v>
      </c>
      <c r="BB74" s="9" t="n">
        <v>5.12</v>
      </c>
      <c r="BC74" s="9" t="n">
        <v>6.12</v>
      </c>
      <c r="BD74" s="9" t="n">
        <v>24.18</v>
      </c>
      <c r="BE74" s="9" t="n">
        <v>3.59</v>
      </c>
      <c r="BF74" s="9" t="n">
        <v>10.62</v>
      </c>
      <c r="BG74" s="9" t="n">
        <v>15.53</v>
      </c>
      <c r="BH74" s="9" t="n">
        <v>60.91</v>
      </c>
      <c r="BI74" s="9" t="n">
        <v>22.68</v>
      </c>
      <c r="BJ74" s="9" t="n">
        <v>37.23</v>
      </c>
      <c r="BK74" s="9" t="n">
        <v>2.06</v>
      </c>
      <c r="BL74" s="9" t="n">
        <v>1.29</v>
      </c>
      <c r="BM74" s="9" t="n">
        <v>13.09</v>
      </c>
      <c r="BN74" s="9" t="n">
        <v>5.59</v>
      </c>
      <c r="BO74" s="9" t="n">
        <v>42.7</v>
      </c>
      <c r="BP74" s="9" t="n">
        <v>65.91</v>
      </c>
      <c r="BQ74" s="9" t="n">
        <v>41.56</v>
      </c>
      <c r="BR74" s="9" t="n">
        <v>63.05</v>
      </c>
      <c r="BS74" s="9" t="n">
        <v>38.76</v>
      </c>
      <c r="BT74" s="9" t="n">
        <v>16.24</v>
      </c>
      <c r="BU74" s="9" t="n">
        <v>41.88</v>
      </c>
      <c r="BV74" s="9" t="n">
        <v>3.62</v>
      </c>
      <c r="BW74" s="9" t="n">
        <v>1.97</v>
      </c>
      <c r="BX74" s="9" t="n">
        <v>54.47</v>
      </c>
      <c r="BY74" s="9" t="n">
        <v>38.03</v>
      </c>
      <c r="BZ74" s="9" t="n">
        <v>12.56</v>
      </c>
      <c r="CA74" s="9" t="n">
        <v>11.65</v>
      </c>
      <c r="CB74" s="9" t="n">
        <v>2.03</v>
      </c>
      <c r="CC74" s="9" t="n">
        <v>0.18</v>
      </c>
      <c r="CD74" s="9" t="n">
        <v>148.06</v>
      </c>
      <c r="CE74" s="9" t="n">
        <v>106.85</v>
      </c>
      <c r="CF74" s="9" t="n">
        <v>72.17</v>
      </c>
      <c r="CG74" s="9" t="n">
        <v>65.65000000000001</v>
      </c>
      <c r="CH74" s="9" t="n">
        <v>61.79</v>
      </c>
      <c r="CI74" s="9" t="n">
        <v>94.13</v>
      </c>
      <c r="CJ74" s="9" t="n">
        <v>155.68</v>
      </c>
      <c r="CK74" s="9" t="n">
        <v>137.59</v>
      </c>
      <c r="CL74" s="9" t="n">
        <v>88.38</v>
      </c>
      <c r="CM74" s="9" t="n">
        <v>53.74</v>
      </c>
      <c r="CN74" s="9" t="n">
        <v>29.97</v>
      </c>
      <c r="CO74" s="9" t="n">
        <v>55.77</v>
      </c>
      <c r="CP74" s="9" t="n">
        <v>55.15</v>
      </c>
      <c r="CQ74" s="9" t="n">
        <v>37</v>
      </c>
      <c r="CR74" s="9" t="n">
        <v>67.09</v>
      </c>
      <c r="CS74" s="9" t="n">
        <v>76.65000000000001</v>
      </c>
      <c r="CT74" s="9" t="n">
        <v>54.24</v>
      </c>
      <c r="CU74" s="9" t="n">
        <v>70.76000000000001</v>
      </c>
      <c r="CV74" s="9" t="n">
        <v>1.56</v>
      </c>
      <c r="CW74" s="9" t="n">
        <v>0.59</v>
      </c>
      <c r="CX74" s="9" t="n">
        <v>37.74</v>
      </c>
      <c r="CY74" s="9" t="n">
        <v>19.47</v>
      </c>
      <c r="CZ74" s="9" t="n">
        <v>17.71</v>
      </c>
      <c r="DA74" s="9" t="n">
        <v>90.94</v>
      </c>
      <c r="DB74" s="9" t="n">
        <v>7.91</v>
      </c>
      <c r="DC74" s="9" t="n">
        <v>16.17</v>
      </c>
      <c r="DD74" s="9" t="n">
        <v>4.13</v>
      </c>
      <c r="DE74" s="9" t="n">
        <v>13.06</v>
      </c>
      <c r="DF74" s="9" t="n">
        <v>18.04</v>
      </c>
      <c r="DG74" s="9" t="n">
        <v>20.8</v>
      </c>
      <c r="DH74" s="9" t="n">
        <v>12.65</v>
      </c>
      <c r="DI74" s="9" t="n">
        <v>1.29</v>
      </c>
      <c r="DJ74" s="9" t="n">
        <v>1.49</v>
      </c>
      <c r="DK74" s="9" t="n">
        <v>13.09</v>
      </c>
      <c r="DL74" s="9" t="n">
        <v>5.41</v>
      </c>
      <c r="DM74" s="9" t="n">
        <v>41.35</v>
      </c>
      <c r="DN74" s="9" t="n">
        <v>430.71</v>
      </c>
      <c r="DO74" s="9" t="n">
        <v>362.21</v>
      </c>
      <c r="DP74" s="9" t="n">
        <v>84.09999999999999</v>
      </c>
      <c r="DQ74" s="9" t="n">
        <v>50.92</v>
      </c>
      <c r="DR74" s="9" t="n">
        <v>102.24</v>
      </c>
      <c r="DS74" s="9" t="n">
        <v>19.18</v>
      </c>
      <c r="DT74" s="9" t="n">
        <v>34.94</v>
      </c>
      <c r="DU74" s="9" t="n">
        <v>48.12</v>
      </c>
      <c r="DV74" s="9" t="n">
        <v>81.06</v>
      </c>
      <c r="DW74" s="9" t="n">
        <v>35.91</v>
      </c>
      <c r="DX74" s="9" t="n">
        <v>32.76</v>
      </c>
      <c r="DY74" s="9" t="n">
        <v>12.38</v>
      </c>
      <c r="DZ74" s="9" t="n">
        <v>191.62</v>
      </c>
      <c r="EA74" s="9" t="n">
        <v>92.15000000000001</v>
      </c>
      <c r="EB74" s="9" t="n">
        <v>48.09</v>
      </c>
      <c r="EC74" s="9" t="n">
        <v>5.88</v>
      </c>
      <c r="ED74" s="9" t="n">
        <v>2.21</v>
      </c>
      <c r="EE74" s="9" t="n">
        <v>37.5</v>
      </c>
      <c r="EF74" s="9" t="n">
        <v>31.29</v>
      </c>
      <c r="EG74" s="9" t="n">
        <v>8.82</v>
      </c>
      <c r="EH74" s="9" t="n">
        <v>28.2</v>
      </c>
      <c r="EI74" s="9" t="n">
        <v>0.97</v>
      </c>
      <c r="EJ74" s="9" t="n">
        <v>0.5600000000000001</v>
      </c>
      <c r="EK74" s="9" t="n">
        <v>57.58</v>
      </c>
      <c r="EL74" s="9" t="n">
        <v>24.68</v>
      </c>
      <c r="EM74" s="9" t="n">
        <v>3.09</v>
      </c>
      <c r="EN74" s="9" t="n">
        <v>12.51</v>
      </c>
      <c r="EO74" s="9" t="n">
        <v>4.56</v>
      </c>
      <c r="EP74" s="9" t="n">
        <v>1.24</v>
      </c>
      <c r="EQ74" s="9" t="n">
        <v>27.1</v>
      </c>
      <c r="ER74" s="9" t="n">
        <v>2.15</v>
      </c>
      <c r="ES74" s="9" t="n">
        <v>0.32</v>
      </c>
      <c r="ET74" s="9" t="n">
        <v>15.07</v>
      </c>
      <c r="EU74" s="9" t="n">
        <v>0.18</v>
      </c>
      <c r="EV74" s="9" t="n">
        <v>0.12</v>
      </c>
      <c r="EW74" s="9" t="n">
        <v>66.67</v>
      </c>
      <c r="EX74" s="9" t="n">
        <v>12.97</v>
      </c>
      <c r="EY74" s="9" t="n">
        <v>3.91</v>
      </c>
      <c r="EZ74" s="9" t="n">
        <v>30.16</v>
      </c>
      <c r="FA74" s="9" t="n">
        <v>4.21</v>
      </c>
      <c r="FB74" s="9" t="n">
        <v>9.18</v>
      </c>
      <c r="FC74" s="9" t="n">
        <v>22.82</v>
      </c>
      <c r="FD74" s="9" t="n">
        <v>3.18</v>
      </c>
      <c r="FE74" s="9" t="n">
        <v>7.82</v>
      </c>
      <c r="FF74" s="9" t="n">
        <v>17.32</v>
      </c>
      <c r="FG74" s="9" t="n">
        <v>65.91</v>
      </c>
      <c r="FH74" s="9" t="n">
        <v>24.35</v>
      </c>
      <c r="FI74" s="9" t="n">
        <v>36.95</v>
      </c>
      <c r="FJ74" s="9" t="n">
        <v>1.38</v>
      </c>
      <c r="FK74" s="9" t="n">
        <v>0.85</v>
      </c>
      <c r="FL74" s="9" t="n">
        <v>10.29</v>
      </c>
      <c r="FM74" s="9" t="n">
        <v>3.5</v>
      </c>
      <c r="FN74" s="9" t="n">
        <v>34</v>
      </c>
      <c r="FO74" s="9" t="n">
        <v>60.88</v>
      </c>
      <c r="FP74" s="9" t="n">
        <v>38.21</v>
      </c>
      <c r="FQ74" s="9" t="n">
        <v>62.75</v>
      </c>
      <c r="FR74" s="9" t="n">
        <v>38.79</v>
      </c>
      <c r="FS74" s="9" t="n">
        <v>19.47</v>
      </c>
      <c r="FT74" s="9" t="n">
        <v>50.19</v>
      </c>
      <c r="FU74" s="9" t="n">
        <v>2.74</v>
      </c>
      <c r="FV74" s="9" t="n">
        <v>1.53</v>
      </c>
      <c r="FW74" s="9" t="n">
        <v>55.91</v>
      </c>
      <c r="FX74" s="9" t="n">
        <v>39.79</v>
      </c>
      <c r="FY74" s="9" t="n">
        <v>15.21</v>
      </c>
      <c r="FZ74" s="9" t="n">
        <v>12.06</v>
      </c>
      <c r="GA74" s="9" t="n">
        <v>2.12</v>
      </c>
      <c r="GB74" s="9" t="n">
        <v>0.21</v>
      </c>
      <c r="GC74" s="9" t="n">
        <v>143.79</v>
      </c>
      <c r="GD74" s="9" t="n">
        <v>106.29</v>
      </c>
      <c r="GE74" s="9" t="n">
        <v>73.92</v>
      </c>
      <c r="GF74" s="9" t="n">
        <v>65.68000000000001</v>
      </c>
      <c r="GG74" s="9" t="n">
        <v>61.94</v>
      </c>
      <c r="GH74" s="9" t="n">
        <v>94.31</v>
      </c>
      <c r="GI74" s="9" t="n">
        <v>164.94</v>
      </c>
      <c r="GJ74" s="9" t="n">
        <v>147.97</v>
      </c>
      <c r="GK74" s="9" t="n">
        <v>89.70999999999999</v>
      </c>
      <c r="GL74" s="9" t="n">
        <v>46</v>
      </c>
      <c r="GM74" s="9" t="n">
        <v>25.59</v>
      </c>
      <c r="GN74" s="9" t="n">
        <v>55.63</v>
      </c>
      <c r="GO74" s="9" t="n">
        <v>56.85</v>
      </c>
      <c r="GP74" s="9" t="n">
        <v>40.53</v>
      </c>
      <c r="GQ74" s="9" t="n">
        <v>71.29000000000001</v>
      </c>
      <c r="GR74" s="9" t="n">
        <v>79.06</v>
      </c>
      <c r="GS74" s="9" t="n">
        <v>60.44</v>
      </c>
      <c r="GT74" s="9" t="n">
        <v>76.45</v>
      </c>
      <c r="GU74" s="9" t="n">
        <v>1.65</v>
      </c>
      <c r="GV74" s="9" t="n">
        <v>0.5600000000000001</v>
      </c>
      <c r="GW74" s="9" t="n">
        <v>33.93</v>
      </c>
      <c r="GX74" s="9" t="n">
        <v>20.65</v>
      </c>
      <c r="GY74" s="9" t="n">
        <v>18.62</v>
      </c>
      <c r="GZ74" s="9" t="n">
        <v>90.17</v>
      </c>
      <c r="HA74" s="9" t="n">
        <v>8.26</v>
      </c>
      <c r="HB74" s="9" t="n">
        <v>15.7</v>
      </c>
      <c r="HC74" s="9" t="n">
        <v>4.2</v>
      </c>
      <c r="HD74" s="9" t="n">
        <v>11.13</v>
      </c>
      <c r="HE74" s="9" t="n">
        <v>18.94</v>
      </c>
      <c r="HF74" s="9" t="n">
        <v>20.43</v>
      </c>
      <c r="HG74" s="9" t="n">
        <v>12.02</v>
      </c>
    </row>
    <row r="75">
      <c r="A75" s="12" t="n">
        <v>2024</v>
      </c>
      <c r="B75" s="12" t="n">
        <v>32</v>
      </c>
      <c r="C75" s="5">
        <f>(B75-AVERAGE($B$2:$B$100))/_xlfn.STDEV.P($B$2:$B$100)</f>
        <v/>
      </c>
      <c r="D75" s="12" t="n">
        <v>12</v>
      </c>
      <c r="E75" s="6">
        <f>-D75</f>
        <v/>
      </c>
      <c r="F75" s="7">
        <f>(E75-AVERAGE($E$2:$E$100))/_xlfn.STDEV.P($E$2:$E$100)</f>
        <v/>
      </c>
      <c r="G75" s="7">
        <f>sum(0.5*C75)+(0.5*F75)</f>
        <v/>
      </c>
      <c r="H75" s="12" t="inlineStr">
        <is>
          <t>West</t>
        </is>
      </c>
      <c r="I75" s="8" t="inlineStr">
        <is>
          <t>El Paso Locomotive</t>
        </is>
      </c>
      <c r="J75" s="9" t="n">
        <v>0.79</v>
      </c>
      <c r="K75" s="9" t="n">
        <v>1.23</v>
      </c>
      <c r="L75" s="9" t="n">
        <v>10.82</v>
      </c>
      <c r="M75" s="9" t="n">
        <v>4.29</v>
      </c>
      <c r="N75" s="9" t="n">
        <v>39.67</v>
      </c>
      <c r="O75" s="9" t="n">
        <v>423.71</v>
      </c>
      <c r="P75" s="9" t="n">
        <v>355.88</v>
      </c>
      <c r="Q75" s="9" t="n">
        <v>83.98999999999999</v>
      </c>
      <c r="R75" s="9" t="n">
        <v>52.22</v>
      </c>
      <c r="S75" s="9" t="n">
        <v>100.56</v>
      </c>
      <c r="T75" s="9" t="n">
        <v>20.59</v>
      </c>
      <c r="U75" s="9" t="n">
        <v>39</v>
      </c>
      <c r="V75" s="9" t="n">
        <v>40.97</v>
      </c>
      <c r="W75" s="9" t="n">
        <v>72.65000000000001</v>
      </c>
      <c r="X75" s="9" t="n">
        <v>37.29</v>
      </c>
      <c r="Y75" s="9" t="n">
        <v>26.56</v>
      </c>
      <c r="Z75" s="9" t="n">
        <v>8.789999999999999</v>
      </c>
      <c r="AA75" s="9" t="n">
        <v>186.44</v>
      </c>
      <c r="AB75" s="9" t="n">
        <v>88.47</v>
      </c>
      <c r="AC75" s="9" t="n">
        <v>47.45</v>
      </c>
      <c r="AD75" s="9" t="n">
        <v>5.24</v>
      </c>
      <c r="AE75" s="9" t="n">
        <v>1.47</v>
      </c>
      <c r="AF75" s="9" t="n">
        <v>28.09</v>
      </c>
      <c r="AG75" s="9" t="n">
        <v>24.15</v>
      </c>
      <c r="AH75" s="9" t="n">
        <v>6.5</v>
      </c>
      <c r="AI75" s="9" t="n">
        <v>26.92</v>
      </c>
      <c r="AJ75" s="9" t="n">
        <v>0.85</v>
      </c>
      <c r="AK75" s="9" t="n">
        <v>0.41</v>
      </c>
      <c r="AL75" s="9" t="n">
        <v>48.28</v>
      </c>
      <c r="AM75" s="9" t="n">
        <v>29.24</v>
      </c>
      <c r="AN75" s="9" t="n">
        <v>3.15</v>
      </c>
      <c r="AO75" s="9" t="n">
        <v>10.76</v>
      </c>
      <c r="AP75" s="9" t="n">
        <v>4.5</v>
      </c>
      <c r="AQ75" s="9" t="n">
        <v>1.26</v>
      </c>
      <c r="AR75" s="9" t="n">
        <v>28.1</v>
      </c>
      <c r="AS75" s="9" t="n">
        <v>2.21</v>
      </c>
      <c r="AT75" s="9" t="n">
        <v>0.47</v>
      </c>
      <c r="AU75" s="9" t="n">
        <v>21.33</v>
      </c>
      <c r="AV75" s="9" t="n">
        <v>0.21</v>
      </c>
      <c r="AW75" s="9" t="n">
        <v>0.15</v>
      </c>
      <c r="AX75" s="9" t="n">
        <v>71.43000000000001</v>
      </c>
      <c r="AY75" s="9" t="n">
        <v>10.74</v>
      </c>
      <c r="AZ75" s="9" t="n">
        <v>3.03</v>
      </c>
      <c r="BA75" s="9" t="n">
        <v>28.22</v>
      </c>
      <c r="BB75" s="9" t="n">
        <v>3.06</v>
      </c>
      <c r="BC75" s="9" t="n">
        <v>6.38</v>
      </c>
      <c r="BD75" s="9" t="n">
        <v>19.53</v>
      </c>
      <c r="BE75" s="9" t="n">
        <v>3.47</v>
      </c>
      <c r="BF75" s="9" t="n">
        <v>5.79</v>
      </c>
      <c r="BG75" s="9" t="n">
        <v>14.41</v>
      </c>
      <c r="BH75" s="9" t="n">
        <v>67.79000000000001</v>
      </c>
      <c r="BI75" s="9" t="n">
        <v>27.21</v>
      </c>
      <c r="BJ75" s="9" t="n">
        <v>40.13</v>
      </c>
      <c r="BK75" s="9" t="n">
        <v>2.03</v>
      </c>
      <c r="BL75" s="9" t="n">
        <v>1.35</v>
      </c>
      <c r="BM75" s="9" t="n">
        <v>12.65</v>
      </c>
      <c r="BN75" s="9" t="n">
        <v>4.59</v>
      </c>
      <c r="BO75" s="9" t="n">
        <v>36.28</v>
      </c>
      <c r="BP75" s="9" t="n">
        <v>62.97</v>
      </c>
      <c r="BQ75" s="9" t="n">
        <v>37.68</v>
      </c>
      <c r="BR75" s="9" t="n">
        <v>59.83</v>
      </c>
      <c r="BS75" s="9" t="n">
        <v>28.97</v>
      </c>
      <c r="BT75" s="9" t="n">
        <v>13.03</v>
      </c>
      <c r="BU75" s="9" t="n">
        <v>44.97</v>
      </c>
      <c r="BV75" s="9" t="n">
        <v>3.91</v>
      </c>
      <c r="BW75" s="9" t="n">
        <v>1.65</v>
      </c>
      <c r="BX75" s="9" t="n">
        <v>42.11</v>
      </c>
      <c r="BY75" s="9" t="n">
        <v>40.15</v>
      </c>
      <c r="BZ75" s="9" t="n">
        <v>15</v>
      </c>
      <c r="CA75" s="9" t="n">
        <v>12.18</v>
      </c>
      <c r="CB75" s="9" t="n">
        <v>3.03</v>
      </c>
      <c r="CC75" s="9" t="n">
        <v>0.18</v>
      </c>
      <c r="CD75" s="9" t="n">
        <v>141.38</v>
      </c>
      <c r="CE75" s="9" t="n">
        <v>102.91</v>
      </c>
      <c r="CF75" s="9" t="n">
        <v>72.79000000000001</v>
      </c>
      <c r="CG75" s="9" t="n">
        <v>66.56</v>
      </c>
      <c r="CH75" s="9" t="n">
        <v>62.76</v>
      </c>
      <c r="CI75" s="9" t="n">
        <v>94.3</v>
      </c>
      <c r="CJ75" s="9" t="n">
        <v>157.65</v>
      </c>
      <c r="CK75" s="9" t="n">
        <v>142.21</v>
      </c>
      <c r="CL75" s="9" t="n">
        <v>90.20999999999999</v>
      </c>
      <c r="CM75" s="9" t="n">
        <v>45.85</v>
      </c>
      <c r="CN75" s="9" t="n">
        <v>24.15</v>
      </c>
      <c r="CO75" s="9" t="n">
        <v>52.66</v>
      </c>
      <c r="CP75" s="9" t="n">
        <v>49.12</v>
      </c>
      <c r="CQ75" s="9" t="n">
        <v>31.76</v>
      </c>
      <c r="CR75" s="9" t="n">
        <v>64.67</v>
      </c>
      <c r="CS75" s="9" t="n">
        <v>69.5</v>
      </c>
      <c r="CT75" s="9" t="n">
        <v>47.65</v>
      </c>
      <c r="CU75" s="9" t="n">
        <v>68.56</v>
      </c>
      <c r="CV75" s="9" t="n">
        <v>1.74</v>
      </c>
      <c r="CW75" s="9" t="n">
        <v>0.68</v>
      </c>
      <c r="CX75" s="9" t="n">
        <v>38.98</v>
      </c>
      <c r="CY75" s="9" t="n">
        <v>21.74</v>
      </c>
      <c r="CZ75" s="9" t="n">
        <v>19.35</v>
      </c>
      <c r="DA75" s="9" t="n">
        <v>89.04000000000001</v>
      </c>
      <c r="DB75" s="9" t="n">
        <v>10.65</v>
      </c>
      <c r="DC75" s="9" t="n">
        <v>16.26</v>
      </c>
      <c r="DD75" s="9" t="n">
        <v>4.04</v>
      </c>
      <c r="DE75" s="9" t="n">
        <v>11.24</v>
      </c>
      <c r="DF75" s="9" t="n">
        <v>20.15</v>
      </c>
      <c r="DG75" s="9" t="n">
        <v>20.21</v>
      </c>
      <c r="DH75" s="9" t="n">
        <v>11.96</v>
      </c>
      <c r="DI75" s="9" t="n">
        <v>1.35</v>
      </c>
      <c r="DJ75" s="9" t="n">
        <v>1.46</v>
      </c>
      <c r="DK75" s="9" t="n">
        <v>12.65</v>
      </c>
      <c r="DL75" s="9" t="n">
        <v>4.38</v>
      </c>
      <c r="DM75" s="9" t="n">
        <v>34.65</v>
      </c>
      <c r="DN75" s="9" t="n">
        <v>385</v>
      </c>
      <c r="DO75" s="9" t="n">
        <v>314.74</v>
      </c>
      <c r="DP75" s="9" t="n">
        <v>81.75</v>
      </c>
      <c r="DQ75" s="9" t="n">
        <v>47.78</v>
      </c>
      <c r="DR75" s="9" t="n">
        <v>96.41</v>
      </c>
      <c r="DS75" s="9" t="n">
        <v>15.15</v>
      </c>
      <c r="DT75" s="9" t="n">
        <v>32.26</v>
      </c>
      <c r="DU75" s="9" t="n">
        <v>49</v>
      </c>
      <c r="DV75" s="9" t="n">
        <v>75.81999999999999</v>
      </c>
      <c r="DW75" s="9" t="n">
        <v>31</v>
      </c>
      <c r="DX75" s="9" t="n">
        <v>32.5</v>
      </c>
      <c r="DY75" s="9" t="n">
        <v>12.32</v>
      </c>
      <c r="DZ75" s="9" t="n">
        <v>186.44</v>
      </c>
      <c r="EA75" s="9" t="n">
        <v>90.62</v>
      </c>
      <c r="EB75" s="9" t="n">
        <v>48.6</v>
      </c>
      <c r="EC75" s="9" t="n">
        <v>4.68</v>
      </c>
      <c r="ED75" s="9" t="n">
        <v>1.26</v>
      </c>
      <c r="EE75" s="9" t="n">
        <v>27.04</v>
      </c>
      <c r="EF75" s="9" t="n">
        <v>31.26</v>
      </c>
      <c r="EG75" s="9" t="n">
        <v>7.94</v>
      </c>
      <c r="EH75" s="9" t="n">
        <v>25.4</v>
      </c>
      <c r="EI75" s="9" t="n">
        <v>0.97</v>
      </c>
      <c r="EJ75" s="9" t="n">
        <v>0.47</v>
      </c>
      <c r="EK75" s="9" t="n">
        <v>48.48</v>
      </c>
      <c r="EL75" s="9" t="n">
        <v>25.03</v>
      </c>
      <c r="EM75" s="9" t="n">
        <v>3.62</v>
      </c>
      <c r="EN75" s="9" t="n">
        <v>14.45</v>
      </c>
      <c r="EO75" s="9" t="n">
        <v>4.82</v>
      </c>
      <c r="EP75" s="9" t="n">
        <v>1.56</v>
      </c>
      <c r="EQ75" s="9" t="n">
        <v>32.32</v>
      </c>
      <c r="ER75" s="9" t="n">
        <v>3</v>
      </c>
      <c r="ES75" s="9" t="n">
        <v>0.82</v>
      </c>
      <c r="ET75" s="9" t="n">
        <v>27.45</v>
      </c>
      <c r="EU75" s="9" t="n">
        <v>0.12</v>
      </c>
      <c r="EV75" s="9" t="n">
        <v>0.12</v>
      </c>
      <c r="EW75" s="9" t="n">
        <v>100</v>
      </c>
      <c r="EX75" s="9" t="n">
        <v>15.03</v>
      </c>
      <c r="EY75" s="9" t="n">
        <v>5.41</v>
      </c>
      <c r="EZ75" s="9" t="n">
        <v>36.01</v>
      </c>
      <c r="FA75" s="9" t="n">
        <v>5.56</v>
      </c>
      <c r="FB75" s="9" t="n">
        <v>7.18</v>
      </c>
      <c r="FC75" s="9" t="n">
        <v>25.74</v>
      </c>
      <c r="FD75" s="9" t="n">
        <v>4.12</v>
      </c>
      <c r="FE75" s="9" t="n">
        <v>9.029999999999999</v>
      </c>
      <c r="FF75" s="9" t="n">
        <v>18.32</v>
      </c>
      <c r="FG75" s="9" t="n">
        <v>62.97</v>
      </c>
      <c r="FH75" s="9" t="n">
        <v>25.29</v>
      </c>
      <c r="FI75" s="9" t="n">
        <v>40.17</v>
      </c>
      <c r="FJ75" s="9" t="n">
        <v>2.26</v>
      </c>
      <c r="FK75" s="9" t="n">
        <v>0.79</v>
      </c>
      <c r="FL75" s="9" t="n">
        <v>10.82</v>
      </c>
      <c r="FM75" s="9" t="n">
        <v>4.47</v>
      </c>
      <c r="FN75" s="9" t="n">
        <v>41.3</v>
      </c>
      <c r="FO75" s="9" t="n">
        <v>67.79000000000001</v>
      </c>
      <c r="FP75" s="9" t="n">
        <v>40.59</v>
      </c>
      <c r="FQ75" s="9" t="n">
        <v>59.87</v>
      </c>
      <c r="FR75" s="9" t="n">
        <v>28.97</v>
      </c>
      <c r="FS75" s="9" t="n">
        <v>13.65</v>
      </c>
      <c r="FT75" s="9" t="n">
        <v>47.11</v>
      </c>
      <c r="FU75" s="9" t="n">
        <v>2.97</v>
      </c>
      <c r="FV75" s="9" t="n">
        <v>1.5</v>
      </c>
      <c r="FW75" s="9" t="n">
        <v>50.5</v>
      </c>
      <c r="FX75" s="9" t="n">
        <v>36.5</v>
      </c>
      <c r="FY75" s="9" t="n">
        <v>12.88</v>
      </c>
      <c r="FZ75" s="9" t="n">
        <v>13.59</v>
      </c>
      <c r="GA75" s="9" t="n">
        <v>2.74</v>
      </c>
      <c r="GB75" s="9" t="n">
        <v>0.06</v>
      </c>
      <c r="GC75" s="9" t="n">
        <v>137.56</v>
      </c>
      <c r="GD75" s="9" t="n">
        <v>98.23999999999999</v>
      </c>
      <c r="GE75" s="9" t="n">
        <v>71.41</v>
      </c>
      <c r="GF75" s="9" t="n">
        <v>59.41</v>
      </c>
      <c r="GG75" s="9" t="n">
        <v>56.09</v>
      </c>
      <c r="GH75" s="9" t="n">
        <v>94.41</v>
      </c>
      <c r="GI75" s="9" t="n">
        <v>134.65</v>
      </c>
      <c r="GJ75" s="9" t="n">
        <v>117.97</v>
      </c>
      <c r="GK75" s="9" t="n">
        <v>87.61</v>
      </c>
      <c r="GL75" s="9" t="n">
        <v>42.65</v>
      </c>
      <c r="GM75" s="9" t="n">
        <v>22.41</v>
      </c>
      <c r="GN75" s="9" t="n">
        <v>52.55</v>
      </c>
      <c r="GO75" s="9" t="n">
        <v>53.88</v>
      </c>
      <c r="GP75" s="9" t="n">
        <v>35.24</v>
      </c>
      <c r="GQ75" s="9" t="n">
        <v>65.39</v>
      </c>
      <c r="GR75" s="9" t="n">
        <v>70.47</v>
      </c>
      <c r="GS75" s="9" t="n">
        <v>52.24</v>
      </c>
      <c r="GT75" s="9" t="n">
        <v>74.12</v>
      </c>
      <c r="GU75" s="9" t="n">
        <v>2.59</v>
      </c>
      <c r="GV75" s="9" t="n">
        <v>0.97</v>
      </c>
      <c r="GW75" s="9" t="n">
        <v>37.5</v>
      </c>
      <c r="GX75" s="9" t="n">
        <v>22.88</v>
      </c>
      <c r="GY75" s="9" t="n">
        <v>20.06</v>
      </c>
      <c r="GZ75" s="9" t="n">
        <v>87.66</v>
      </c>
      <c r="HA75" s="9" t="n">
        <v>7.76</v>
      </c>
      <c r="HB75" s="9" t="n">
        <v>16.07</v>
      </c>
      <c r="HC75" s="9" t="n">
        <v>3.72</v>
      </c>
      <c r="HD75" s="9" t="n">
        <v>11.74</v>
      </c>
      <c r="HE75" s="9" t="n">
        <v>17.94</v>
      </c>
      <c r="HF75" s="9" t="n">
        <v>20.48</v>
      </c>
      <c r="HG75" s="9" t="n">
        <v>10.68</v>
      </c>
    </row>
    <row r="76">
      <c r="A76" s="12" t="n">
        <v>2024</v>
      </c>
      <c r="B76" s="12" t="n">
        <v>11</v>
      </c>
      <c r="C76" s="5">
        <f>(B76-AVERAGE($B$2:$B$100))/_xlfn.STDEV.P($B$2:$B$100)</f>
        <v/>
      </c>
      <c r="D76" s="12" t="n">
        <v>12</v>
      </c>
      <c r="E76" s="6">
        <f>-D76</f>
        <v/>
      </c>
      <c r="F76" s="7">
        <f>(E76-AVERAGE($E$2:$E$100))/_xlfn.STDEV.P($E$2:$E$100)</f>
        <v/>
      </c>
      <c r="G76" s="7">
        <f>sum(0.5*C76)+(0.5*F76)</f>
        <v/>
      </c>
      <c r="H76" s="12" t="inlineStr">
        <is>
          <t>East</t>
        </is>
      </c>
      <c r="I76" s="8" t="inlineStr">
        <is>
          <t>Miami</t>
        </is>
      </c>
      <c r="J76" s="9" t="n">
        <v>0.79</v>
      </c>
      <c r="K76" s="9" t="n">
        <v>0.91</v>
      </c>
      <c r="L76" s="9" t="n">
        <v>8.640000000000001</v>
      </c>
      <c r="M76" s="9" t="n">
        <v>2.91</v>
      </c>
      <c r="N76" s="9" t="n">
        <v>33.68</v>
      </c>
      <c r="O76" s="9" t="n">
        <v>359.21</v>
      </c>
      <c r="P76" s="9" t="n">
        <v>296.79</v>
      </c>
      <c r="Q76" s="9" t="n">
        <v>82.62</v>
      </c>
      <c r="R76" s="9" t="n">
        <v>44.7</v>
      </c>
      <c r="S76" s="9" t="n">
        <v>90.58</v>
      </c>
      <c r="T76" s="9" t="n">
        <v>22</v>
      </c>
      <c r="U76" s="9" t="n">
        <v>34.97</v>
      </c>
      <c r="V76" s="9" t="n">
        <v>33.61</v>
      </c>
      <c r="W76" s="9" t="n">
        <v>66.7</v>
      </c>
      <c r="X76" s="9" t="n">
        <v>36.64</v>
      </c>
      <c r="Y76" s="9" t="n">
        <v>23.64</v>
      </c>
      <c r="Z76" s="9" t="n">
        <v>6.42</v>
      </c>
      <c r="AA76" s="9" t="n">
        <v>172.97</v>
      </c>
      <c r="AB76" s="9" t="n">
        <v>82.61</v>
      </c>
      <c r="AC76" s="9" t="n">
        <v>47.76</v>
      </c>
      <c r="AD76" s="9" t="n">
        <v>4.45</v>
      </c>
      <c r="AE76" s="9" t="n">
        <v>1.27</v>
      </c>
      <c r="AF76" s="9" t="n">
        <v>28.57</v>
      </c>
      <c r="AG76" s="9" t="n">
        <v>17.79</v>
      </c>
      <c r="AH76" s="9" t="n">
        <v>5.21</v>
      </c>
      <c r="AI76" s="9" t="n">
        <v>29.3</v>
      </c>
      <c r="AJ76" s="9" t="n">
        <v>0.64</v>
      </c>
      <c r="AK76" s="9" t="n">
        <v>0.3</v>
      </c>
      <c r="AL76" s="9" t="n">
        <v>47.62</v>
      </c>
      <c r="AM76" s="9" t="n">
        <v>25.36</v>
      </c>
      <c r="AN76" s="9" t="n">
        <v>2.79</v>
      </c>
      <c r="AO76" s="9" t="n">
        <v>10.99</v>
      </c>
      <c r="AP76" s="9" t="n">
        <v>3.3</v>
      </c>
      <c r="AQ76" s="9" t="n">
        <v>1.03</v>
      </c>
      <c r="AR76" s="9" t="n">
        <v>31.19</v>
      </c>
      <c r="AS76" s="9" t="n">
        <v>1.58</v>
      </c>
      <c r="AT76" s="9" t="n">
        <v>0.39</v>
      </c>
      <c r="AU76" s="9" t="n">
        <v>25</v>
      </c>
      <c r="AV76" s="9" t="n">
        <v>0.03</v>
      </c>
      <c r="AW76" s="9" t="n">
        <v>0.03</v>
      </c>
      <c r="AX76" s="9" t="n">
        <v>100</v>
      </c>
      <c r="AY76" s="9" t="n">
        <v>9.27</v>
      </c>
      <c r="AZ76" s="9" t="n">
        <v>2.64</v>
      </c>
      <c r="BA76" s="9" t="n">
        <v>28.43</v>
      </c>
      <c r="BB76" s="9" t="n">
        <v>2.73</v>
      </c>
      <c r="BC76" s="9" t="n">
        <v>2.61</v>
      </c>
      <c r="BD76" s="9" t="n">
        <v>14.61</v>
      </c>
      <c r="BE76" s="9" t="n">
        <v>2.61</v>
      </c>
      <c r="BF76" s="9" t="n">
        <v>6.03</v>
      </c>
      <c r="BG76" s="9" t="n">
        <v>8.449999999999999</v>
      </c>
      <c r="BH76" s="9" t="n">
        <v>58.91</v>
      </c>
      <c r="BI76" s="9" t="n">
        <v>23.52</v>
      </c>
      <c r="BJ76" s="9" t="n">
        <v>39.92</v>
      </c>
      <c r="BK76" s="9" t="n">
        <v>1.85</v>
      </c>
      <c r="BL76" s="9" t="n">
        <v>2.67</v>
      </c>
      <c r="BM76" s="9" t="n">
        <v>16.52</v>
      </c>
      <c r="BN76" s="9" t="n">
        <v>6.94</v>
      </c>
      <c r="BO76" s="9" t="n">
        <v>42.02</v>
      </c>
      <c r="BP76" s="9" t="n">
        <v>66.15000000000001</v>
      </c>
      <c r="BQ76" s="9" t="n">
        <v>38.7</v>
      </c>
      <c r="BR76" s="9" t="n">
        <v>58.5</v>
      </c>
      <c r="BS76" s="9" t="n">
        <v>25.39</v>
      </c>
      <c r="BT76" s="9" t="n">
        <v>10.94</v>
      </c>
      <c r="BU76" s="9" t="n">
        <v>43.08</v>
      </c>
      <c r="BV76" s="9" t="n">
        <v>4.03</v>
      </c>
      <c r="BW76" s="9" t="n">
        <v>1.79</v>
      </c>
      <c r="BX76" s="9" t="n">
        <v>44.36</v>
      </c>
      <c r="BY76" s="9" t="n">
        <v>38.06</v>
      </c>
      <c r="BZ76" s="9" t="n">
        <v>13.64</v>
      </c>
      <c r="CA76" s="9" t="n">
        <v>13.61</v>
      </c>
      <c r="CB76" s="9" t="n">
        <v>2.79</v>
      </c>
      <c r="CC76" s="9" t="n">
        <v>0.18</v>
      </c>
      <c r="CD76" s="9" t="n">
        <v>124.48</v>
      </c>
      <c r="CE76" s="9" t="n">
        <v>85.7</v>
      </c>
      <c r="CF76" s="9" t="n">
        <v>68.84</v>
      </c>
      <c r="CG76" s="9" t="n">
        <v>55.85</v>
      </c>
      <c r="CH76" s="9" t="n">
        <v>52.7</v>
      </c>
      <c r="CI76" s="9" t="n">
        <v>94.36</v>
      </c>
      <c r="CJ76" s="9" t="n">
        <v>136.52</v>
      </c>
      <c r="CK76" s="9" t="n">
        <v>123.21</v>
      </c>
      <c r="CL76" s="9" t="n">
        <v>90.26000000000001</v>
      </c>
      <c r="CM76" s="9" t="n">
        <v>42.76</v>
      </c>
      <c r="CN76" s="9" t="n">
        <v>20.76</v>
      </c>
      <c r="CO76" s="9" t="n">
        <v>48.55</v>
      </c>
      <c r="CP76" s="9" t="n">
        <v>39.48</v>
      </c>
      <c r="CQ76" s="9" t="n">
        <v>23.55</v>
      </c>
      <c r="CR76" s="9" t="n">
        <v>59.63</v>
      </c>
      <c r="CS76" s="9" t="n">
        <v>60.33</v>
      </c>
      <c r="CT76" s="9" t="n">
        <v>37.55</v>
      </c>
      <c r="CU76" s="9" t="n">
        <v>62.23</v>
      </c>
      <c r="CV76" s="9" t="n">
        <v>1.55</v>
      </c>
      <c r="CW76" s="9" t="n">
        <v>0.42</v>
      </c>
      <c r="CX76" s="9" t="n">
        <v>27.45</v>
      </c>
      <c r="CY76" s="9" t="n">
        <v>15.27</v>
      </c>
      <c r="CZ76" s="9" t="n">
        <v>13.52</v>
      </c>
      <c r="DA76" s="9" t="n">
        <v>88.48999999999999</v>
      </c>
      <c r="DB76" s="9" t="n">
        <v>9.699999999999999</v>
      </c>
      <c r="DC76" s="9" t="n">
        <v>15.6</v>
      </c>
      <c r="DD76" s="9" t="n">
        <v>3.93</v>
      </c>
      <c r="DE76" s="9" t="n">
        <v>12.19</v>
      </c>
      <c r="DF76" s="9" t="n">
        <v>20.65</v>
      </c>
      <c r="DG76" s="9" t="n">
        <v>20.75</v>
      </c>
      <c r="DH76" s="9" t="n">
        <v>14.52</v>
      </c>
      <c r="DI76" s="9" t="n">
        <v>2.67</v>
      </c>
      <c r="DJ76" s="9" t="n">
        <v>2.33</v>
      </c>
      <c r="DK76" s="9" t="n">
        <v>16.52</v>
      </c>
      <c r="DL76" s="9" t="n">
        <v>6.58</v>
      </c>
      <c r="DM76" s="9" t="n">
        <v>39.82</v>
      </c>
      <c r="DN76" s="9" t="n">
        <v>463.73</v>
      </c>
      <c r="DO76" s="9" t="n">
        <v>400.82</v>
      </c>
      <c r="DP76" s="9" t="n">
        <v>86.43000000000001</v>
      </c>
      <c r="DQ76" s="9" t="n">
        <v>55.3</v>
      </c>
      <c r="DR76" s="9" t="n">
        <v>88.73</v>
      </c>
      <c r="DS76" s="9" t="n">
        <v>11.76</v>
      </c>
      <c r="DT76" s="9" t="n">
        <v>29.7</v>
      </c>
      <c r="DU76" s="9" t="n">
        <v>47.27</v>
      </c>
      <c r="DV76" s="9" t="n">
        <v>70.55</v>
      </c>
      <c r="DW76" s="9" t="n">
        <v>26.06</v>
      </c>
      <c r="DX76" s="9" t="n">
        <v>30.61</v>
      </c>
      <c r="DY76" s="9" t="n">
        <v>13.88</v>
      </c>
      <c r="DZ76" s="9" t="n">
        <v>172.97</v>
      </c>
      <c r="EA76" s="9" t="n">
        <v>85.03</v>
      </c>
      <c r="EB76" s="9" t="n">
        <v>49.16</v>
      </c>
      <c r="EC76" s="9" t="n">
        <v>6.42</v>
      </c>
      <c r="ED76" s="9" t="n">
        <v>1.58</v>
      </c>
      <c r="EE76" s="9" t="n">
        <v>24.53</v>
      </c>
      <c r="EF76" s="9" t="n">
        <v>34.12</v>
      </c>
      <c r="EG76" s="9" t="n">
        <v>10.27</v>
      </c>
      <c r="EH76" s="9" t="n">
        <v>30.11</v>
      </c>
      <c r="EI76" s="9" t="n">
        <v>1.24</v>
      </c>
      <c r="EJ76" s="9" t="n">
        <v>0.79</v>
      </c>
      <c r="EK76" s="9" t="n">
        <v>63.41</v>
      </c>
      <c r="EL76" s="9" t="n">
        <v>27.55</v>
      </c>
      <c r="EM76" s="9" t="n">
        <v>4.45</v>
      </c>
      <c r="EN76" s="9" t="n">
        <v>16.17</v>
      </c>
      <c r="EO76" s="9" t="n">
        <v>6.33</v>
      </c>
      <c r="EP76" s="9" t="n">
        <v>1.61</v>
      </c>
      <c r="EQ76" s="9" t="n">
        <v>25.36</v>
      </c>
      <c r="ER76" s="9" t="n">
        <v>2.76</v>
      </c>
      <c r="ES76" s="9" t="n">
        <v>0.48</v>
      </c>
      <c r="ET76" s="9" t="n">
        <v>17.58</v>
      </c>
      <c r="EU76" s="9" t="n">
        <v>0.36</v>
      </c>
      <c r="EV76" s="9" t="n">
        <v>0.27</v>
      </c>
      <c r="EW76" s="9" t="n">
        <v>75</v>
      </c>
      <c r="EX76" s="9" t="n">
        <v>17.73</v>
      </c>
      <c r="EY76" s="9" t="n">
        <v>6.21</v>
      </c>
      <c r="EZ76" s="9" t="n">
        <v>35.04</v>
      </c>
      <c r="FA76" s="9" t="n">
        <v>5.79</v>
      </c>
      <c r="FB76" s="9" t="n">
        <v>10</v>
      </c>
      <c r="FC76" s="9" t="n">
        <v>29.42</v>
      </c>
      <c r="FD76" s="9" t="n">
        <v>5.33</v>
      </c>
      <c r="FE76" s="9" t="n">
        <v>10.18</v>
      </c>
      <c r="FF76" s="9" t="n">
        <v>23.97</v>
      </c>
      <c r="FG76" s="9" t="n">
        <v>66.15000000000001</v>
      </c>
      <c r="FH76" s="9" t="n">
        <v>27.45</v>
      </c>
      <c r="FI76" s="9" t="n">
        <v>41.5</v>
      </c>
      <c r="FJ76" s="9" t="n">
        <v>1.3</v>
      </c>
      <c r="FK76" s="9" t="n">
        <v>0.79</v>
      </c>
      <c r="FL76" s="9" t="n">
        <v>8.640000000000001</v>
      </c>
      <c r="FM76" s="9" t="n">
        <v>3.06</v>
      </c>
      <c r="FN76" s="9" t="n">
        <v>35.44</v>
      </c>
      <c r="FO76" s="9" t="n">
        <v>58.91</v>
      </c>
      <c r="FP76" s="9" t="n">
        <v>35.39</v>
      </c>
      <c r="FQ76" s="9" t="n">
        <v>60.08</v>
      </c>
      <c r="FR76" s="9" t="n">
        <v>25.39</v>
      </c>
      <c r="FS76" s="9" t="n">
        <v>12.33</v>
      </c>
      <c r="FT76" s="9" t="n">
        <v>48.57</v>
      </c>
      <c r="FU76" s="9" t="n">
        <v>1.91</v>
      </c>
      <c r="FV76" s="9" t="n">
        <v>1.09</v>
      </c>
      <c r="FW76" s="9" t="n">
        <v>57.14</v>
      </c>
      <c r="FX76" s="9" t="n">
        <v>31.7</v>
      </c>
      <c r="FY76" s="9" t="n">
        <v>8.52</v>
      </c>
      <c r="FZ76" s="9" t="n">
        <v>12.27</v>
      </c>
      <c r="GA76" s="9" t="n">
        <v>2.03</v>
      </c>
      <c r="GB76" s="9" t="n">
        <v>0.06</v>
      </c>
      <c r="GC76" s="9" t="n">
        <v>147.27</v>
      </c>
      <c r="GD76" s="9" t="n">
        <v>115.94</v>
      </c>
      <c r="GE76" s="9" t="n">
        <v>78.72</v>
      </c>
      <c r="GF76" s="9" t="n">
        <v>72.94</v>
      </c>
      <c r="GG76" s="9" t="n">
        <v>69.33</v>
      </c>
      <c r="GH76" s="9" t="n">
        <v>95.06</v>
      </c>
      <c r="GI76" s="9" t="n">
        <v>182.52</v>
      </c>
      <c r="GJ76" s="9" t="n">
        <v>165.67</v>
      </c>
      <c r="GK76" s="9" t="n">
        <v>90.77</v>
      </c>
      <c r="GL76" s="9" t="n">
        <v>38.06</v>
      </c>
      <c r="GM76" s="9" t="n">
        <v>22.36</v>
      </c>
      <c r="GN76" s="9" t="n">
        <v>58.76</v>
      </c>
      <c r="GO76" s="9" t="n">
        <v>62.33</v>
      </c>
      <c r="GP76" s="9" t="n">
        <v>48.94</v>
      </c>
      <c r="GQ76" s="9" t="n">
        <v>78.51000000000001</v>
      </c>
      <c r="GR76" s="9" t="n">
        <v>76.61</v>
      </c>
      <c r="GS76" s="9" t="n">
        <v>62.88</v>
      </c>
      <c r="GT76" s="9" t="n">
        <v>82.08</v>
      </c>
      <c r="GU76" s="9" t="n">
        <v>1.67</v>
      </c>
      <c r="GV76" s="9" t="n">
        <v>0.91</v>
      </c>
      <c r="GW76" s="9" t="n">
        <v>54.55</v>
      </c>
      <c r="GX76" s="9" t="n">
        <v>18.12</v>
      </c>
      <c r="GY76" s="9" t="n">
        <v>16.48</v>
      </c>
      <c r="GZ76" s="9" t="n">
        <v>90.97</v>
      </c>
      <c r="HA76" s="9" t="n">
        <v>6.58</v>
      </c>
      <c r="HB76" s="9" t="n">
        <v>16.14</v>
      </c>
      <c r="HC76" s="9" t="n">
        <v>4.84</v>
      </c>
      <c r="HD76" s="9" t="n">
        <v>8.67</v>
      </c>
      <c r="HE76" s="9" t="n">
        <v>18</v>
      </c>
      <c r="HF76" s="9" t="n">
        <v>19.61</v>
      </c>
      <c r="HG76" s="9" t="n">
        <v>10.89</v>
      </c>
    </row>
    <row r="77">
      <c r="A77" s="12" t="n">
        <v>2025</v>
      </c>
      <c r="B77" s="12" t="n">
        <v>73</v>
      </c>
      <c r="C77" s="5">
        <f>(B77-AVERAGE($B$2:$B$100))/_xlfn.STDEV.P($B$2:$B$100)</f>
        <v/>
      </c>
      <c r="D77" s="12" t="n">
        <v>1</v>
      </c>
      <c r="E77" s="6">
        <f>-D77</f>
        <v/>
      </c>
      <c r="F77" s="7">
        <f>(E77-AVERAGE($E$2:$E$100))/_xlfn.STDEV.P($E$2:$E$100)</f>
        <v/>
      </c>
      <c r="G77" s="7">
        <f>sum(0.5*C77)+(0.5*F77)</f>
        <v/>
      </c>
      <c r="H77" s="12" t="inlineStr">
        <is>
          <t>East</t>
        </is>
      </c>
      <c r="I77" s="8" t="inlineStr">
        <is>
          <t>Louisville City</t>
        </is>
      </c>
      <c r="J77" s="9" t="n">
        <v>1.81</v>
      </c>
      <c r="K77" s="9" t="n">
        <v>1.58</v>
      </c>
      <c r="L77" s="9" t="n">
        <v>12.94</v>
      </c>
      <c r="M77" s="9" t="n">
        <v>4.55</v>
      </c>
      <c r="N77" s="9" t="n">
        <v>35.16</v>
      </c>
      <c r="O77" s="9" t="n">
        <v>324.52</v>
      </c>
      <c r="P77" s="9" t="n">
        <v>249.52</v>
      </c>
      <c r="Q77" s="9" t="n">
        <v>76.89</v>
      </c>
      <c r="R77" s="9" t="n">
        <v>45.69</v>
      </c>
      <c r="S77" s="9" t="n">
        <v>115.26</v>
      </c>
      <c r="T77" s="9" t="n">
        <v>17.87</v>
      </c>
      <c r="U77" s="9" t="n">
        <v>37.58</v>
      </c>
      <c r="V77" s="9" t="n">
        <v>59.81</v>
      </c>
      <c r="W77" s="9" t="n">
        <v>84.81</v>
      </c>
      <c r="X77" s="9" t="n">
        <v>32.16</v>
      </c>
      <c r="Y77" s="9" t="n">
        <v>37.71</v>
      </c>
      <c r="Z77" s="9" t="n">
        <v>14.94</v>
      </c>
      <c r="AA77" s="9" t="n">
        <v>188</v>
      </c>
      <c r="AB77" s="9" t="n">
        <v>93.13</v>
      </c>
      <c r="AC77" s="9" t="n">
        <v>49.54</v>
      </c>
      <c r="AD77" s="9" t="n">
        <v>4.61</v>
      </c>
      <c r="AE77" s="9" t="n">
        <v>0.97</v>
      </c>
      <c r="AF77" s="9" t="n">
        <v>20.98</v>
      </c>
      <c r="AG77" s="9" t="n">
        <v>31.19</v>
      </c>
      <c r="AH77" s="9" t="n">
        <v>8.77</v>
      </c>
      <c r="AI77" s="9" t="n">
        <v>28.13</v>
      </c>
      <c r="AJ77" s="9" t="n">
        <v>0.68</v>
      </c>
      <c r="AK77" s="9" t="n">
        <v>0.32</v>
      </c>
      <c r="AL77" s="9" t="n">
        <v>47.62</v>
      </c>
      <c r="AM77" s="9" t="n">
        <v>24.23</v>
      </c>
      <c r="AN77" s="9" t="n">
        <v>3.39</v>
      </c>
      <c r="AO77" s="9" t="n">
        <v>13.98</v>
      </c>
      <c r="AP77" s="9" t="n">
        <v>6.42</v>
      </c>
      <c r="AQ77" s="9" t="n">
        <v>1.74</v>
      </c>
      <c r="AR77" s="9" t="n">
        <v>27.14</v>
      </c>
      <c r="AS77" s="9" t="n">
        <v>2.71</v>
      </c>
      <c r="AT77" s="9" t="n">
        <v>0.87</v>
      </c>
      <c r="AU77" s="9" t="n">
        <v>32.14</v>
      </c>
      <c r="AV77" s="9" t="n">
        <v>0.1</v>
      </c>
      <c r="AW77" s="9" t="n">
        <v>0.03</v>
      </c>
      <c r="AX77" s="9" t="n">
        <v>33.33</v>
      </c>
      <c r="AY77" s="9" t="n">
        <v>19.06</v>
      </c>
      <c r="AZ77" s="9" t="n">
        <v>6.97</v>
      </c>
      <c r="BA77" s="9" t="n">
        <v>36.55</v>
      </c>
      <c r="BB77" s="9" t="n">
        <v>6.71</v>
      </c>
      <c r="BC77" s="9" t="n">
        <v>6.81</v>
      </c>
      <c r="BD77" s="9" t="n">
        <v>26.23</v>
      </c>
      <c r="BE77" s="9" t="n">
        <v>3.03</v>
      </c>
      <c r="BF77" s="9" t="n">
        <v>12.48</v>
      </c>
      <c r="BG77" s="9" t="n">
        <v>19.23</v>
      </c>
      <c r="BH77" s="9" t="n">
        <v>51.42</v>
      </c>
      <c r="BI77" s="9" t="n">
        <v>20.9</v>
      </c>
      <c r="BJ77" s="9" t="n">
        <v>40.65</v>
      </c>
      <c r="BK77" s="9" t="n">
        <v>2.16</v>
      </c>
      <c r="BL77" s="9" t="n">
        <v>0.65</v>
      </c>
      <c r="BM77" s="9" t="n">
        <v>9.289999999999999</v>
      </c>
      <c r="BN77" s="9" t="n">
        <v>3.45</v>
      </c>
      <c r="BO77" s="9" t="n">
        <v>37.15</v>
      </c>
      <c r="BP77" s="9" t="n">
        <v>54.71</v>
      </c>
      <c r="BQ77" s="9" t="n">
        <v>33.48</v>
      </c>
      <c r="BR77" s="9" t="n">
        <v>61.2</v>
      </c>
      <c r="BS77" s="9" t="n">
        <v>58.42</v>
      </c>
      <c r="BT77" s="9" t="n">
        <v>28.52</v>
      </c>
      <c r="BU77" s="9" t="n">
        <v>48.81</v>
      </c>
      <c r="BV77" s="9" t="n">
        <v>2.32</v>
      </c>
      <c r="BW77" s="9" t="n">
        <v>1.03</v>
      </c>
      <c r="BX77" s="9" t="n">
        <v>44.44</v>
      </c>
      <c r="BY77" s="9" t="n">
        <v>35.23</v>
      </c>
      <c r="BZ77" s="9" t="n">
        <v>16.71</v>
      </c>
      <c r="CA77" s="9" t="n">
        <v>13.42</v>
      </c>
      <c r="CB77" s="9" t="n">
        <v>1.71</v>
      </c>
      <c r="CC77" s="9" t="n">
        <v>0.06</v>
      </c>
      <c r="CD77" s="9" t="n">
        <v>127.1</v>
      </c>
      <c r="CE77" s="9" t="n">
        <v>86.03</v>
      </c>
      <c r="CF77" s="9" t="n">
        <v>67.69</v>
      </c>
      <c r="CG77" s="9" t="n">
        <v>41.87</v>
      </c>
      <c r="CH77" s="9" t="n">
        <v>38.39</v>
      </c>
      <c r="CI77" s="9" t="n">
        <v>91.68000000000001</v>
      </c>
      <c r="CJ77" s="9" t="n">
        <v>111.19</v>
      </c>
      <c r="CK77" s="9" t="n">
        <v>92.84</v>
      </c>
      <c r="CL77" s="9" t="n">
        <v>83.48999999999999</v>
      </c>
      <c r="CM77" s="9" t="n">
        <v>45.13</v>
      </c>
      <c r="CN77" s="9" t="n">
        <v>22.03</v>
      </c>
      <c r="CO77" s="9" t="n">
        <v>48.82</v>
      </c>
      <c r="CP77" s="9" t="n">
        <v>54.81</v>
      </c>
      <c r="CQ77" s="9" t="n">
        <v>33.71</v>
      </c>
      <c r="CR77" s="9" t="n">
        <v>61.51</v>
      </c>
      <c r="CS77" s="9" t="n">
        <v>66.06</v>
      </c>
      <c r="CT77" s="9" t="n">
        <v>49.39</v>
      </c>
      <c r="CU77" s="9" t="n">
        <v>74.76000000000001</v>
      </c>
      <c r="CV77" s="9" t="n">
        <v>0.68</v>
      </c>
      <c r="CW77" s="9" t="n">
        <v>0.19</v>
      </c>
      <c r="CX77" s="9" t="n">
        <v>28.57</v>
      </c>
      <c r="CY77" s="9" t="n">
        <v>22.48</v>
      </c>
      <c r="CZ77" s="9" t="n">
        <v>18.71</v>
      </c>
      <c r="DA77" s="9" t="n">
        <v>83.20999999999999</v>
      </c>
      <c r="DB77" s="9" t="n">
        <v>6.55</v>
      </c>
      <c r="DC77" s="9" t="n">
        <v>15.6</v>
      </c>
      <c r="DD77" s="9" t="n">
        <v>3.08</v>
      </c>
      <c r="DE77" s="9" t="n">
        <v>14.58</v>
      </c>
      <c r="DF77" s="9" t="n">
        <v>17.22</v>
      </c>
      <c r="DG77" s="9" t="n">
        <v>20.87</v>
      </c>
      <c r="DH77" s="9" t="n">
        <v>10.14</v>
      </c>
      <c r="DI77" s="9" t="n">
        <v>0.65</v>
      </c>
      <c r="DJ77" s="9" t="n">
        <v>0.88</v>
      </c>
      <c r="DK77" s="9" t="n">
        <v>9.289999999999999</v>
      </c>
      <c r="DL77" s="9" t="n">
        <v>3.26</v>
      </c>
      <c r="DM77" s="9" t="n">
        <v>35.07</v>
      </c>
      <c r="DN77" s="9" t="n">
        <v>385.29</v>
      </c>
      <c r="DO77" s="9" t="n">
        <v>310.29</v>
      </c>
      <c r="DP77" s="9" t="n">
        <v>80.53</v>
      </c>
      <c r="DQ77" s="9" t="n">
        <v>54.31</v>
      </c>
      <c r="DR77" s="9" t="n">
        <v>119.94</v>
      </c>
      <c r="DS77" s="9" t="n">
        <v>26.74</v>
      </c>
      <c r="DT77" s="9" t="n">
        <v>45.71</v>
      </c>
      <c r="DU77" s="9" t="n">
        <v>47.48</v>
      </c>
      <c r="DV77" s="9" t="n">
        <v>80.58</v>
      </c>
      <c r="DW77" s="9" t="n">
        <v>41.42</v>
      </c>
      <c r="DX77" s="9" t="n">
        <v>29.19</v>
      </c>
      <c r="DY77" s="9" t="n">
        <v>9.970000000000001</v>
      </c>
      <c r="DZ77" s="9" t="n">
        <v>188</v>
      </c>
      <c r="EA77" s="9" t="n">
        <v>85.29000000000001</v>
      </c>
      <c r="EB77" s="9" t="n">
        <v>45.37</v>
      </c>
      <c r="EC77" s="9" t="n">
        <v>3.84</v>
      </c>
      <c r="ED77" s="9" t="n">
        <v>1.23</v>
      </c>
      <c r="EE77" s="9" t="n">
        <v>31.93</v>
      </c>
      <c r="EF77" s="9" t="n">
        <v>23.58</v>
      </c>
      <c r="EG77" s="9" t="n">
        <v>5.81</v>
      </c>
      <c r="EH77" s="9" t="n">
        <v>24.62</v>
      </c>
      <c r="EI77" s="9" t="n">
        <v>0.55</v>
      </c>
      <c r="EJ77" s="9" t="n">
        <v>0.23</v>
      </c>
      <c r="EK77" s="9" t="n">
        <v>41.18</v>
      </c>
      <c r="EL77" s="9" t="n">
        <v>26.71</v>
      </c>
      <c r="EM77" s="9" t="n">
        <v>3</v>
      </c>
      <c r="EN77" s="9" t="n">
        <v>11.23</v>
      </c>
      <c r="EO77" s="9" t="n">
        <v>3.81</v>
      </c>
      <c r="EP77" s="9" t="n">
        <v>1.1</v>
      </c>
      <c r="EQ77" s="9" t="n">
        <v>28.81</v>
      </c>
      <c r="ER77" s="9" t="n">
        <v>2.03</v>
      </c>
      <c r="ES77" s="9" t="n">
        <v>0.48</v>
      </c>
      <c r="ET77" s="9" t="n">
        <v>23.81</v>
      </c>
      <c r="EU77" s="9" t="n">
        <v>0.03</v>
      </c>
      <c r="EV77" s="9" t="n">
        <v>0.03</v>
      </c>
      <c r="EW77" s="9" t="n">
        <v>100</v>
      </c>
      <c r="EX77" s="9" t="n">
        <v>12.65</v>
      </c>
      <c r="EY77" s="9" t="n">
        <v>3.94</v>
      </c>
      <c r="EZ77" s="9" t="n">
        <v>31.12</v>
      </c>
      <c r="FA77" s="9" t="n">
        <v>3.74</v>
      </c>
      <c r="FB77" s="9" t="n">
        <v>4.9</v>
      </c>
      <c r="FC77" s="9" t="n">
        <v>20.29</v>
      </c>
      <c r="FD77" s="9" t="n">
        <v>2.74</v>
      </c>
      <c r="FE77" s="9" t="n">
        <v>8.609999999999999</v>
      </c>
      <c r="FF77" s="9" t="n">
        <v>12.26</v>
      </c>
      <c r="FG77" s="9" t="n">
        <v>54.71</v>
      </c>
      <c r="FH77" s="9" t="n">
        <v>21.23</v>
      </c>
      <c r="FI77" s="9" t="n">
        <v>38.8</v>
      </c>
      <c r="FJ77" s="9" t="n">
        <v>1.13</v>
      </c>
      <c r="FK77" s="9" t="n">
        <v>1.81</v>
      </c>
      <c r="FL77" s="9" t="n">
        <v>12.94</v>
      </c>
      <c r="FM77" s="9" t="n">
        <v>4.81</v>
      </c>
      <c r="FN77" s="9" t="n">
        <v>37.16</v>
      </c>
      <c r="FO77" s="9" t="n">
        <v>51.42</v>
      </c>
      <c r="FP77" s="9" t="n">
        <v>30.52</v>
      </c>
      <c r="FQ77" s="9" t="n">
        <v>59.35</v>
      </c>
      <c r="FR77" s="9" t="n">
        <v>58.42</v>
      </c>
      <c r="FS77" s="9" t="n">
        <v>24.19</v>
      </c>
      <c r="FT77" s="9" t="n">
        <v>41.41</v>
      </c>
      <c r="FU77" s="9" t="n">
        <v>2.58</v>
      </c>
      <c r="FV77" s="9" t="n">
        <v>1.48</v>
      </c>
      <c r="FW77" s="9" t="n">
        <v>57.5</v>
      </c>
      <c r="FX77" s="9" t="n">
        <v>40.16</v>
      </c>
      <c r="FY77" s="9" t="n">
        <v>18.74</v>
      </c>
      <c r="FZ77" s="9" t="n">
        <v>11.9</v>
      </c>
      <c r="GA77" s="9" t="n">
        <v>2.13</v>
      </c>
      <c r="GB77" s="9" t="n">
        <v>0.19</v>
      </c>
      <c r="GC77" s="9" t="n">
        <v>138.9</v>
      </c>
      <c r="GD77" s="9" t="n">
        <v>92.52</v>
      </c>
      <c r="GE77" s="9" t="n">
        <v>66.59999999999999</v>
      </c>
      <c r="GF77" s="9" t="n">
        <v>58.48</v>
      </c>
      <c r="GG77" s="9" t="n">
        <v>54.9</v>
      </c>
      <c r="GH77" s="9" t="n">
        <v>93.88</v>
      </c>
      <c r="GI77" s="9" t="n">
        <v>138.48</v>
      </c>
      <c r="GJ77" s="9" t="n">
        <v>122.74</v>
      </c>
      <c r="GK77" s="9" t="n">
        <v>88.63</v>
      </c>
      <c r="GL77" s="9" t="n">
        <v>55.81</v>
      </c>
      <c r="GM77" s="9" t="n">
        <v>28.45</v>
      </c>
      <c r="GN77" s="9" t="n">
        <v>50.98</v>
      </c>
      <c r="GO77" s="9" t="n">
        <v>52.1</v>
      </c>
      <c r="GP77" s="9" t="n">
        <v>32.68</v>
      </c>
      <c r="GQ77" s="9" t="n">
        <v>62.72</v>
      </c>
      <c r="GR77" s="9" t="n">
        <v>71.13</v>
      </c>
      <c r="GS77" s="9" t="n">
        <v>47</v>
      </c>
      <c r="GT77" s="9" t="n">
        <v>66.08</v>
      </c>
      <c r="GU77" s="9" t="n">
        <v>0.45</v>
      </c>
      <c r="GV77" s="9" t="n">
        <v>0.16</v>
      </c>
      <c r="GW77" s="9" t="n">
        <v>35.71</v>
      </c>
      <c r="GX77" s="9" t="n">
        <v>22.68</v>
      </c>
      <c r="GY77" s="9" t="n">
        <v>19.39</v>
      </c>
      <c r="GZ77" s="9" t="n">
        <v>85.48999999999999</v>
      </c>
      <c r="HA77" s="9" t="n">
        <v>9.869999999999999</v>
      </c>
      <c r="HB77" s="9" t="n">
        <v>15.53</v>
      </c>
      <c r="HC77" s="9" t="n">
        <v>3.7</v>
      </c>
      <c r="HD77" s="9" t="n">
        <v>15.18</v>
      </c>
      <c r="HE77" s="9" t="n">
        <v>18.15</v>
      </c>
      <c r="HF77" s="9" t="n">
        <v>20.86</v>
      </c>
      <c r="HG77" s="9" t="n">
        <v>10.43</v>
      </c>
    </row>
    <row r="78">
      <c r="A78" s="12" t="n">
        <v>2025</v>
      </c>
      <c r="B78" s="12" t="n">
        <v>57</v>
      </c>
      <c r="C78" s="5">
        <f>(B78-AVERAGE($B$2:$B$100))/_xlfn.STDEV.P($B$2:$B$100)</f>
        <v/>
      </c>
      <c r="D78" s="12" t="n">
        <v>1</v>
      </c>
      <c r="E78" s="6">
        <f>-D78</f>
        <v/>
      </c>
      <c r="F78" s="7">
        <f>(E78-AVERAGE($E$2:$E$100))/_xlfn.STDEV.P($E$2:$E$100)</f>
        <v/>
      </c>
      <c r="G78" s="7">
        <f>sum(0.5*C78)+(0.5*F78)</f>
        <v/>
      </c>
      <c r="H78" s="12" t="inlineStr">
        <is>
          <t>West</t>
        </is>
      </c>
      <c r="I78" s="8" t="inlineStr">
        <is>
          <t>FC Tulsa</t>
        </is>
      </c>
      <c r="J78" s="9" t="n">
        <v>1.68</v>
      </c>
      <c r="K78" s="9" t="n">
        <v>1.67</v>
      </c>
      <c r="L78" s="9" t="n">
        <v>13.08</v>
      </c>
      <c r="M78" s="9" t="n">
        <v>4.18</v>
      </c>
      <c r="N78" s="9" t="n">
        <v>31.93</v>
      </c>
      <c r="O78" s="9" t="n">
        <v>297.93</v>
      </c>
      <c r="P78" s="9" t="n">
        <v>223.98</v>
      </c>
      <c r="Q78" s="9" t="n">
        <v>75.18000000000001</v>
      </c>
      <c r="R78" s="9" t="n">
        <v>46.6</v>
      </c>
      <c r="S78" s="9" t="n">
        <v>116.28</v>
      </c>
      <c r="T78" s="9" t="n">
        <v>18.25</v>
      </c>
      <c r="U78" s="9" t="n">
        <v>39.68</v>
      </c>
      <c r="V78" s="9" t="n">
        <v>58.35</v>
      </c>
      <c r="W78" s="9" t="n">
        <v>83.59999999999999</v>
      </c>
      <c r="X78" s="9" t="n">
        <v>33.78</v>
      </c>
      <c r="Y78" s="9" t="n">
        <v>35.5</v>
      </c>
      <c r="Z78" s="9" t="n">
        <v>14.33</v>
      </c>
      <c r="AA78" s="9" t="n">
        <v>208.48</v>
      </c>
      <c r="AB78" s="9" t="n">
        <v>98.65000000000001</v>
      </c>
      <c r="AC78" s="9" t="n">
        <v>47.32</v>
      </c>
      <c r="AD78" s="9" t="n">
        <v>5.18</v>
      </c>
      <c r="AE78" s="9" t="n">
        <v>1.13</v>
      </c>
      <c r="AF78" s="9" t="n">
        <v>21.74</v>
      </c>
      <c r="AG78" s="9" t="n">
        <v>28.55</v>
      </c>
      <c r="AH78" s="9" t="n">
        <v>8.08</v>
      </c>
      <c r="AI78" s="9" t="n">
        <v>28.28</v>
      </c>
      <c r="AJ78" s="9" t="n">
        <v>0.48</v>
      </c>
      <c r="AK78" s="9" t="n">
        <v>0.33</v>
      </c>
      <c r="AL78" s="9" t="n">
        <v>68.42</v>
      </c>
      <c r="AM78" s="9" t="n">
        <v>28.15</v>
      </c>
      <c r="AN78" s="9" t="n">
        <v>3.95</v>
      </c>
      <c r="AO78" s="9" t="n">
        <v>14.03</v>
      </c>
      <c r="AP78" s="9" t="n">
        <v>5.33</v>
      </c>
      <c r="AQ78" s="9" t="n">
        <v>1.68</v>
      </c>
      <c r="AR78" s="9" t="n">
        <v>31.46</v>
      </c>
      <c r="AS78" s="9" t="n">
        <v>3.05</v>
      </c>
      <c r="AT78" s="9" t="n">
        <v>0.65</v>
      </c>
      <c r="AU78" s="9" t="n">
        <v>21.31</v>
      </c>
      <c r="AV78" s="9" t="n">
        <v>0.23</v>
      </c>
      <c r="AW78" s="9" t="n">
        <v>0.2</v>
      </c>
      <c r="AX78" s="9" t="n">
        <v>88.89</v>
      </c>
      <c r="AY78" s="9" t="n">
        <v>16.78</v>
      </c>
      <c r="AZ78" s="9" t="n">
        <v>5.88</v>
      </c>
      <c r="BA78" s="9" t="n">
        <v>35.02</v>
      </c>
      <c r="BB78" s="9" t="n">
        <v>6</v>
      </c>
      <c r="BC78" s="9" t="n">
        <v>7.25</v>
      </c>
      <c r="BD78" s="9" t="n">
        <v>26.58</v>
      </c>
      <c r="BE78" s="9" t="n">
        <v>3.23</v>
      </c>
      <c r="BF78" s="9" t="n">
        <v>11.35</v>
      </c>
      <c r="BG78" s="9" t="n">
        <v>19.03</v>
      </c>
      <c r="BH78" s="9" t="n">
        <v>59.48</v>
      </c>
      <c r="BI78" s="9" t="n">
        <v>24</v>
      </c>
      <c r="BJ78" s="9" t="n">
        <v>40.35</v>
      </c>
      <c r="BK78" s="9" t="n">
        <v>1.13</v>
      </c>
      <c r="BL78" s="9" t="n">
        <v>0.98</v>
      </c>
      <c r="BM78" s="9" t="n">
        <v>10.43</v>
      </c>
      <c r="BN78" s="9" t="n">
        <v>3.3</v>
      </c>
      <c r="BO78" s="9" t="n">
        <v>31.65</v>
      </c>
      <c r="BP78" s="9" t="n">
        <v>63.98</v>
      </c>
      <c r="BQ78" s="9" t="n">
        <v>38.48</v>
      </c>
      <c r="BR78" s="9" t="n">
        <v>60.14</v>
      </c>
      <c r="BS78" s="9" t="n">
        <v>55.88</v>
      </c>
      <c r="BT78" s="9" t="n">
        <v>23.63</v>
      </c>
      <c r="BU78" s="9" t="n">
        <v>42.28</v>
      </c>
      <c r="BV78" s="9" t="n">
        <v>3.23</v>
      </c>
      <c r="BW78" s="9" t="n">
        <v>1.7</v>
      </c>
      <c r="BX78" s="9" t="n">
        <v>52.71</v>
      </c>
      <c r="BY78" s="9" t="n">
        <v>37.08</v>
      </c>
      <c r="BZ78" s="9" t="n">
        <v>17.05</v>
      </c>
      <c r="CA78" s="9" t="n">
        <v>16.83</v>
      </c>
      <c r="CB78" s="9" t="n">
        <v>3.03</v>
      </c>
      <c r="CC78" s="9" t="n">
        <v>0.08</v>
      </c>
      <c r="CD78" s="9" t="n">
        <v>119.58</v>
      </c>
      <c r="CE78" s="9" t="n">
        <v>78.45</v>
      </c>
      <c r="CF78" s="9" t="n">
        <v>65.61</v>
      </c>
      <c r="CG78" s="9" t="n">
        <v>40.73</v>
      </c>
      <c r="CH78" s="9" t="n">
        <v>37.15</v>
      </c>
      <c r="CI78" s="9" t="n">
        <v>91.22</v>
      </c>
      <c r="CJ78" s="9" t="n">
        <v>96.90000000000001</v>
      </c>
      <c r="CK78" s="9" t="n">
        <v>79.53</v>
      </c>
      <c r="CL78" s="9" t="n">
        <v>82.06999999999999</v>
      </c>
      <c r="CM78" s="9" t="n">
        <v>49.78</v>
      </c>
      <c r="CN78" s="9" t="n">
        <v>24.63</v>
      </c>
      <c r="CO78" s="9" t="n">
        <v>49.47</v>
      </c>
      <c r="CP78" s="9" t="n">
        <v>52.1</v>
      </c>
      <c r="CQ78" s="9" t="n">
        <v>32.18</v>
      </c>
      <c r="CR78" s="9" t="n">
        <v>61.76</v>
      </c>
      <c r="CS78" s="9" t="n">
        <v>65.88</v>
      </c>
      <c r="CT78" s="9" t="n">
        <v>48.1</v>
      </c>
      <c r="CU78" s="9" t="n">
        <v>73.02</v>
      </c>
      <c r="CV78" s="9" t="n">
        <v>0.73</v>
      </c>
      <c r="CW78" s="9" t="n">
        <v>0.4</v>
      </c>
      <c r="CX78" s="9" t="n">
        <v>55.17</v>
      </c>
      <c r="CY78" s="9" t="n">
        <v>22.15</v>
      </c>
      <c r="CZ78" s="9" t="n">
        <v>18.78</v>
      </c>
      <c r="DA78" s="9" t="n">
        <v>84.76000000000001</v>
      </c>
      <c r="DB78" s="9" t="n">
        <v>8.300000000000001</v>
      </c>
      <c r="DC78" s="9" t="n">
        <v>14.47</v>
      </c>
      <c r="DD78" s="9" t="n">
        <v>2.8</v>
      </c>
      <c r="DE78" s="9" t="n">
        <v>17.21</v>
      </c>
      <c r="DF78" s="9" t="n">
        <v>17.82</v>
      </c>
      <c r="DG78" s="9" t="n">
        <v>21.48</v>
      </c>
      <c r="DH78" s="9" t="n">
        <v>9.02</v>
      </c>
      <c r="DI78" s="9" t="n">
        <v>0.98</v>
      </c>
      <c r="DJ78" s="9" t="n">
        <v>1.14</v>
      </c>
      <c r="DK78" s="9" t="n">
        <v>10.43</v>
      </c>
      <c r="DL78" s="9" t="n">
        <v>3.15</v>
      </c>
      <c r="DM78" s="9" t="n">
        <v>30.22</v>
      </c>
      <c r="DN78" s="9" t="n">
        <v>355.35</v>
      </c>
      <c r="DO78" s="9" t="n">
        <v>279.25</v>
      </c>
      <c r="DP78" s="9" t="n">
        <v>78.58</v>
      </c>
      <c r="DQ78" s="9" t="n">
        <v>53.4</v>
      </c>
      <c r="DR78" s="9" t="n">
        <v>119.75</v>
      </c>
      <c r="DS78" s="9" t="n">
        <v>26.58</v>
      </c>
      <c r="DT78" s="9" t="n">
        <v>43.9</v>
      </c>
      <c r="DU78" s="9" t="n">
        <v>49.28</v>
      </c>
      <c r="DV78" s="9" t="n">
        <v>81.88</v>
      </c>
      <c r="DW78" s="9" t="n">
        <v>41.2</v>
      </c>
      <c r="DX78" s="9" t="n">
        <v>30.9</v>
      </c>
      <c r="DY78" s="9" t="n">
        <v>9.779999999999999</v>
      </c>
      <c r="DZ78" s="9" t="n">
        <v>208.48</v>
      </c>
      <c r="EA78" s="9" t="n">
        <v>99.40000000000001</v>
      </c>
      <c r="EB78" s="9" t="n">
        <v>47.68</v>
      </c>
      <c r="EC78" s="9" t="n">
        <v>3.83</v>
      </c>
      <c r="ED78" s="9" t="n">
        <v>0.85</v>
      </c>
      <c r="EE78" s="9" t="n">
        <v>22.22</v>
      </c>
      <c r="EF78" s="9" t="n">
        <v>23.13</v>
      </c>
      <c r="EG78" s="9" t="n">
        <v>5.83</v>
      </c>
      <c r="EH78" s="9" t="n">
        <v>25.19</v>
      </c>
      <c r="EI78" s="9" t="n">
        <v>0.65</v>
      </c>
      <c r="EJ78" s="9" t="n">
        <v>0.38</v>
      </c>
      <c r="EK78" s="9" t="n">
        <v>57.69</v>
      </c>
      <c r="EL78" s="9" t="n">
        <v>29.5</v>
      </c>
      <c r="EM78" s="9" t="n">
        <v>3.63</v>
      </c>
      <c r="EN78" s="9" t="n">
        <v>12.29</v>
      </c>
      <c r="EO78" s="9" t="n">
        <v>4.35</v>
      </c>
      <c r="EP78" s="9" t="n">
        <v>1.38</v>
      </c>
      <c r="EQ78" s="9" t="n">
        <v>31.61</v>
      </c>
      <c r="ER78" s="9" t="n">
        <v>3.43</v>
      </c>
      <c r="ES78" s="9" t="n">
        <v>0.98</v>
      </c>
      <c r="ET78" s="9" t="n">
        <v>28.47</v>
      </c>
      <c r="EU78" s="9" t="n">
        <v>0.13</v>
      </c>
      <c r="EV78" s="9" t="n">
        <v>0.13</v>
      </c>
      <c r="EW78" s="9" t="n">
        <v>100</v>
      </c>
      <c r="EX78" s="9" t="n">
        <v>13.58</v>
      </c>
      <c r="EY78" s="9" t="n">
        <v>4.75</v>
      </c>
      <c r="EZ78" s="9" t="n">
        <v>34.99</v>
      </c>
      <c r="FA78" s="9" t="n">
        <v>4.58</v>
      </c>
      <c r="FB78" s="9" t="n">
        <v>5.6</v>
      </c>
      <c r="FC78" s="9" t="n">
        <v>21.98</v>
      </c>
      <c r="FD78" s="9" t="n">
        <v>3.23</v>
      </c>
      <c r="FE78" s="9" t="n">
        <v>8.6</v>
      </c>
      <c r="FF78" s="9" t="n">
        <v>15.2</v>
      </c>
      <c r="FG78" s="9" t="n">
        <v>63.95</v>
      </c>
      <c r="FH78" s="9" t="n">
        <v>25.48</v>
      </c>
      <c r="FI78" s="9" t="n">
        <v>39.84</v>
      </c>
      <c r="FJ78" s="9" t="n">
        <v>1.53</v>
      </c>
      <c r="FK78" s="9" t="n">
        <v>1.68</v>
      </c>
      <c r="FL78" s="9" t="n">
        <v>13.08</v>
      </c>
      <c r="FM78" s="9" t="n">
        <v>4.38</v>
      </c>
      <c r="FN78" s="9" t="n">
        <v>33.46</v>
      </c>
      <c r="FO78" s="9" t="n">
        <v>59.5</v>
      </c>
      <c r="FP78" s="9" t="n">
        <v>35.48</v>
      </c>
      <c r="FQ78" s="9" t="n">
        <v>59.62</v>
      </c>
      <c r="FR78" s="9" t="n">
        <v>55.88</v>
      </c>
      <c r="FS78" s="9" t="n">
        <v>26.95</v>
      </c>
      <c r="FT78" s="9" t="n">
        <v>48.23</v>
      </c>
      <c r="FU78" s="9" t="n">
        <v>2.98</v>
      </c>
      <c r="FV78" s="9" t="n">
        <v>1.4</v>
      </c>
      <c r="FW78" s="9" t="n">
        <v>47.06</v>
      </c>
      <c r="FX78" s="9" t="n">
        <v>38</v>
      </c>
      <c r="FY78" s="9" t="n">
        <v>18.85</v>
      </c>
      <c r="FZ78" s="9" t="n">
        <v>14.98</v>
      </c>
      <c r="GA78" s="9" t="n">
        <v>2.43</v>
      </c>
      <c r="GB78" s="9" t="n">
        <v>0.1</v>
      </c>
      <c r="GC78" s="9" t="n">
        <v>136.83</v>
      </c>
      <c r="GD78" s="9" t="n">
        <v>91.34999999999999</v>
      </c>
      <c r="GE78" s="9" t="n">
        <v>66.76000000000001</v>
      </c>
      <c r="GF78" s="9" t="n">
        <v>52</v>
      </c>
      <c r="GG78" s="9" t="n">
        <v>48.23</v>
      </c>
      <c r="GH78" s="9" t="n">
        <v>92.73999999999999</v>
      </c>
      <c r="GI78" s="9" t="n">
        <v>119.78</v>
      </c>
      <c r="GJ78" s="9" t="n">
        <v>102.75</v>
      </c>
      <c r="GK78" s="9" t="n">
        <v>85.79000000000001</v>
      </c>
      <c r="GL78" s="9" t="n">
        <v>53.88</v>
      </c>
      <c r="GM78" s="9" t="n">
        <v>26.13</v>
      </c>
      <c r="GN78" s="9" t="n">
        <v>48.49</v>
      </c>
      <c r="GO78" s="9" t="n">
        <v>50.75</v>
      </c>
      <c r="GP78" s="9" t="n">
        <v>30.5</v>
      </c>
      <c r="GQ78" s="9" t="n">
        <v>60.1</v>
      </c>
      <c r="GR78" s="9" t="n">
        <v>68.59999999999999</v>
      </c>
      <c r="GS78" s="9" t="n">
        <v>45.08</v>
      </c>
      <c r="GT78" s="9" t="n">
        <v>65.70999999999999</v>
      </c>
      <c r="GU78" s="9" t="n">
        <v>0.95</v>
      </c>
      <c r="GV78" s="9" t="n">
        <v>0.45</v>
      </c>
      <c r="GW78" s="9" t="n">
        <v>47.37</v>
      </c>
      <c r="GX78" s="9" t="n">
        <v>22.28</v>
      </c>
      <c r="GY78" s="9" t="n">
        <v>19.3</v>
      </c>
      <c r="GZ78" s="9" t="n">
        <v>86.64</v>
      </c>
      <c r="HA78" s="9" t="n">
        <v>9.48</v>
      </c>
      <c r="HB78" s="9" t="n">
        <v>15.06</v>
      </c>
      <c r="HC78" s="9" t="n">
        <v>3.36</v>
      </c>
      <c r="HD78" s="9" t="n">
        <v>15.87</v>
      </c>
      <c r="HE78" s="9" t="n">
        <v>17.37</v>
      </c>
      <c r="HF78" s="9" t="n">
        <v>21.13</v>
      </c>
      <c r="HG78" s="9" t="n">
        <v>7.79</v>
      </c>
    </row>
    <row r="79">
      <c r="A79" s="12" t="n">
        <v>2025</v>
      </c>
      <c r="B79" s="12" t="n">
        <v>62</v>
      </c>
      <c r="C79" s="5">
        <f>(B79-AVERAGE($B$2:$B$100))/_xlfn.STDEV.P($B$2:$B$100)</f>
        <v/>
      </c>
      <c r="D79" s="12" t="n">
        <v>2</v>
      </c>
      <c r="E79" s="6">
        <f>-D79</f>
        <v/>
      </c>
      <c r="F79" s="7">
        <f>(E79-AVERAGE($E$2:$E$100))/_xlfn.STDEV.P($E$2:$E$100)</f>
        <v/>
      </c>
      <c r="G79" s="7">
        <f>sum(0.5*C79)+(0.5*F79)</f>
        <v/>
      </c>
      <c r="H79" s="12" t="inlineStr">
        <is>
          <t>East</t>
        </is>
      </c>
      <c r="I79" s="8" t="inlineStr">
        <is>
          <t>Charleston Battery</t>
        </is>
      </c>
      <c r="J79" s="9" t="n">
        <v>1.9</v>
      </c>
      <c r="K79" s="9" t="n">
        <v>1.6</v>
      </c>
      <c r="L79" s="9" t="n">
        <v>12.93</v>
      </c>
      <c r="M79" s="9" t="n">
        <v>5.23</v>
      </c>
      <c r="N79" s="9" t="n">
        <v>40.46</v>
      </c>
      <c r="O79" s="9" t="n">
        <v>494.37</v>
      </c>
      <c r="P79" s="9" t="n">
        <v>425.7</v>
      </c>
      <c r="Q79" s="9" t="n">
        <v>86.11</v>
      </c>
      <c r="R79" s="9" t="n">
        <v>59.61</v>
      </c>
      <c r="S79" s="9" t="n">
        <v>102.6</v>
      </c>
      <c r="T79" s="9" t="n">
        <v>18.6</v>
      </c>
      <c r="U79" s="9" t="n">
        <v>35.37</v>
      </c>
      <c r="V79" s="9" t="n">
        <v>48.63</v>
      </c>
      <c r="W79" s="9" t="n">
        <v>74.5</v>
      </c>
      <c r="X79" s="9" t="n">
        <v>33.23</v>
      </c>
      <c r="Y79" s="9" t="n">
        <v>30.47</v>
      </c>
      <c r="Z79" s="9" t="n">
        <v>10.8</v>
      </c>
      <c r="AA79" s="9" t="n">
        <v>173.4</v>
      </c>
      <c r="AB79" s="9" t="n">
        <v>82.67</v>
      </c>
      <c r="AC79" s="9" t="n">
        <v>47.67</v>
      </c>
      <c r="AD79" s="9" t="n">
        <v>5.83</v>
      </c>
      <c r="AE79" s="9" t="n">
        <v>1.8</v>
      </c>
      <c r="AF79" s="9" t="n">
        <v>30.86</v>
      </c>
      <c r="AG79" s="9" t="n">
        <v>26.57</v>
      </c>
      <c r="AH79" s="9" t="n">
        <v>7.8</v>
      </c>
      <c r="AI79" s="9" t="n">
        <v>29.36</v>
      </c>
      <c r="AJ79" s="9" t="n">
        <v>0.8</v>
      </c>
      <c r="AK79" s="9" t="n">
        <v>0.4</v>
      </c>
      <c r="AL79" s="9" t="n">
        <v>50</v>
      </c>
      <c r="AM79" s="9" t="n">
        <v>28.2</v>
      </c>
      <c r="AN79" s="9" t="n">
        <v>3.73</v>
      </c>
      <c r="AO79" s="9" t="n">
        <v>13.24</v>
      </c>
      <c r="AP79" s="9" t="n">
        <v>4.87</v>
      </c>
      <c r="AQ79" s="9" t="n">
        <v>1.4</v>
      </c>
      <c r="AR79" s="9" t="n">
        <v>28.77</v>
      </c>
      <c r="AS79" s="9" t="n">
        <v>2.17</v>
      </c>
      <c r="AT79" s="9" t="n">
        <v>0.53</v>
      </c>
      <c r="AU79" s="9" t="n">
        <v>24.62</v>
      </c>
      <c r="AV79" s="9" t="n">
        <v>0.33</v>
      </c>
      <c r="AW79" s="9" t="n">
        <v>0.3</v>
      </c>
      <c r="AX79" s="9" t="n">
        <v>90</v>
      </c>
      <c r="AY79" s="9" t="n">
        <v>12.07</v>
      </c>
      <c r="AZ79" s="9" t="n">
        <v>4.2</v>
      </c>
      <c r="BA79" s="9" t="n">
        <v>34.81</v>
      </c>
      <c r="BB79" s="9" t="n">
        <v>4.1</v>
      </c>
      <c r="BC79" s="9" t="n">
        <v>8.300000000000001</v>
      </c>
      <c r="BD79" s="9" t="n">
        <v>22.63</v>
      </c>
      <c r="BE79" s="9" t="n">
        <v>2.9</v>
      </c>
      <c r="BF79" s="9" t="n">
        <v>7.8</v>
      </c>
      <c r="BG79" s="9" t="n">
        <v>15.43</v>
      </c>
      <c r="BH79" s="9" t="n">
        <v>62.13</v>
      </c>
      <c r="BI79" s="9" t="n">
        <v>24.17</v>
      </c>
      <c r="BJ79" s="9" t="n">
        <v>38.89</v>
      </c>
      <c r="BK79" s="9" t="n">
        <v>1.43</v>
      </c>
      <c r="BL79" s="9" t="n">
        <v>1.07</v>
      </c>
      <c r="BM79" s="9" t="n">
        <v>9.630000000000001</v>
      </c>
      <c r="BN79" s="9" t="n">
        <v>3.47</v>
      </c>
      <c r="BO79" s="9" t="n">
        <v>35.99</v>
      </c>
      <c r="BP79" s="9" t="n">
        <v>55.87</v>
      </c>
      <c r="BQ79" s="9" t="n">
        <v>34.33</v>
      </c>
      <c r="BR79" s="9" t="n">
        <v>61.46</v>
      </c>
      <c r="BS79" s="9" t="n">
        <v>32.93</v>
      </c>
      <c r="BT79" s="9" t="n">
        <v>15.2</v>
      </c>
      <c r="BU79" s="9" t="n">
        <v>46.15</v>
      </c>
      <c r="BV79" s="9" t="n">
        <v>1.6</v>
      </c>
      <c r="BW79" s="9" t="n">
        <v>0.8</v>
      </c>
      <c r="BX79" s="9" t="n">
        <v>50</v>
      </c>
      <c r="BY79" s="9" t="n">
        <v>34.43</v>
      </c>
      <c r="BZ79" s="9" t="n">
        <v>13.93</v>
      </c>
      <c r="CA79" s="9" t="n">
        <v>13.03</v>
      </c>
      <c r="CB79" s="9" t="n">
        <v>2.3</v>
      </c>
      <c r="CC79" s="9" t="n">
        <v>0.1</v>
      </c>
      <c r="CD79" s="9" t="n">
        <v>154.83</v>
      </c>
      <c r="CE79" s="9" t="n">
        <v>117.53</v>
      </c>
      <c r="CF79" s="9" t="n">
        <v>75.91</v>
      </c>
      <c r="CG79" s="9" t="n">
        <v>73.77</v>
      </c>
      <c r="CH79" s="9" t="n">
        <v>69.40000000000001</v>
      </c>
      <c r="CI79" s="9" t="n">
        <v>94.08</v>
      </c>
      <c r="CJ79" s="9" t="n">
        <v>200.73</v>
      </c>
      <c r="CK79" s="9" t="n">
        <v>185</v>
      </c>
      <c r="CL79" s="9" t="n">
        <v>92.16</v>
      </c>
      <c r="CM79" s="9" t="n">
        <v>49.13</v>
      </c>
      <c r="CN79" s="9" t="n">
        <v>28.9</v>
      </c>
      <c r="CO79" s="9" t="n">
        <v>58.82</v>
      </c>
      <c r="CP79" s="9" t="n">
        <v>59.5</v>
      </c>
      <c r="CQ79" s="9" t="n">
        <v>41.5</v>
      </c>
      <c r="CR79" s="9" t="n">
        <v>69.75</v>
      </c>
      <c r="CS79" s="9" t="n">
        <v>77.47</v>
      </c>
      <c r="CT79" s="9" t="n">
        <v>58.97</v>
      </c>
      <c r="CU79" s="9" t="n">
        <v>76.12</v>
      </c>
      <c r="CV79" s="9" t="n">
        <v>1.5</v>
      </c>
      <c r="CW79" s="9" t="n">
        <v>0.87</v>
      </c>
      <c r="CX79" s="9" t="n">
        <v>57.78</v>
      </c>
      <c r="CY79" s="9" t="n">
        <v>18.4</v>
      </c>
      <c r="CZ79" s="9" t="n">
        <v>16.5</v>
      </c>
      <c r="DA79" s="9" t="n">
        <v>89.67</v>
      </c>
      <c r="DB79" s="9" t="n">
        <v>6.9</v>
      </c>
      <c r="DC79" s="9" t="n">
        <v>16.04</v>
      </c>
      <c r="DD79" s="9" t="n">
        <v>4.93</v>
      </c>
      <c r="DE79" s="9" t="n">
        <v>10.27</v>
      </c>
      <c r="DF79" s="9" t="n">
        <v>19.29</v>
      </c>
      <c r="DG79" s="9" t="n">
        <v>20</v>
      </c>
      <c r="DH79" s="9" t="n">
        <v>9.57</v>
      </c>
      <c r="DI79" s="9" t="n">
        <v>1.07</v>
      </c>
      <c r="DJ79" s="9" t="n">
        <v>1.19</v>
      </c>
      <c r="DK79" s="9" t="n">
        <v>9.630000000000001</v>
      </c>
      <c r="DL79" s="9" t="n">
        <v>3.17</v>
      </c>
      <c r="DM79" s="9" t="n">
        <v>32.87</v>
      </c>
      <c r="DN79" s="9" t="n">
        <v>335.77</v>
      </c>
      <c r="DO79" s="9" t="n">
        <v>267.7</v>
      </c>
      <c r="DP79" s="9" t="n">
        <v>79.73</v>
      </c>
      <c r="DQ79" s="9" t="n">
        <v>40.39</v>
      </c>
      <c r="DR79" s="9" t="n">
        <v>100.33</v>
      </c>
      <c r="DS79" s="9" t="n">
        <v>17.6</v>
      </c>
      <c r="DT79" s="9" t="n">
        <v>37.77</v>
      </c>
      <c r="DU79" s="9" t="n">
        <v>44.97</v>
      </c>
      <c r="DV79" s="9" t="n">
        <v>72.59999999999999</v>
      </c>
      <c r="DW79" s="9" t="n">
        <v>34.4</v>
      </c>
      <c r="DX79" s="9" t="n">
        <v>27.67</v>
      </c>
      <c r="DY79" s="9" t="n">
        <v>10.53</v>
      </c>
      <c r="DZ79" s="9" t="n">
        <v>173.4</v>
      </c>
      <c r="EA79" s="9" t="n">
        <v>83.87</v>
      </c>
      <c r="EB79" s="9" t="n">
        <v>48.37</v>
      </c>
      <c r="EC79" s="9" t="n">
        <v>4.2</v>
      </c>
      <c r="ED79" s="9" t="n">
        <v>1.07</v>
      </c>
      <c r="EE79" s="9" t="n">
        <v>25.4</v>
      </c>
      <c r="EF79" s="9" t="n">
        <v>23.7</v>
      </c>
      <c r="EG79" s="9" t="n">
        <v>6.13</v>
      </c>
      <c r="EH79" s="9" t="n">
        <v>25.88</v>
      </c>
      <c r="EI79" s="9" t="n">
        <v>0.47</v>
      </c>
      <c r="EJ79" s="9" t="n">
        <v>0.23</v>
      </c>
      <c r="EK79" s="9" t="n">
        <v>50</v>
      </c>
      <c r="EL79" s="9" t="n">
        <v>24.27</v>
      </c>
      <c r="EM79" s="9" t="n">
        <v>2.57</v>
      </c>
      <c r="EN79" s="9" t="n">
        <v>10.58</v>
      </c>
      <c r="EO79" s="9" t="n">
        <v>3.27</v>
      </c>
      <c r="EP79" s="9" t="n">
        <v>0.87</v>
      </c>
      <c r="EQ79" s="9" t="n">
        <v>26.53</v>
      </c>
      <c r="ER79" s="9" t="n">
        <v>2.8</v>
      </c>
      <c r="ES79" s="9" t="n">
        <v>0.53</v>
      </c>
      <c r="ET79" s="9" t="n">
        <v>19.05</v>
      </c>
      <c r="EU79" s="9" t="n">
        <v>0.2</v>
      </c>
      <c r="EV79" s="9" t="n">
        <v>0.17</v>
      </c>
      <c r="EW79" s="9" t="n">
        <v>83.33</v>
      </c>
      <c r="EX79" s="9" t="n">
        <v>11.5</v>
      </c>
      <c r="EY79" s="9" t="n">
        <v>3.7</v>
      </c>
      <c r="EZ79" s="9" t="n">
        <v>32.17</v>
      </c>
      <c r="FA79" s="9" t="n">
        <v>3.63</v>
      </c>
      <c r="FB79" s="9" t="n">
        <v>5.13</v>
      </c>
      <c r="FC79" s="9" t="n">
        <v>19.57</v>
      </c>
      <c r="FD79" s="9" t="n">
        <v>2.63</v>
      </c>
      <c r="FE79" s="9" t="n">
        <v>7.63</v>
      </c>
      <c r="FF79" s="9" t="n">
        <v>13.03</v>
      </c>
      <c r="FG79" s="9" t="n">
        <v>55.9</v>
      </c>
      <c r="FH79" s="9" t="n">
        <v>21.53</v>
      </c>
      <c r="FI79" s="9" t="n">
        <v>38.52</v>
      </c>
      <c r="FJ79" s="9" t="n">
        <v>1.57</v>
      </c>
      <c r="FK79" s="9" t="n">
        <v>1.9</v>
      </c>
      <c r="FL79" s="9" t="n">
        <v>12.93</v>
      </c>
      <c r="FM79" s="9" t="n">
        <v>5.63</v>
      </c>
      <c r="FN79" s="9" t="n">
        <v>43.56</v>
      </c>
      <c r="FO79" s="9" t="n">
        <v>62.1</v>
      </c>
      <c r="FP79" s="9" t="n">
        <v>37.93</v>
      </c>
      <c r="FQ79" s="9" t="n">
        <v>61.08</v>
      </c>
      <c r="FR79" s="9" t="n">
        <v>32.93</v>
      </c>
      <c r="FS79" s="9" t="n">
        <v>14.87</v>
      </c>
      <c r="FT79" s="9" t="n">
        <v>45.14</v>
      </c>
      <c r="FU79" s="9" t="n">
        <v>2.9</v>
      </c>
      <c r="FV79" s="9" t="n">
        <v>1.5</v>
      </c>
      <c r="FW79" s="9" t="n">
        <v>51.72</v>
      </c>
      <c r="FX79" s="9" t="n">
        <v>35.3</v>
      </c>
      <c r="FY79" s="9" t="n">
        <v>11.87</v>
      </c>
      <c r="FZ79" s="9" t="n">
        <v>15.8</v>
      </c>
      <c r="GA79" s="9" t="n">
        <v>2.43</v>
      </c>
      <c r="GB79" s="9" t="n">
        <v>0.07000000000000001</v>
      </c>
      <c r="GC79" s="9" t="n">
        <v>121.83</v>
      </c>
      <c r="GD79" s="9" t="n">
        <v>82.90000000000001</v>
      </c>
      <c r="GE79" s="9" t="n">
        <v>68.04000000000001</v>
      </c>
      <c r="GF79" s="9" t="n">
        <v>50.67</v>
      </c>
      <c r="GG79" s="9" t="n">
        <v>46.9</v>
      </c>
      <c r="GH79" s="9" t="n">
        <v>92.56999999999999</v>
      </c>
      <c r="GI79" s="9" t="n">
        <v>112.5</v>
      </c>
      <c r="GJ79" s="9" t="n">
        <v>96.7</v>
      </c>
      <c r="GK79" s="9" t="n">
        <v>85.95999999999999</v>
      </c>
      <c r="GL79" s="9" t="n">
        <v>45.37</v>
      </c>
      <c r="GM79" s="9" t="n">
        <v>21.93</v>
      </c>
      <c r="GN79" s="9" t="n">
        <v>48.35</v>
      </c>
      <c r="GO79" s="9" t="n">
        <v>45.43</v>
      </c>
      <c r="GP79" s="9" t="n">
        <v>27.5</v>
      </c>
      <c r="GQ79" s="9" t="n">
        <v>60.53</v>
      </c>
      <c r="GR79" s="9" t="n">
        <v>60.73</v>
      </c>
      <c r="GS79" s="9" t="n">
        <v>39.77</v>
      </c>
      <c r="GT79" s="9" t="n">
        <v>65.48</v>
      </c>
      <c r="GU79" s="9" t="n">
        <v>0.53</v>
      </c>
      <c r="GV79" s="9" t="n">
        <v>0.17</v>
      </c>
      <c r="GW79" s="9" t="n">
        <v>31.25</v>
      </c>
      <c r="GX79" s="9" t="n">
        <v>17.6</v>
      </c>
      <c r="GY79" s="9" t="n">
        <v>15.13</v>
      </c>
      <c r="GZ79" s="9" t="n">
        <v>85.98</v>
      </c>
      <c r="HA79" s="9" t="n">
        <v>7.77</v>
      </c>
      <c r="HB79" s="9" t="n">
        <v>15.92</v>
      </c>
      <c r="HC79" s="9" t="n">
        <v>3.49</v>
      </c>
      <c r="HD79" s="9" t="n">
        <v>14.3</v>
      </c>
      <c r="HE79" s="9" t="n">
        <v>18.6</v>
      </c>
      <c r="HF79" s="9" t="n">
        <v>20.06</v>
      </c>
      <c r="HG79" s="9" t="n">
        <v>14.03</v>
      </c>
    </row>
    <row r="80">
      <c r="A80" s="12" t="n">
        <v>2025</v>
      </c>
      <c r="B80" s="12" t="n">
        <v>48</v>
      </c>
      <c r="C80" s="5">
        <f>(B80-AVERAGE($B$2:$B$100))/_xlfn.STDEV.P($B$2:$B$100)</f>
        <v/>
      </c>
      <c r="D80" s="12" t="n">
        <v>2</v>
      </c>
      <c r="E80" s="6">
        <f>-D80</f>
        <v/>
      </c>
      <c r="F80" s="7">
        <f>(E80-AVERAGE($E$2:$E$100))/_xlfn.STDEV.P($E$2:$E$100)</f>
        <v/>
      </c>
      <c r="G80" s="7">
        <f>sum(0.5*C80)+(0.5*F80)</f>
        <v/>
      </c>
      <c r="H80" s="12" t="inlineStr">
        <is>
          <t>West</t>
        </is>
      </c>
      <c r="I80" s="8" t="inlineStr">
        <is>
          <t>Sacramento Republic</t>
        </is>
      </c>
      <c r="J80" s="9" t="n">
        <v>1.42</v>
      </c>
      <c r="K80" s="9" t="n">
        <v>1.44</v>
      </c>
      <c r="L80" s="9" t="n">
        <v>10.77</v>
      </c>
      <c r="M80" s="9" t="n">
        <v>3.71</v>
      </c>
      <c r="N80" s="9" t="n">
        <v>34.43</v>
      </c>
      <c r="O80" s="9" t="n">
        <v>377.74</v>
      </c>
      <c r="P80" s="9" t="n">
        <v>310.1</v>
      </c>
      <c r="Q80" s="9" t="n">
        <v>82.09</v>
      </c>
      <c r="R80" s="9" t="n">
        <v>46.29</v>
      </c>
      <c r="S80" s="9" t="n">
        <v>104.48</v>
      </c>
      <c r="T80" s="9" t="n">
        <v>17.55</v>
      </c>
      <c r="U80" s="9" t="n">
        <v>34.06</v>
      </c>
      <c r="V80" s="9" t="n">
        <v>52.87</v>
      </c>
      <c r="W80" s="9" t="n">
        <v>76.87</v>
      </c>
      <c r="X80" s="9" t="n">
        <v>32.84</v>
      </c>
      <c r="Y80" s="9" t="n">
        <v>31.23</v>
      </c>
      <c r="Z80" s="9" t="n">
        <v>12.81</v>
      </c>
      <c r="AA80" s="9" t="n">
        <v>182.58</v>
      </c>
      <c r="AB80" s="9" t="n">
        <v>90.19</v>
      </c>
      <c r="AC80" s="9" t="n">
        <v>49.4</v>
      </c>
      <c r="AD80" s="9" t="n">
        <v>3.68</v>
      </c>
      <c r="AE80" s="9" t="n">
        <v>0.97</v>
      </c>
      <c r="AF80" s="9" t="n">
        <v>26.32</v>
      </c>
      <c r="AG80" s="9" t="n">
        <v>28.58</v>
      </c>
      <c r="AH80" s="9" t="n">
        <v>6.74</v>
      </c>
      <c r="AI80" s="9" t="n">
        <v>23.59</v>
      </c>
      <c r="AJ80" s="9" t="n">
        <v>0.52</v>
      </c>
      <c r="AK80" s="9" t="n">
        <v>0.29</v>
      </c>
      <c r="AL80" s="9" t="n">
        <v>56.25</v>
      </c>
      <c r="AM80" s="9" t="n">
        <v>26.87</v>
      </c>
      <c r="AN80" s="9" t="n">
        <v>3.03</v>
      </c>
      <c r="AO80" s="9" t="n">
        <v>11.28</v>
      </c>
      <c r="AP80" s="9" t="n">
        <v>4.74</v>
      </c>
      <c r="AQ80" s="9" t="n">
        <v>1.32</v>
      </c>
      <c r="AR80" s="9" t="n">
        <v>27.89</v>
      </c>
      <c r="AS80" s="9" t="n">
        <v>2.94</v>
      </c>
      <c r="AT80" s="9" t="n">
        <v>0.87</v>
      </c>
      <c r="AU80" s="9" t="n">
        <v>29.67</v>
      </c>
      <c r="AV80" s="9" t="n">
        <v>0.13</v>
      </c>
      <c r="AW80" s="9" t="n">
        <v>0.13</v>
      </c>
      <c r="AX80" s="9" t="n">
        <v>100</v>
      </c>
      <c r="AY80" s="9" t="n">
        <v>15.97</v>
      </c>
      <c r="AZ80" s="9" t="n">
        <v>4.84</v>
      </c>
      <c r="BA80" s="9" t="n">
        <v>30.3</v>
      </c>
      <c r="BB80" s="9" t="n">
        <v>4.61</v>
      </c>
      <c r="BC80" s="9" t="n">
        <v>7.03</v>
      </c>
      <c r="BD80" s="9" t="n">
        <v>24.68</v>
      </c>
      <c r="BE80" s="9" t="n">
        <v>3.55</v>
      </c>
      <c r="BF80" s="9" t="n">
        <v>10.13</v>
      </c>
      <c r="BG80" s="9" t="n">
        <v>17.42</v>
      </c>
      <c r="BH80" s="9" t="n">
        <v>57</v>
      </c>
      <c r="BI80" s="9" t="n">
        <v>22.94</v>
      </c>
      <c r="BJ80" s="9" t="n">
        <v>40.24</v>
      </c>
      <c r="BK80" s="9" t="n">
        <v>1.71</v>
      </c>
      <c r="BL80" s="9" t="n">
        <v>0.87</v>
      </c>
      <c r="BM80" s="9" t="n">
        <v>8.869999999999999</v>
      </c>
      <c r="BN80" s="9" t="n">
        <v>3.13</v>
      </c>
      <c r="BO80" s="9" t="n">
        <v>35.27</v>
      </c>
      <c r="BP80" s="9" t="n">
        <v>60.23</v>
      </c>
      <c r="BQ80" s="9" t="n">
        <v>36.26</v>
      </c>
      <c r="BR80" s="9" t="n">
        <v>60.2</v>
      </c>
      <c r="BS80" s="9" t="n">
        <v>42.32</v>
      </c>
      <c r="BT80" s="9" t="n">
        <v>21.58</v>
      </c>
      <c r="BU80" s="9" t="n">
        <v>50.99</v>
      </c>
      <c r="BV80" s="9" t="n">
        <v>3.03</v>
      </c>
      <c r="BW80" s="9" t="n">
        <v>1.61</v>
      </c>
      <c r="BX80" s="9" t="n">
        <v>53.19</v>
      </c>
      <c r="BY80" s="9" t="n">
        <v>33.71</v>
      </c>
      <c r="BZ80" s="9" t="n">
        <v>15.35</v>
      </c>
      <c r="CA80" s="9" t="n">
        <v>15.23</v>
      </c>
      <c r="CB80" s="9" t="n">
        <v>2.58</v>
      </c>
      <c r="CC80" s="9" t="n">
        <v>0.1</v>
      </c>
      <c r="CD80" s="9" t="n">
        <v>132.45</v>
      </c>
      <c r="CE80" s="9" t="n">
        <v>94.65000000000001</v>
      </c>
      <c r="CF80" s="9" t="n">
        <v>71.45999999999999</v>
      </c>
      <c r="CG80" s="9" t="n">
        <v>59.87</v>
      </c>
      <c r="CH80" s="9" t="n">
        <v>56.03</v>
      </c>
      <c r="CI80" s="9" t="n">
        <v>93.59</v>
      </c>
      <c r="CJ80" s="9" t="n">
        <v>133.97</v>
      </c>
      <c r="CK80" s="9" t="n">
        <v>118.03</v>
      </c>
      <c r="CL80" s="9" t="n">
        <v>88.09999999999999</v>
      </c>
      <c r="CM80" s="9" t="n">
        <v>42.65</v>
      </c>
      <c r="CN80" s="9" t="n">
        <v>21.23</v>
      </c>
      <c r="CO80" s="9" t="n">
        <v>49.77</v>
      </c>
      <c r="CP80" s="9" t="n">
        <v>54.97</v>
      </c>
      <c r="CQ80" s="9" t="n">
        <v>36.26</v>
      </c>
      <c r="CR80" s="9" t="n">
        <v>65.95999999999999</v>
      </c>
      <c r="CS80" s="9" t="n">
        <v>65</v>
      </c>
      <c r="CT80" s="9" t="n">
        <v>48.74</v>
      </c>
      <c r="CU80" s="9" t="n">
        <v>74.98999999999999</v>
      </c>
      <c r="CV80" s="9" t="n">
        <v>0.65</v>
      </c>
      <c r="CW80" s="9" t="n">
        <v>0.32</v>
      </c>
      <c r="CX80" s="9" t="n">
        <v>50</v>
      </c>
      <c r="CY80" s="9" t="n">
        <v>18.48</v>
      </c>
      <c r="CZ80" s="9" t="n">
        <v>16.06</v>
      </c>
      <c r="DA80" s="9" t="n">
        <v>86.91</v>
      </c>
      <c r="DB80" s="9" t="n">
        <v>7</v>
      </c>
      <c r="DC80" s="9" t="n">
        <v>16.11</v>
      </c>
      <c r="DD80" s="9" t="n">
        <v>3.87</v>
      </c>
      <c r="DE80" s="9" t="n">
        <v>12.01</v>
      </c>
      <c r="DF80" s="9" t="n">
        <v>17.11</v>
      </c>
      <c r="DG80" s="9" t="n">
        <v>19.93</v>
      </c>
      <c r="DH80" s="9" t="n">
        <v>11.02</v>
      </c>
      <c r="DI80" s="9" t="n">
        <v>0.87</v>
      </c>
      <c r="DJ80" s="9" t="n">
        <v>0.88</v>
      </c>
      <c r="DK80" s="9" t="n">
        <v>8.869999999999999</v>
      </c>
      <c r="DL80" s="9" t="n">
        <v>2.9</v>
      </c>
      <c r="DM80" s="9" t="n">
        <v>32.73</v>
      </c>
      <c r="DN80" s="9" t="n">
        <v>422.87</v>
      </c>
      <c r="DO80" s="9" t="n">
        <v>353.97</v>
      </c>
      <c r="DP80" s="9" t="n">
        <v>83.70999999999999</v>
      </c>
      <c r="DQ80" s="9" t="n">
        <v>53.71</v>
      </c>
      <c r="DR80" s="9" t="n">
        <v>105.94</v>
      </c>
      <c r="DS80" s="9" t="n">
        <v>21.68</v>
      </c>
      <c r="DT80" s="9" t="n">
        <v>38.03</v>
      </c>
      <c r="DU80" s="9" t="n">
        <v>46.23</v>
      </c>
      <c r="DV80" s="9" t="n">
        <v>74.16</v>
      </c>
      <c r="DW80" s="9" t="n">
        <v>37.52</v>
      </c>
      <c r="DX80" s="9" t="n">
        <v>28.23</v>
      </c>
      <c r="DY80" s="9" t="n">
        <v>8.42</v>
      </c>
      <c r="DZ80" s="9" t="n">
        <v>182.58</v>
      </c>
      <c r="EA80" s="9" t="n">
        <v>85.23</v>
      </c>
      <c r="EB80" s="9" t="n">
        <v>46.68</v>
      </c>
      <c r="EC80" s="9" t="n">
        <v>4.52</v>
      </c>
      <c r="ED80" s="9" t="n">
        <v>0.71</v>
      </c>
      <c r="EE80" s="9" t="n">
        <v>15.71</v>
      </c>
      <c r="EF80" s="9" t="n">
        <v>22.48</v>
      </c>
      <c r="EG80" s="9" t="n">
        <v>5.52</v>
      </c>
      <c r="EH80" s="9" t="n">
        <v>24.53</v>
      </c>
      <c r="EI80" s="9" t="n">
        <v>0.65</v>
      </c>
      <c r="EJ80" s="9" t="n">
        <v>0.29</v>
      </c>
      <c r="EK80" s="9" t="n">
        <v>45</v>
      </c>
      <c r="EL80" s="9" t="n">
        <v>27.03</v>
      </c>
      <c r="EM80" s="9" t="n">
        <v>2.48</v>
      </c>
      <c r="EN80" s="9" t="n">
        <v>9.19</v>
      </c>
      <c r="EO80" s="9" t="n">
        <v>3.48</v>
      </c>
      <c r="EP80" s="9" t="n">
        <v>0.97</v>
      </c>
      <c r="EQ80" s="9" t="n">
        <v>27.78</v>
      </c>
      <c r="ER80" s="9" t="n">
        <v>2.45</v>
      </c>
      <c r="ES80" s="9" t="n">
        <v>0.39</v>
      </c>
      <c r="ET80" s="9" t="n">
        <v>15.79</v>
      </c>
      <c r="EU80" s="9" t="n">
        <v>0.13</v>
      </c>
      <c r="EV80" s="9" t="n">
        <v>0.13</v>
      </c>
      <c r="EW80" s="9" t="n">
        <v>100</v>
      </c>
      <c r="EX80" s="9" t="n">
        <v>11.74</v>
      </c>
      <c r="EY80" s="9" t="n">
        <v>3.74</v>
      </c>
      <c r="EZ80" s="9" t="n">
        <v>31.87</v>
      </c>
      <c r="FA80" s="9" t="n">
        <v>3.42</v>
      </c>
      <c r="FB80" s="9" t="n">
        <v>5.16</v>
      </c>
      <c r="FC80" s="9" t="n">
        <v>20.77</v>
      </c>
      <c r="FD80" s="9" t="n">
        <v>2.61</v>
      </c>
      <c r="FE80" s="9" t="n">
        <v>7.39</v>
      </c>
      <c r="FF80" s="9" t="n">
        <v>11.23</v>
      </c>
      <c r="FG80" s="9" t="n">
        <v>60.19</v>
      </c>
      <c r="FH80" s="9" t="n">
        <v>23.94</v>
      </c>
      <c r="FI80" s="9" t="n">
        <v>39.76</v>
      </c>
      <c r="FJ80" s="9" t="n">
        <v>2.13</v>
      </c>
      <c r="FK80" s="9" t="n">
        <v>1.42</v>
      </c>
      <c r="FL80" s="9" t="n">
        <v>10.77</v>
      </c>
      <c r="FM80" s="9" t="n">
        <v>3.87</v>
      </c>
      <c r="FN80" s="9" t="n">
        <v>35.93</v>
      </c>
      <c r="FO80" s="9" t="n">
        <v>57.03</v>
      </c>
      <c r="FP80" s="9" t="n">
        <v>34.06</v>
      </c>
      <c r="FQ80" s="9" t="n">
        <v>59.73</v>
      </c>
      <c r="FR80" s="9" t="n">
        <v>42.32</v>
      </c>
      <c r="FS80" s="9" t="n">
        <v>17.65</v>
      </c>
      <c r="FT80" s="9" t="n">
        <v>41.69</v>
      </c>
      <c r="FU80" s="9" t="n">
        <v>2.39</v>
      </c>
      <c r="FV80" s="9" t="n">
        <v>1.03</v>
      </c>
      <c r="FW80" s="9" t="n">
        <v>43.24</v>
      </c>
      <c r="FX80" s="9" t="n">
        <v>33.94</v>
      </c>
      <c r="FY80" s="9" t="n">
        <v>15.87</v>
      </c>
      <c r="FZ80" s="9" t="n">
        <v>14.19</v>
      </c>
      <c r="GA80" s="9" t="n">
        <v>2.29</v>
      </c>
      <c r="GB80" s="9" t="n">
        <v>0.13</v>
      </c>
      <c r="GC80" s="9" t="n">
        <v>144.23</v>
      </c>
      <c r="GD80" s="9" t="n">
        <v>102.39</v>
      </c>
      <c r="GE80" s="9" t="n">
        <v>70.98999999999999</v>
      </c>
      <c r="GF80" s="9" t="n">
        <v>60.65</v>
      </c>
      <c r="GG80" s="9" t="n">
        <v>57.1</v>
      </c>
      <c r="GH80" s="9" t="n">
        <v>94.15000000000001</v>
      </c>
      <c r="GI80" s="9" t="n">
        <v>162.68</v>
      </c>
      <c r="GJ80" s="9" t="n">
        <v>148.42</v>
      </c>
      <c r="GK80" s="9" t="n">
        <v>91.23999999999999</v>
      </c>
      <c r="GL80" s="9" t="n">
        <v>51.1</v>
      </c>
      <c r="GM80" s="9" t="n">
        <v>26.1</v>
      </c>
      <c r="GN80" s="9" t="n">
        <v>51.07</v>
      </c>
      <c r="GO80" s="9" t="n">
        <v>53.74</v>
      </c>
      <c r="GP80" s="9" t="n">
        <v>34.61</v>
      </c>
      <c r="GQ80" s="9" t="n">
        <v>64.41</v>
      </c>
      <c r="GR80" s="9" t="n">
        <v>71.29000000000001</v>
      </c>
      <c r="GS80" s="9" t="n">
        <v>49.1</v>
      </c>
      <c r="GT80" s="9" t="n">
        <v>68.87</v>
      </c>
      <c r="GU80" s="9" t="n">
        <v>0.84</v>
      </c>
      <c r="GV80" s="9" t="n">
        <v>0.26</v>
      </c>
      <c r="GW80" s="9" t="n">
        <v>30.77</v>
      </c>
      <c r="GX80" s="9" t="n">
        <v>20.16</v>
      </c>
      <c r="GY80" s="9" t="n">
        <v>18.19</v>
      </c>
      <c r="GZ80" s="9" t="n">
        <v>90.23999999999999</v>
      </c>
      <c r="HA80" s="9" t="n">
        <v>8.42</v>
      </c>
      <c r="HB80" s="9" t="n">
        <v>15.52</v>
      </c>
      <c r="HC80" s="9" t="n">
        <v>4.34</v>
      </c>
      <c r="HD80" s="9" t="n">
        <v>13.03</v>
      </c>
      <c r="HE80" s="9" t="n">
        <v>20.09</v>
      </c>
      <c r="HF80" s="9" t="n">
        <v>20.76</v>
      </c>
      <c r="HG80" s="9" t="n">
        <v>11.39</v>
      </c>
    </row>
    <row r="81">
      <c r="A81" s="12" t="n">
        <v>2025</v>
      </c>
      <c r="B81" s="12" t="n">
        <v>48</v>
      </c>
      <c r="C81" s="5">
        <f>(B81-AVERAGE($B$2:$B$100))/_xlfn.STDEV.P($B$2:$B$100)</f>
        <v/>
      </c>
      <c r="D81" s="12" t="n">
        <v>3</v>
      </c>
      <c r="E81" s="6">
        <f>-D81</f>
        <v/>
      </c>
      <c r="F81" s="7">
        <f>(E81-AVERAGE($E$2:$E$100))/_xlfn.STDEV.P($E$2:$E$100)</f>
        <v/>
      </c>
      <c r="G81" s="7">
        <f>sum(0.5*C81)+(0.5*F81)</f>
        <v/>
      </c>
      <c r="H81" s="12" t="inlineStr">
        <is>
          <t>West</t>
        </is>
      </c>
      <c r="I81" s="8" t="inlineStr">
        <is>
          <t>New Mexico United</t>
        </is>
      </c>
      <c r="J81" s="9" t="n">
        <v>1.53</v>
      </c>
      <c r="K81" s="9" t="n">
        <v>1.26</v>
      </c>
      <c r="L81" s="9" t="n">
        <v>9.69</v>
      </c>
      <c r="M81" s="9" t="n">
        <v>3.34</v>
      </c>
      <c r="N81" s="9" t="n">
        <v>34.52</v>
      </c>
      <c r="O81" s="9" t="n">
        <v>479.22</v>
      </c>
      <c r="P81" s="9" t="n">
        <v>411.41</v>
      </c>
      <c r="Q81" s="9" t="n">
        <v>85.84999999999999</v>
      </c>
      <c r="R81" s="9" t="n">
        <v>58.96</v>
      </c>
      <c r="S81" s="9" t="n">
        <v>95.38</v>
      </c>
      <c r="T81" s="9" t="n">
        <v>18.84</v>
      </c>
      <c r="U81" s="9" t="n">
        <v>32.84</v>
      </c>
      <c r="V81" s="9" t="n">
        <v>43.69</v>
      </c>
      <c r="W81" s="9" t="n">
        <v>67.81</v>
      </c>
      <c r="X81" s="9" t="n">
        <v>32.84</v>
      </c>
      <c r="Y81" s="9" t="n">
        <v>25.66</v>
      </c>
      <c r="Z81" s="9" t="n">
        <v>9.31</v>
      </c>
      <c r="AA81" s="9" t="n">
        <v>158.81</v>
      </c>
      <c r="AB81" s="9" t="n">
        <v>75.41</v>
      </c>
      <c r="AC81" s="9" t="n">
        <v>47.48</v>
      </c>
      <c r="AD81" s="9" t="n">
        <v>4.13</v>
      </c>
      <c r="AE81" s="9" t="n">
        <v>1.06</v>
      </c>
      <c r="AF81" s="9" t="n">
        <v>25.76</v>
      </c>
      <c r="AG81" s="9" t="n">
        <v>24.19</v>
      </c>
      <c r="AH81" s="9" t="n">
        <v>6.31</v>
      </c>
      <c r="AI81" s="9" t="n">
        <v>26.1</v>
      </c>
      <c r="AJ81" s="9" t="n">
        <v>0.59</v>
      </c>
      <c r="AK81" s="9" t="n">
        <v>0.25</v>
      </c>
      <c r="AL81" s="9" t="n">
        <v>42.11</v>
      </c>
      <c r="AM81" s="9" t="n">
        <v>26.66</v>
      </c>
      <c r="AN81" s="9" t="n">
        <v>2.69</v>
      </c>
      <c r="AO81" s="9" t="n">
        <v>10.08</v>
      </c>
      <c r="AP81" s="9" t="n">
        <v>3.88</v>
      </c>
      <c r="AQ81" s="9" t="n">
        <v>0.9399999999999999</v>
      </c>
      <c r="AR81" s="9" t="n">
        <v>24.19</v>
      </c>
      <c r="AS81" s="9" t="n">
        <v>1.94</v>
      </c>
      <c r="AT81" s="9" t="n">
        <v>0.28</v>
      </c>
      <c r="AU81" s="9" t="n">
        <v>14.52</v>
      </c>
      <c r="AV81" s="9" t="n">
        <v>0.22</v>
      </c>
      <c r="AW81" s="9" t="n">
        <v>0.22</v>
      </c>
      <c r="AX81" s="9" t="n">
        <v>100</v>
      </c>
      <c r="AY81" s="9" t="n">
        <v>10.94</v>
      </c>
      <c r="AZ81" s="9" t="n">
        <v>3.41</v>
      </c>
      <c r="BA81" s="9" t="n">
        <v>31.14</v>
      </c>
      <c r="BB81" s="9" t="n">
        <v>3.13</v>
      </c>
      <c r="BC81" s="9" t="n">
        <v>8.41</v>
      </c>
      <c r="BD81" s="9" t="n">
        <v>23.59</v>
      </c>
      <c r="BE81" s="9" t="n">
        <v>4.06</v>
      </c>
      <c r="BF81" s="9" t="n">
        <v>6.25</v>
      </c>
      <c r="BG81" s="9" t="n">
        <v>15.22</v>
      </c>
      <c r="BH81" s="9" t="n">
        <v>56.13</v>
      </c>
      <c r="BI81" s="9" t="n">
        <v>22.97</v>
      </c>
      <c r="BJ81" s="9" t="n">
        <v>40.92</v>
      </c>
      <c r="BK81" s="9" t="n">
        <v>2.13</v>
      </c>
      <c r="BL81" s="9" t="n">
        <v>1.28</v>
      </c>
      <c r="BM81" s="9" t="n">
        <v>11.19</v>
      </c>
      <c r="BN81" s="9" t="n">
        <v>4.41</v>
      </c>
      <c r="BO81" s="9" t="n">
        <v>39.39</v>
      </c>
      <c r="BP81" s="9" t="n">
        <v>53.91</v>
      </c>
      <c r="BQ81" s="9" t="n">
        <v>31.09</v>
      </c>
      <c r="BR81" s="9" t="n">
        <v>57.68</v>
      </c>
      <c r="BS81" s="9" t="n">
        <v>28</v>
      </c>
      <c r="BT81" s="9" t="n">
        <v>12.88</v>
      </c>
      <c r="BU81" s="9" t="n">
        <v>45.98</v>
      </c>
      <c r="BV81" s="9" t="n">
        <v>3.16</v>
      </c>
      <c r="BW81" s="9" t="n">
        <v>1.5</v>
      </c>
      <c r="BX81" s="9" t="n">
        <v>47.52</v>
      </c>
      <c r="BY81" s="9" t="n">
        <v>32.5</v>
      </c>
      <c r="BZ81" s="9" t="n">
        <v>13.44</v>
      </c>
      <c r="CA81" s="9" t="n">
        <v>14</v>
      </c>
      <c r="CB81" s="9" t="n">
        <v>2.63</v>
      </c>
      <c r="CC81" s="9" t="n">
        <v>0.09</v>
      </c>
      <c r="CD81" s="9" t="n">
        <v>151.59</v>
      </c>
      <c r="CE81" s="9" t="n">
        <v>113.09</v>
      </c>
      <c r="CF81" s="9" t="n">
        <v>74.59999999999999</v>
      </c>
      <c r="CG81" s="9" t="n">
        <v>75.63</v>
      </c>
      <c r="CH81" s="9" t="n">
        <v>72.28</v>
      </c>
      <c r="CI81" s="9" t="n">
        <v>95.58</v>
      </c>
      <c r="CJ81" s="9" t="n">
        <v>181</v>
      </c>
      <c r="CK81" s="9" t="n">
        <v>164.47</v>
      </c>
      <c r="CL81" s="9" t="n">
        <v>90.87</v>
      </c>
      <c r="CM81" s="9" t="n">
        <v>43.5</v>
      </c>
      <c r="CN81" s="9" t="n">
        <v>21.47</v>
      </c>
      <c r="CO81" s="9" t="n">
        <v>49.35</v>
      </c>
      <c r="CP81" s="9" t="n">
        <v>57.09</v>
      </c>
      <c r="CQ81" s="9" t="n">
        <v>39.31</v>
      </c>
      <c r="CR81" s="9" t="n">
        <v>68.86</v>
      </c>
      <c r="CS81" s="9" t="n">
        <v>67.38</v>
      </c>
      <c r="CT81" s="9" t="n">
        <v>47.88</v>
      </c>
      <c r="CU81" s="9" t="n">
        <v>71.06</v>
      </c>
      <c r="CV81" s="9" t="n">
        <v>1.69</v>
      </c>
      <c r="CW81" s="9" t="n">
        <v>0.53</v>
      </c>
      <c r="CX81" s="9" t="n">
        <v>31.48</v>
      </c>
      <c r="CY81" s="9" t="n">
        <v>17.56</v>
      </c>
      <c r="CZ81" s="9" t="n">
        <v>15.78</v>
      </c>
      <c r="DA81" s="9" t="n">
        <v>89.86</v>
      </c>
      <c r="DB81" s="9" t="n">
        <v>9.69</v>
      </c>
      <c r="DC81" s="9" t="n">
        <v>16.52</v>
      </c>
      <c r="DD81" s="9" t="n">
        <v>5.09</v>
      </c>
      <c r="DE81" s="9" t="n">
        <v>9.32</v>
      </c>
      <c r="DF81" s="9" t="n">
        <v>18.88</v>
      </c>
      <c r="DG81" s="9" t="n">
        <v>19.21</v>
      </c>
      <c r="DH81" s="9" t="n">
        <v>9.68</v>
      </c>
      <c r="DI81" s="9" t="n">
        <v>1.28</v>
      </c>
      <c r="DJ81" s="9" t="n">
        <v>1.47</v>
      </c>
      <c r="DK81" s="9" t="n">
        <v>11.19</v>
      </c>
      <c r="DL81" s="9" t="n">
        <v>4.13</v>
      </c>
      <c r="DM81" s="9" t="n">
        <v>36.87</v>
      </c>
      <c r="DN81" s="9" t="n">
        <v>303.78</v>
      </c>
      <c r="DO81" s="9" t="n">
        <v>239.31</v>
      </c>
      <c r="DP81" s="9" t="n">
        <v>78.78</v>
      </c>
      <c r="DQ81" s="9" t="n">
        <v>41.04</v>
      </c>
      <c r="DR81" s="9" t="n">
        <v>92.5</v>
      </c>
      <c r="DS81" s="9" t="n">
        <v>15.84</v>
      </c>
      <c r="DT81" s="9" t="n">
        <v>31.88</v>
      </c>
      <c r="DU81" s="9" t="n">
        <v>44.78</v>
      </c>
      <c r="DV81" s="9" t="n">
        <v>69.16</v>
      </c>
      <c r="DW81" s="9" t="n">
        <v>30.5</v>
      </c>
      <c r="DX81" s="9" t="n">
        <v>27.34</v>
      </c>
      <c r="DY81" s="9" t="n">
        <v>11.31</v>
      </c>
      <c r="DZ81" s="9" t="n">
        <v>158.81</v>
      </c>
      <c r="EA81" s="9" t="n">
        <v>77.63</v>
      </c>
      <c r="EB81" s="9" t="n">
        <v>48.88</v>
      </c>
      <c r="EC81" s="9" t="n">
        <v>4.31</v>
      </c>
      <c r="ED81" s="9" t="n">
        <v>1.28</v>
      </c>
      <c r="EE81" s="9" t="n">
        <v>29.71</v>
      </c>
      <c r="EF81" s="9" t="n">
        <v>23.59</v>
      </c>
      <c r="EG81" s="9" t="n">
        <v>6.91</v>
      </c>
      <c r="EH81" s="9" t="n">
        <v>29.27</v>
      </c>
      <c r="EI81" s="9" t="n">
        <v>0.63</v>
      </c>
      <c r="EJ81" s="9" t="n">
        <v>0.25</v>
      </c>
      <c r="EK81" s="9" t="n">
        <v>40</v>
      </c>
      <c r="EL81" s="9" t="n">
        <v>26.41</v>
      </c>
      <c r="EM81" s="9" t="n">
        <v>3.41</v>
      </c>
      <c r="EN81" s="9" t="n">
        <v>12.9</v>
      </c>
      <c r="EO81" s="9" t="n">
        <v>4.88</v>
      </c>
      <c r="EP81" s="9" t="n">
        <v>1.5</v>
      </c>
      <c r="EQ81" s="9" t="n">
        <v>30.77</v>
      </c>
      <c r="ER81" s="9" t="n">
        <v>3</v>
      </c>
      <c r="ES81" s="9" t="n">
        <v>0.75</v>
      </c>
      <c r="ET81" s="9" t="n">
        <v>25</v>
      </c>
      <c r="EU81" s="9" t="n">
        <v>0.19</v>
      </c>
      <c r="EV81" s="9" t="n">
        <v>0.16</v>
      </c>
      <c r="EW81" s="9" t="n">
        <v>83.33</v>
      </c>
      <c r="EX81" s="9" t="n">
        <v>12.44</v>
      </c>
      <c r="EY81" s="9" t="n">
        <v>3.69</v>
      </c>
      <c r="EZ81" s="9" t="n">
        <v>29.65</v>
      </c>
      <c r="FA81" s="9" t="n">
        <v>4</v>
      </c>
      <c r="FB81" s="9" t="n">
        <v>5.97</v>
      </c>
      <c r="FC81" s="9" t="n">
        <v>21.75</v>
      </c>
      <c r="FD81" s="9" t="n">
        <v>3.63</v>
      </c>
      <c r="FE81" s="9" t="n">
        <v>7.66</v>
      </c>
      <c r="FF81" s="9" t="n">
        <v>15.88</v>
      </c>
      <c r="FG81" s="9" t="n">
        <v>53.91</v>
      </c>
      <c r="FH81" s="9" t="n">
        <v>22.81</v>
      </c>
      <c r="FI81" s="9" t="n">
        <v>42.32</v>
      </c>
      <c r="FJ81" s="9" t="n">
        <v>2.16</v>
      </c>
      <c r="FK81" s="9" t="n">
        <v>1.53</v>
      </c>
      <c r="FL81" s="9" t="n">
        <v>9.69</v>
      </c>
      <c r="FM81" s="9" t="n">
        <v>3.5</v>
      </c>
      <c r="FN81" s="9" t="n">
        <v>36.13</v>
      </c>
      <c r="FO81" s="9" t="n">
        <v>56.13</v>
      </c>
      <c r="FP81" s="9" t="n">
        <v>33.16</v>
      </c>
      <c r="FQ81" s="9" t="n">
        <v>59.08</v>
      </c>
      <c r="FR81" s="9" t="n">
        <v>28</v>
      </c>
      <c r="FS81" s="9" t="n">
        <v>12.66</v>
      </c>
      <c r="FT81" s="9" t="n">
        <v>45.2</v>
      </c>
      <c r="FU81" s="9" t="n">
        <v>3.75</v>
      </c>
      <c r="FV81" s="9" t="n">
        <v>2.03</v>
      </c>
      <c r="FW81" s="9" t="n">
        <v>54.17</v>
      </c>
      <c r="FX81" s="9" t="n">
        <v>33.78</v>
      </c>
      <c r="FY81" s="9" t="n">
        <v>12.38</v>
      </c>
      <c r="FZ81" s="9" t="n">
        <v>12.38</v>
      </c>
      <c r="GA81" s="9" t="n">
        <v>2.28</v>
      </c>
      <c r="GB81" s="9" t="n">
        <v>0.13</v>
      </c>
      <c r="GC81" s="9" t="n">
        <v>114.66</v>
      </c>
      <c r="GD81" s="9" t="n">
        <v>76.59</v>
      </c>
      <c r="GE81" s="9" t="n">
        <v>66.8</v>
      </c>
      <c r="GF81" s="9" t="n">
        <v>47.44</v>
      </c>
      <c r="GG81" s="9" t="n">
        <v>44.72</v>
      </c>
      <c r="GH81" s="9" t="n">
        <v>94.27</v>
      </c>
      <c r="GI81" s="9" t="n">
        <v>101.28</v>
      </c>
      <c r="GJ81" s="9" t="n">
        <v>86.84</v>
      </c>
      <c r="GK81" s="9" t="n">
        <v>85.75</v>
      </c>
      <c r="GL81" s="9" t="n">
        <v>44.81</v>
      </c>
      <c r="GM81" s="9" t="n">
        <v>20.28</v>
      </c>
      <c r="GN81" s="9" t="n">
        <v>45.26</v>
      </c>
      <c r="GO81" s="9" t="n">
        <v>43.84</v>
      </c>
      <c r="GP81" s="9" t="n">
        <v>24.47</v>
      </c>
      <c r="GQ81" s="9" t="n">
        <v>55.81</v>
      </c>
      <c r="GR81" s="9" t="n">
        <v>59.44</v>
      </c>
      <c r="GS81" s="9" t="n">
        <v>40.66</v>
      </c>
      <c r="GT81" s="9" t="n">
        <v>68.40000000000001</v>
      </c>
      <c r="GU81" s="9" t="n">
        <v>1.16</v>
      </c>
      <c r="GV81" s="9" t="n">
        <v>0.66</v>
      </c>
      <c r="GW81" s="9" t="n">
        <v>56.76</v>
      </c>
      <c r="GX81" s="9" t="n">
        <v>17.53</v>
      </c>
      <c r="GY81" s="9" t="n">
        <v>15.41</v>
      </c>
      <c r="GZ81" s="9" t="n">
        <v>87.88</v>
      </c>
      <c r="HA81" s="9" t="n">
        <v>7.28</v>
      </c>
      <c r="HB81" s="9" t="n">
        <v>15.09</v>
      </c>
      <c r="HC81" s="9" t="n">
        <v>3.12</v>
      </c>
      <c r="HD81" s="9" t="n">
        <v>15.16</v>
      </c>
      <c r="HE81" s="9" t="n">
        <v>18.02</v>
      </c>
      <c r="HF81" s="9" t="n">
        <v>21.76</v>
      </c>
      <c r="HG81" s="9" t="n">
        <v>16.13</v>
      </c>
    </row>
    <row r="82">
      <c r="A82" s="12" t="n">
        <v>2025</v>
      </c>
      <c r="B82" s="12" t="n">
        <v>45</v>
      </c>
      <c r="C82" s="5">
        <f>(B82-AVERAGE($B$2:$B$100))/_xlfn.STDEV.P($B$2:$B$100)</f>
        <v/>
      </c>
      <c r="D82" s="12" t="n">
        <v>3</v>
      </c>
      <c r="E82" s="6">
        <f>-D82</f>
        <v/>
      </c>
      <c r="F82" s="7">
        <f>(E82-AVERAGE($E$2:$E$100))/_xlfn.STDEV.P($E$2:$E$100)</f>
        <v/>
      </c>
      <c r="G82" s="7">
        <f>sum(0.5*C82)+(0.5*F82)</f>
        <v/>
      </c>
      <c r="H82" s="12" t="inlineStr">
        <is>
          <t>East</t>
        </is>
      </c>
      <c r="I82" s="8" t="inlineStr">
        <is>
          <t>North Carolina FC</t>
        </is>
      </c>
      <c r="J82" s="9" t="n">
        <v>1.28</v>
      </c>
      <c r="K82" s="9" t="n">
        <v>1.08</v>
      </c>
      <c r="L82" s="9" t="n">
        <v>9.69</v>
      </c>
      <c r="M82" s="9" t="n">
        <v>3.31</v>
      </c>
      <c r="N82" s="9" t="n">
        <v>34.19</v>
      </c>
      <c r="O82" s="9" t="n">
        <v>344.09</v>
      </c>
      <c r="P82" s="9" t="n">
        <v>277.84</v>
      </c>
      <c r="Q82" s="9" t="n">
        <v>80.75</v>
      </c>
      <c r="R82" s="9" t="n">
        <v>44.88</v>
      </c>
      <c r="S82" s="9" t="n">
        <v>106.47</v>
      </c>
      <c r="T82" s="9" t="n">
        <v>21.13</v>
      </c>
      <c r="U82" s="9" t="n">
        <v>39.97</v>
      </c>
      <c r="V82" s="9" t="n">
        <v>45.38</v>
      </c>
      <c r="W82" s="9" t="n">
        <v>70.38</v>
      </c>
      <c r="X82" s="9" t="n">
        <v>32.44</v>
      </c>
      <c r="Y82" s="9" t="n">
        <v>28.94</v>
      </c>
      <c r="Z82" s="9" t="n">
        <v>9</v>
      </c>
      <c r="AA82" s="9" t="n">
        <v>169.53</v>
      </c>
      <c r="AB82" s="9" t="n">
        <v>77.97</v>
      </c>
      <c r="AC82" s="9" t="n">
        <v>45.99</v>
      </c>
      <c r="AD82" s="9" t="n">
        <v>4.16</v>
      </c>
      <c r="AE82" s="9" t="n">
        <v>1.03</v>
      </c>
      <c r="AF82" s="9" t="n">
        <v>24.81</v>
      </c>
      <c r="AG82" s="9" t="n">
        <v>22.56</v>
      </c>
      <c r="AH82" s="9" t="n">
        <v>6.19</v>
      </c>
      <c r="AI82" s="9" t="n">
        <v>27.42</v>
      </c>
      <c r="AJ82" s="9" t="n">
        <v>1.03</v>
      </c>
      <c r="AK82" s="9" t="n">
        <v>0.53</v>
      </c>
      <c r="AL82" s="9" t="n">
        <v>51.52</v>
      </c>
      <c r="AM82" s="9" t="n">
        <v>26.84</v>
      </c>
      <c r="AN82" s="9" t="n">
        <v>2.34</v>
      </c>
      <c r="AO82" s="9" t="n">
        <v>8.73</v>
      </c>
      <c r="AP82" s="9" t="n">
        <v>4.03</v>
      </c>
      <c r="AQ82" s="9" t="n">
        <v>0.91</v>
      </c>
      <c r="AR82" s="9" t="n">
        <v>22.48</v>
      </c>
      <c r="AS82" s="9" t="n">
        <v>3.16</v>
      </c>
      <c r="AT82" s="9" t="n">
        <v>0.53</v>
      </c>
      <c r="AU82" s="9" t="n">
        <v>16.83</v>
      </c>
      <c r="AV82" s="9" t="n">
        <v>0.03</v>
      </c>
      <c r="AW82" s="9" t="n">
        <v>0.03</v>
      </c>
      <c r="AX82" s="9" t="n">
        <v>100</v>
      </c>
      <c r="AY82" s="9" t="n">
        <v>10.28</v>
      </c>
      <c r="AZ82" s="9" t="n">
        <v>3.38</v>
      </c>
      <c r="BA82" s="9" t="n">
        <v>32.83</v>
      </c>
      <c r="BB82" s="9" t="n">
        <v>3.47</v>
      </c>
      <c r="BC82" s="9" t="n">
        <v>3.75</v>
      </c>
      <c r="BD82" s="9" t="n">
        <v>17.81</v>
      </c>
      <c r="BE82" s="9" t="n">
        <v>3.13</v>
      </c>
      <c r="BF82" s="9" t="n">
        <v>6.53</v>
      </c>
      <c r="BG82" s="9" t="n">
        <v>12.78</v>
      </c>
      <c r="BH82" s="9" t="n">
        <v>53.63</v>
      </c>
      <c r="BI82" s="9" t="n">
        <v>21.19</v>
      </c>
      <c r="BJ82" s="9" t="n">
        <v>39.51</v>
      </c>
      <c r="BK82" s="9" t="n">
        <v>1.41</v>
      </c>
      <c r="BL82" s="9" t="n">
        <v>1.28</v>
      </c>
      <c r="BM82" s="9" t="n">
        <v>12.25</v>
      </c>
      <c r="BN82" s="9" t="n">
        <v>3.97</v>
      </c>
      <c r="BO82" s="9" t="n">
        <v>32.4</v>
      </c>
      <c r="BP82" s="9" t="n">
        <v>52.75</v>
      </c>
      <c r="BQ82" s="9" t="n">
        <v>30.72</v>
      </c>
      <c r="BR82" s="9" t="n">
        <v>58.23</v>
      </c>
      <c r="BS82" s="9" t="n">
        <v>40.53</v>
      </c>
      <c r="BT82" s="9" t="n">
        <v>17.5</v>
      </c>
      <c r="BU82" s="9" t="n">
        <v>43.18</v>
      </c>
      <c r="BV82" s="9" t="n">
        <v>2.16</v>
      </c>
      <c r="BW82" s="9" t="n">
        <v>1.22</v>
      </c>
      <c r="BX82" s="9" t="n">
        <v>56.52</v>
      </c>
      <c r="BY82" s="9" t="n">
        <v>37.16</v>
      </c>
      <c r="BZ82" s="9" t="n">
        <v>15.31</v>
      </c>
      <c r="CA82" s="9" t="n">
        <v>12.63</v>
      </c>
      <c r="CB82" s="9" t="n">
        <v>2.22</v>
      </c>
      <c r="CC82" s="9" t="n">
        <v>0</v>
      </c>
      <c r="CD82" s="9" t="n">
        <v>121.28</v>
      </c>
      <c r="CE82" s="9" t="n">
        <v>82.03</v>
      </c>
      <c r="CF82" s="9" t="n">
        <v>67.64</v>
      </c>
      <c r="CG82" s="9" t="n">
        <v>52.53</v>
      </c>
      <c r="CH82" s="9" t="n">
        <v>49.22</v>
      </c>
      <c r="CI82" s="9" t="n">
        <v>93.69</v>
      </c>
      <c r="CJ82" s="9" t="n">
        <v>123.88</v>
      </c>
      <c r="CK82" s="9" t="n">
        <v>110.38</v>
      </c>
      <c r="CL82" s="9" t="n">
        <v>89.09999999999999</v>
      </c>
      <c r="CM82" s="9" t="n">
        <v>40.63</v>
      </c>
      <c r="CN82" s="9" t="n">
        <v>20.56</v>
      </c>
      <c r="CO82" s="9" t="n">
        <v>50.62</v>
      </c>
      <c r="CP82" s="9" t="n">
        <v>44.06</v>
      </c>
      <c r="CQ82" s="9" t="n">
        <v>27.66</v>
      </c>
      <c r="CR82" s="9" t="n">
        <v>62.77</v>
      </c>
      <c r="CS82" s="9" t="n">
        <v>62.53</v>
      </c>
      <c r="CT82" s="9" t="n">
        <v>41.81</v>
      </c>
      <c r="CU82" s="9" t="n">
        <v>66.87</v>
      </c>
      <c r="CV82" s="9" t="n">
        <v>0.5600000000000001</v>
      </c>
      <c r="CW82" s="9" t="n">
        <v>0.41</v>
      </c>
      <c r="CX82" s="9" t="n">
        <v>72.22</v>
      </c>
      <c r="CY82" s="9" t="n">
        <v>20.06</v>
      </c>
      <c r="CZ82" s="9" t="n">
        <v>16.63</v>
      </c>
      <c r="DA82" s="9" t="n">
        <v>82.87</v>
      </c>
      <c r="DB82" s="9" t="n">
        <v>8.630000000000001</v>
      </c>
      <c r="DC82" s="9" t="n">
        <v>15.65</v>
      </c>
      <c r="DD82" s="9" t="n">
        <v>3.5</v>
      </c>
      <c r="DE82" s="9" t="n">
        <v>12.41</v>
      </c>
      <c r="DF82" s="9" t="n">
        <v>18.5</v>
      </c>
      <c r="DG82" s="9" t="n">
        <v>20.2</v>
      </c>
      <c r="DH82" s="9" t="n">
        <v>14.06</v>
      </c>
      <c r="DI82" s="9" t="n">
        <v>1.28</v>
      </c>
      <c r="DJ82" s="9" t="n">
        <v>1.42</v>
      </c>
      <c r="DK82" s="9" t="n">
        <v>12.25</v>
      </c>
      <c r="DL82" s="9" t="n">
        <v>3.72</v>
      </c>
      <c r="DM82" s="9" t="n">
        <v>30.36</v>
      </c>
      <c r="DN82" s="9" t="n">
        <v>436.16</v>
      </c>
      <c r="DO82" s="9" t="n">
        <v>363.31</v>
      </c>
      <c r="DP82" s="9" t="n">
        <v>83.3</v>
      </c>
      <c r="DQ82" s="9" t="n">
        <v>55.12</v>
      </c>
      <c r="DR82" s="9" t="n">
        <v>101.97</v>
      </c>
      <c r="DS82" s="9" t="n">
        <v>16.38</v>
      </c>
      <c r="DT82" s="9" t="n">
        <v>36.69</v>
      </c>
      <c r="DU82" s="9" t="n">
        <v>48.91</v>
      </c>
      <c r="DV82" s="9" t="n">
        <v>74.53</v>
      </c>
      <c r="DW82" s="9" t="n">
        <v>31.41</v>
      </c>
      <c r="DX82" s="9" t="n">
        <v>31.59</v>
      </c>
      <c r="DY82" s="9" t="n">
        <v>11.53</v>
      </c>
      <c r="DZ82" s="9" t="n">
        <v>169.53</v>
      </c>
      <c r="EA82" s="9" t="n">
        <v>83.94</v>
      </c>
      <c r="EB82" s="9" t="n">
        <v>49.51</v>
      </c>
      <c r="EC82" s="9" t="n">
        <v>5.38</v>
      </c>
      <c r="ED82" s="9" t="n">
        <v>1.19</v>
      </c>
      <c r="EE82" s="9" t="n">
        <v>22.09</v>
      </c>
      <c r="EF82" s="9" t="n">
        <v>26.84</v>
      </c>
      <c r="EG82" s="9" t="n">
        <v>7.78</v>
      </c>
      <c r="EH82" s="9" t="n">
        <v>28.99</v>
      </c>
      <c r="EI82" s="9" t="n">
        <v>0.47</v>
      </c>
      <c r="EJ82" s="9" t="n">
        <v>0.16</v>
      </c>
      <c r="EK82" s="9" t="n">
        <v>33.33</v>
      </c>
      <c r="EL82" s="9" t="n">
        <v>24.69</v>
      </c>
      <c r="EM82" s="9" t="n">
        <v>3.75</v>
      </c>
      <c r="EN82" s="9" t="n">
        <v>15.19</v>
      </c>
      <c r="EO82" s="9" t="n">
        <v>4.47</v>
      </c>
      <c r="EP82" s="9" t="n">
        <v>1.59</v>
      </c>
      <c r="EQ82" s="9" t="n">
        <v>35.66</v>
      </c>
      <c r="ER82" s="9" t="n">
        <v>2.34</v>
      </c>
      <c r="ES82" s="9" t="n">
        <v>0.59</v>
      </c>
      <c r="ET82" s="9" t="n">
        <v>25.33</v>
      </c>
      <c r="EU82" s="9" t="n">
        <v>0.13</v>
      </c>
      <c r="EV82" s="9" t="n">
        <v>0.13</v>
      </c>
      <c r="EW82" s="9" t="n">
        <v>100</v>
      </c>
      <c r="EX82" s="9" t="n">
        <v>14.72</v>
      </c>
      <c r="EY82" s="9" t="n">
        <v>5.72</v>
      </c>
      <c r="EZ82" s="9" t="n">
        <v>38.85</v>
      </c>
      <c r="FA82" s="9" t="n">
        <v>5.47</v>
      </c>
      <c r="FB82" s="9" t="n">
        <v>5.38</v>
      </c>
      <c r="FC82" s="9" t="n">
        <v>23.66</v>
      </c>
      <c r="FD82" s="9" t="n">
        <v>3.28</v>
      </c>
      <c r="FE82" s="9" t="n">
        <v>9.41</v>
      </c>
      <c r="FF82" s="9" t="n">
        <v>15.88</v>
      </c>
      <c r="FG82" s="9" t="n">
        <v>52.75</v>
      </c>
      <c r="FH82" s="9" t="n">
        <v>22.03</v>
      </c>
      <c r="FI82" s="9" t="n">
        <v>41.77</v>
      </c>
      <c r="FJ82" s="9" t="n">
        <v>2.66</v>
      </c>
      <c r="FK82" s="9" t="n">
        <v>1.28</v>
      </c>
      <c r="FL82" s="9" t="n">
        <v>9.69</v>
      </c>
      <c r="FM82" s="9" t="n">
        <v>3.63</v>
      </c>
      <c r="FN82" s="9" t="n">
        <v>37.42</v>
      </c>
      <c r="FO82" s="9" t="n">
        <v>53.63</v>
      </c>
      <c r="FP82" s="9" t="n">
        <v>32.44</v>
      </c>
      <c r="FQ82" s="9" t="n">
        <v>60.49</v>
      </c>
      <c r="FR82" s="9" t="n">
        <v>40.53</v>
      </c>
      <c r="FS82" s="9" t="n">
        <v>19</v>
      </c>
      <c r="FT82" s="9" t="n">
        <v>46.88</v>
      </c>
      <c r="FU82" s="9" t="n">
        <v>2.63</v>
      </c>
      <c r="FV82" s="9" t="n">
        <v>1.31</v>
      </c>
      <c r="FW82" s="9" t="n">
        <v>50</v>
      </c>
      <c r="FX82" s="9" t="n">
        <v>34.56</v>
      </c>
      <c r="FY82" s="9" t="n">
        <v>15.59</v>
      </c>
      <c r="FZ82" s="9" t="n">
        <v>13.03</v>
      </c>
      <c r="GA82" s="9" t="n">
        <v>2.16</v>
      </c>
      <c r="GB82" s="9" t="n">
        <v>0.06</v>
      </c>
      <c r="GC82" s="9" t="n">
        <v>145.25</v>
      </c>
      <c r="GD82" s="9" t="n">
        <v>103.41</v>
      </c>
      <c r="GE82" s="9" t="n">
        <v>71.19</v>
      </c>
      <c r="GF82" s="9" t="n">
        <v>63.69</v>
      </c>
      <c r="GG82" s="9" t="n">
        <v>60.19</v>
      </c>
      <c r="GH82" s="9" t="n">
        <v>94.5</v>
      </c>
      <c r="GI82" s="9" t="n">
        <v>168.41</v>
      </c>
      <c r="GJ82" s="9" t="n">
        <v>151.19</v>
      </c>
      <c r="GK82" s="9" t="n">
        <v>89.78</v>
      </c>
      <c r="GL82" s="9" t="n">
        <v>51.81</v>
      </c>
      <c r="GM82" s="9" t="n">
        <v>25.81</v>
      </c>
      <c r="GN82" s="9" t="n">
        <v>49.82</v>
      </c>
      <c r="GO82" s="9" t="n">
        <v>60.59</v>
      </c>
      <c r="GP82" s="9" t="n">
        <v>39.34</v>
      </c>
      <c r="GQ82" s="9" t="n">
        <v>64.93000000000001</v>
      </c>
      <c r="GR82" s="9" t="n">
        <v>72.66</v>
      </c>
      <c r="GS82" s="9" t="n">
        <v>53.88</v>
      </c>
      <c r="GT82" s="9" t="n">
        <v>74.15000000000001</v>
      </c>
      <c r="GU82" s="9" t="n">
        <v>0.8100000000000001</v>
      </c>
      <c r="GV82" s="9" t="n">
        <v>0.31</v>
      </c>
      <c r="GW82" s="9" t="n">
        <v>38.46</v>
      </c>
      <c r="GX82" s="9" t="n">
        <v>18.44</v>
      </c>
      <c r="GY82" s="9" t="n">
        <v>16.81</v>
      </c>
      <c r="GZ82" s="9" t="n">
        <v>91.19</v>
      </c>
      <c r="HA82" s="9" t="n">
        <v>7.13</v>
      </c>
      <c r="HB82" s="9" t="n">
        <v>16.09</v>
      </c>
      <c r="HC82" s="9" t="n">
        <v>4.49</v>
      </c>
      <c r="HD82" s="9" t="n">
        <v>12.49</v>
      </c>
      <c r="HE82" s="9" t="n">
        <v>18.53</v>
      </c>
      <c r="HF82" s="9" t="n">
        <v>20.28</v>
      </c>
      <c r="HG82" s="9" t="n">
        <v>10.23</v>
      </c>
    </row>
    <row r="83">
      <c r="A83" s="12" t="n">
        <v>2025</v>
      </c>
      <c r="B83" s="12" t="n">
        <v>44</v>
      </c>
      <c r="C83" s="5">
        <f>(B83-AVERAGE($B$2:$B$100))/_xlfn.STDEV.P($B$2:$B$100)</f>
        <v/>
      </c>
      <c r="D83" s="12" t="n">
        <v>4</v>
      </c>
      <c r="E83" s="6">
        <f>-D83</f>
        <v/>
      </c>
      <c r="F83" s="7">
        <f>(E83-AVERAGE($E$2:$E$100))/_xlfn.STDEV.P($E$2:$E$100)</f>
        <v/>
      </c>
      <c r="G83" s="7">
        <f>sum(0.5*C83)+(0.5*F83)</f>
        <v/>
      </c>
      <c r="H83" s="12" t="inlineStr">
        <is>
          <t>East</t>
        </is>
      </c>
      <c r="I83" s="8" t="inlineStr">
        <is>
          <t>Pittsburgh Riverhounds</t>
        </is>
      </c>
      <c r="J83" s="9" t="n">
        <v>0.97</v>
      </c>
      <c r="K83" s="9" t="n">
        <v>1.19</v>
      </c>
      <c r="L83" s="9" t="n">
        <v>9.41</v>
      </c>
      <c r="M83" s="9" t="n">
        <v>3.44</v>
      </c>
      <c r="N83" s="9" t="n">
        <v>36.56</v>
      </c>
      <c r="O83" s="9" t="n">
        <v>411.18</v>
      </c>
      <c r="P83" s="9" t="n">
        <v>319.74</v>
      </c>
      <c r="Q83" s="9" t="n">
        <v>77.76000000000001</v>
      </c>
      <c r="R83" s="9" t="n">
        <v>50.64</v>
      </c>
      <c r="S83" s="9" t="n">
        <v>128.82</v>
      </c>
      <c r="T83" s="9" t="n">
        <v>17.97</v>
      </c>
      <c r="U83" s="9" t="n">
        <v>49.06</v>
      </c>
      <c r="V83" s="9" t="n">
        <v>61.79</v>
      </c>
      <c r="W83" s="9" t="n">
        <v>92.47</v>
      </c>
      <c r="X83" s="9" t="n">
        <v>38.53</v>
      </c>
      <c r="Y83" s="9" t="n">
        <v>39.94</v>
      </c>
      <c r="Z83" s="9" t="n">
        <v>14</v>
      </c>
      <c r="AA83" s="9" t="n">
        <v>202.76</v>
      </c>
      <c r="AB83" s="9" t="n">
        <v>96.44</v>
      </c>
      <c r="AC83" s="9" t="n">
        <v>47.56</v>
      </c>
      <c r="AD83" s="9" t="n">
        <v>3.26</v>
      </c>
      <c r="AE83" s="9" t="n">
        <v>0.91</v>
      </c>
      <c r="AF83" s="9" t="n">
        <v>27.93</v>
      </c>
      <c r="AG83" s="9" t="n">
        <v>29.03</v>
      </c>
      <c r="AH83" s="9" t="n">
        <v>6.06</v>
      </c>
      <c r="AI83" s="9" t="n">
        <v>20.87</v>
      </c>
      <c r="AJ83" s="9" t="n">
        <v>0.41</v>
      </c>
      <c r="AK83" s="9" t="n">
        <v>0.06</v>
      </c>
      <c r="AL83" s="9" t="n">
        <v>14.29</v>
      </c>
      <c r="AM83" s="9" t="n">
        <v>26.47</v>
      </c>
      <c r="AN83" s="9" t="n">
        <v>3</v>
      </c>
      <c r="AO83" s="9" t="n">
        <v>11.33</v>
      </c>
      <c r="AP83" s="9" t="n">
        <v>5.12</v>
      </c>
      <c r="AQ83" s="9" t="n">
        <v>1.18</v>
      </c>
      <c r="AR83" s="9" t="n">
        <v>22.99</v>
      </c>
      <c r="AS83" s="9" t="n">
        <v>2.53</v>
      </c>
      <c r="AT83" s="9" t="n">
        <v>0.82</v>
      </c>
      <c r="AU83" s="9" t="n">
        <v>32.56</v>
      </c>
      <c r="AV83" s="9" t="n">
        <v>0.09</v>
      </c>
      <c r="AW83" s="9" t="n">
        <v>0.09</v>
      </c>
      <c r="AX83" s="9" t="n">
        <v>100</v>
      </c>
      <c r="AY83" s="9" t="n">
        <v>18.21</v>
      </c>
      <c r="AZ83" s="9" t="n">
        <v>5.12</v>
      </c>
      <c r="BA83" s="9" t="n">
        <v>28.11</v>
      </c>
      <c r="BB83" s="9" t="n">
        <v>4.97</v>
      </c>
      <c r="BC83" s="9" t="n">
        <v>5.94</v>
      </c>
      <c r="BD83" s="9" t="n">
        <v>26.26</v>
      </c>
      <c r="BE83" s="9" t="n">
        <v>3.41</v>
      </c>
      <c r="BF83" s="9" t="n">
        <v>11.09</v>
      </c>
      <c r="BG83" s="9" t="n">
        <v>16.21</v>
      </c>
      <c r="BH83" s="9" t="n">
        <v>58.88</v>
      </c>
      <c r="BI83" s="9" t="n">
        <v>21.82</v>
      </c>
      <c r="BJ83" s="9" t="n">
        <v>37.06</v>
      </c>
      <c r="BK83" s="9" t="n">
        <v>2.32</v>
      </c>
      <c r="BL83" s="9" t="n">
        <v>0.82</v>
      </c>
      <c r="BM83" s="9" t="n">
        <v>9</v>
      </c>
      <c r="BN83" s="9" t="n">
        <v>3.03</v>
      </c>
      <c r="BO83" s="9" t="n">
        <v>33.66</v>
      </c>
      <c r="BP83" s="9" t="n">
        <v>58.76</v>
      </c>
      <c r="BQ83" s="9" t="n">
        <v>36.65</v>
      </c>
      <c r="BR83" s="9" t="n">
        <v>62.36</v>
      </c>
      <c r="BS83" s="9" t="n">
        <v>57.15</v>
      </c>
      <c r="BT83" s="9" t="n">
        <v>26.53</v>
      </c>
      <c r="BU83" s="9" t="n">
        <v>46.42</v>
      </c>
      <c r="BV83" s="9" t="n">
        <v>1.59</v>
      </c>
      <c r="BW83" s="9" t="n">
        <v>0.79</v>
      </c>
      <c r="BX83" s="9" t="n">
        <v>50</v>
      </c>
      <c r="BY83" s="9" t="n">
        <v>38.97</v>
      </c>
      <c r="BZ83" s="9" t="n">
        <v>14.32</v>
      </c>
      <c r="CA83" s="9" t="n">
        <v>13.15</v>
      </c>
      <c r="CB83" s="9" t="n">
        <v>1.68</v>
      </c>
      <c r="CC83" s="9" t="n">
        <v>0.03</v>
      </c>
      <c r="CD83" s="9" t="n">
        <v>149.32</v>
      </c>
      <c r="CE83" s="9" t="n">
        <v>96.44</v>
      </c>
      <c r="CF83" s="9" t="n">
        <v>64.59</v>
      </c>
      <c r="CG83" s="9" t="n">
        <v>62.18</v>
      </c>
      <c r="CH83" s="9" t="n">
        <v>58.21</v>
      </c>
      <c r="CI83" s="9" t="n">
        <v>93.61</v>
      </c>
      <c r="CJ83" s="9" t="n">
        <v>148</v>
      </c>
      <c r="CK83" s="9" t="n">
        <v>126.29</v>
      </c>
      <c r="CL83" s="9" t="n">
        <v>85.33</v>
      </c>
      <c r="CM83" s="9" t="n">
        <v>63.94</v>
      </c>
      <c r="CN83" s="9" t="n">
        <v>31.74</v>
      </c>
      <c r="CO83" s="9" t="n">
        <v>49.63</v>
      </c>
      <c r="CP83" s="9" t="n">
        <v>64.5</v>
      </c>
      <c r="CQ83" s="9" t="n">
        <v>38.88</v>
      </c>
      <c r="CR83" s="9" t="n">
        <v>60.28</v>
      </c>
      <c r="CS83" s="9" t="n">
        <v>80.53</v>
      </c>
      <c r="CT83" s="9" t="n">
        <v>56.94</v>
      </c>
      <c r="CU83" s="9" t="n">
        <v>70.70999999999999</v>
      </c>
      <c r="CV83" s="9" t="n">
        <v>0.79</v>
      </c>
      <c r="CW83" s="9" t="n">
        <v>0.32</v>
      </c>
      <c r="CX83" s="9" t="n">
        <v>40.74</v>
      </c>
      <c r="CY83" s="9" t="n">
        <v>24.38</v>
      </c>
      <c r="CZ83" s="9" t="n">
        <v>20.85</v>
      </c>
      <c r="DA83" s="9" t="n">
        <v>85.52</v>
      </c>
      <c r="DB83" s="9" t="n">
        <v>7.15</v>
      </c>
      <c r="DC83" s="9" t="n">
        <v>16.03</v>
      </c>
      <c r="DD83" s="9" t="n">
        <v>3.75</v>
      </c>
      <c r="DE83" s="9" t="n">
        <v>16.08</v>
      </c>
      <c r="DF83" s="9" t="n">
        <v>16.75</v>
      </c>
      <c r="DG83" s="9" t="n">
        <v>21.12</v>
      </c>
      <c r="DH83" s="9" t="n">
        <v>11.32</v>
      </c>
      <c r="DI83" s="9" t="n">
        <v>0.82</v>
      </c>
      <c r="DJ83" s="9" t="n">
        <v>0.91</v>
      </c>
      <c r="DK83" s="9" t="n">
        <v>9</v>
      </c>
      <c r="DL83" s="9" t="n">
        <v>2.91</v>
      </c>
      <c r="DM83" s="9" t="n">
        <v>32.35</v>
      </c>
      <c r="DN83" s="9" t="n">
        <v>407.82</v>
      </c>
      <c r="DO83" s="9" t="n">
        <v>321.12</v>
      </c>
      <c r="DP83" s="9" t="n">
        <v>78.73999999999999</v>
      </c>
      <c r="DQ83" s="9" t="n">
        <v>49.36</v>
      </c>
      <c r="DR83" s="9" t="n">
        <v>132.65</v>
      </c>
      <c r="DS83" s="9" t="n">
        <v>22.97</v>
      </c>
      <c r="DT83" s="9" t="n">
        <v>52.47</v>
      </c>
      <c r="DU83" s="9" t="n">
        <v>57.21</v>
      </c>
      <c r="DV83" s="9" t="n">
        <v>91.81999999999999</v>
      </c>
      <c r="DW83" s="9" t="n">
        <v>42.56</v>
      </c>
      <c r="DX83" s="9" t="n">
        <v>38.65</v>
      </c>
      <c r="DY83" s="9" t="n">
        <v>10.62</v>
      </c>
      <c r="DZ83" s="9" t="n">
        <v>202.76</v>
      </c>
      <c r="EA83" s="9" t="n">
        <v>96.38</v>
      </c>
      <c r="EB83" s="9" t="n">
        <v>47.53</v>
      </c>
      <c r="EC83" s="9" t="n">
        <v>4.15</v>
      </c>
      <c r="ED83" s="9" t="n">
        <v>1.09</v>
      </c>
      <c r="EE83" s="9" t="n">
        <v>26.24</v>
      </c>
      <c r="EF83" s="9" t="n">
        <v>24.47</v>
      </c>
      <c r="EG83" s="9" t="n">
        <v>5.24</v>
      </c>
      <c r="EH83" s="9" t="n">
        <v>21.39</v>
      </c>
      <c r="EI83" s="9" t="n">
        <v>0.5600000000000001</v>
      </c>
      <c r="EJ83" s="9" t="n">
        <v>0.32</v>
      </c>
      <c r="EK83" s="9" t="n">
        <v>57.89</v>
      </c>
      <c r="EL83" s="9" t="n">
        <v>25.82</v>
      </c>
      <c r="EM83" s="9" t="n">
        <v>2.94</v>
      </c>
      <c r="EN83" s="9" t="n">
        <v>11.39</v>
      </c>
      <c r="EO83" s="9" t="n">
        <v>4</v>
      </c>
      <c r="EP83" s="9" t="n">
        <v>1.21</v>
      </c>
      <c r="EQ83" s="9" t="n">
        <v>30.15</v>
      </c>
      <c r="ER83" s="9" t="n">
        <v>2.5</v>
      </c>
      <c r="ES83" s="9" t="n">
        <v>0.44</v>
      </c>
      <c r="ET83" s="9" t="n">
        <v>17.65</v>
      </c>
      <c r="EU83" s="9" t="n">
        <v>0.03</v>
      </c>
      <c r="EV83" s="9" t="n">
        <v>0</v>
      </c>
      <c r="EW83" s="9" t="n">
        <v>0</v>
      </c>
      <c r="EX83" s="9" t="n">
        <v>10.65</v>
      </c>
      <c r="EY83" s="9" t="n">
        <v>3.18</v>
      </c>
      <c r="EZ83" s="9" t="n">
        <v>29.83</v>
      </c>
      <c r="FA83" s="9" t="n">
        <v>3.26</v>
      </c>
      <c r="FB83" s="9" t="n">
        <v>4.47</v>
      </c>
      <c r="FC83" s="9" t="n">
        <v>18.97</v>
      </c>
      <c r="FD83" s="9" t="n">
        <v>2.59</v>
      </c>
      <c r="FE83" s="9" t="n">
        <v>6.62</v>
      </c>
      <c r="FF83" s="9" t="n">
        <v>11.38</v>
      </c>
      <c r="FG83" s="9" t="n">
        <v>58.76</v>
      </c>
      <c r="FH83" s="9" t="n">
        <v>22.12</v>
      </c>
      <c r="FI83" s="9" t="n">
        <v>37.64</v>
      </c>
      <c r="FJ83" s="9" t="n">
        <v>1.59</v>
      </c>
      <c r="FK83" s="9" t="n">
        <v>0.97</v>
      </c>
      <c r="FL83" s="9" t="n">
        <v>9.41</v>
      </c>
      <c r="FM83" s="9" t="n">
        <v>3.62</v>
      </c>
      <c r="FN83" s="9" t="n">
        <v>38.44</v>
      </c>
      <c r="FO83" s="9" t="n">
        <v>58.88</v>
      </c>
      <c r="FP83" s="9" t="n">
        <v>37.06</v>
      </c>
      <c r="FQ83" s="9" t="n">
        <v>62.94</v>
      </c>
      <c r="FR83" s="9" t="n">
        <v>57.15</v>
      </c>
      <c r="FS83" s="9" t="n">
        <v>25.53</v>
      </c>
      <c r="FT83" s="9" t="n">
        <v>44.67</v>
      </c>
      <c r="FU83" s="9" t="n">
        <v>2</v>
      </c>
      <c r="FV83" s="9" t="n">
        <v>0.91</v>
      </c>
      <c r="FW83" s="9" t="n">
        <v>45.59</v>
      </c>
      <c r="FX83" s="9" t="n">
        <v>41.53</v>
      </c>
      <c r="FY83" s="9" t="n">
        <v>18.56</v>
      </c>
      <c r="FZ83" s="9" t="n">
        <v>14.03</v>
      </c>
      <c r="GA83" s="9" t="n">
        <v>1.76</v>
      </c>
      <c r="GB83" s="9" t="n">
        <v>0.06</v>
      </c>
      <c r="GC83" s="9" t="n">
        <v>152.03</v>
      </c>
      <c r="GD83" s="9" t="n">
        <v>97.91</v>
      </c>
      <c r="GE83" s="9" t="n">
        <v>64.40000000000001</v>
      </c>
      <c r="GF83" s="9" t="n">
        <v>59.26</v>
      </c>
      <c r="GG83" s="9" t="n">
        <v>55.53</v>
      </c>
      <c r="GH83" s="9" t="n">
        <v>93.7</v>
      </c>
      <c r="GI83" s="9" t="n">
        <v>140.29</v>
      </c>
      <c r="GJ83" s="9" t="n">
        <v>123.79</v>
      </c>
      <c r="GK83" s="9" t="n">
        <v>88.23999999999999</v>
      </c>
      <c r="GL83" s="9" t="n">
        <v>63.94</v>
      </c>
      <c r="GM83" s="9" t="n">
        <v>32.06</v>
      </c>
      <c r="GN83" s="9" t="n">
        <v>50.14</v>
      </c>
      <c r="GO83" s="9" t="n">
        <v>57.56</v>
      </c>
      <c r="GP83" s="9" t="n">
        <v>32.03</v>
      </c>
      <c r="GQ83" s="9" t="n">
        <v>55.65</v>
      </c>
      <c r="GR83" s="9" t="n">
        <v>74.31999999999999</v>
      </c>
      <c r="GS83" s="9" t="n">
        <v>48.85</v>
      </c>
      <c r="GT83" s="9" t="n">
        <v>65.73</v>
      </c>
      <c r="GU83" s="9" t="n">
        <v>0.82</v>
      </c>
      <c r="GV83" s="9" t="n">
        <v>0.26</v>
      </c>
      <c r="GW83" s="9" t="n">
        <v>32.14</v>
      </c>
      <c r="GX83" s="9" t="n">
        <v>24.35</v>
      </c>
      <c r="GY83" s="9" t="n">
        <v>20.97</v>
      </c>
      <c r="GZ83" s="9" t="n">
        <v>86.11</v>
      </c>
      <c r="HA83" s="9" t="n">
        <v>8.24</v>
      </c>
      <c r="HB83" s="9" t="n">
        <v>16.43</v>
      </c>
      <c r="HC83" s="9" t="n">
        <v>3.77</v>
      </c>
      <c r="HD83" s="9" t="n">
        <v>16.17</v>
      </c>
      <c r="HE83" s="9" t="n">
        <v>19.97</v>
      </c>
      <c r="HF83" s="9" t="n">
        <v>20.87</v>
      </c>
      <c r="HG83" s="9" t="n">
        <v>11.3</v>
      </c>
    </row>
    <row r="84">
      <c r="A84" s="12" t="n">
        <v>2025</v>
      </c>
      <c r="B84" s="12" t="n">
        <v>41</v>
      </c>
      <c r="C84" s="5">
        <f>(B84-AVERAGE($B$2:$B$100))/_xlfn.STDEV.P($B$2:$B$100)</f>
        <v/>
      </c>
      <c r="D84" s="12" t="n">
        <v>4</v>
      </c>
      <c r="E84" s="6">
        <f>-D84</f>
        <v/>
      </c>
      <c r="F84" s="7">
        <f>(E84-AVERAGE($E$2:$E$100))/_xlfn.STDEV.P($E$2:$E$100)</f>
        <v/>
      </c>
      <c r="G84" s="7">
        <f>sum(0.5*C84)+(0.5*F84)</f>
        <v/>
      </c>
      <c r="H84" s="12" t="inlineStr">
        <is>
          <t>West</t>
        </is>
      </c>
      <c r="I84" s="8" t="inlineStr">
        <is>
          <t>El Paso Locomotive</t>
        </is>
      </c>
      <c r="J84" s="9" t="n">
        <v>1.52</v>
      </c>
      <c r="K84" s="9" t="n">
        <v>1.27</v>
      </c>
      <c r="L84" s="9" t="n">
        <v>11.74</v>
      </c>
      <c r="M84" s="9" t="n">
        <v>4.35</v>
      </c>
      <c r="N84" s="9" t="n">
        <v>37.09</v>
      </c>
      <c r="O84" s="9" t="n">
        <v>419.29</v>
      </c>
      <c r="P84" s="9" t="n">
        <v>356.1</v>
      </c>
      <c r="Q84" s="9" t="n">
        <v>84.93000000000001</v>
      </c>
      <c r="R84" s="9" t="n">
        <v>53.25</v>
      </c>
      <c r="S84" s="9" t="n">
        <v>93.16</v>
      </c>
      <c r="T84" s="9" t="n">
        <v>17.74</v>
      </c>
      <c r="U84" s="9" t="n">
        <v>34</v>
      </c>
      <c r="V84" s="9" t="n">
        <v>41.42</v>
      </c>
      <c r="W84" s="9" t="n">
        <v>67.09999999999999</v>
      </c>
      <c r="X84" s="9" t="n">
        <v>32.9</v>
      </c>
      <c r="Y84" s="9" t="n">
        <v>25.23</v>
      </c>
      <c r="Z84" s="9" t="n">
        <v>8.970000000000001</v>
      </c>
      <c r="AA84" s="9" t="n">
        <v>172.87</v>
      </c>
      <c r="AB84" s="9" t="n">
        <v>85.31999999999999</v>
      </c>
      <c r="AC84" s="9" t="n">
        <v>49.36</v>
      </c>
      <c r="AD84" s="9" t="n">
        <v>5.29</v>
      </c>
      <c r="AE84" s="9" t="n">
        <v>1.58</v>
      </c>
      <c r="AF84" s="9" t="n">
        <v>29.88</v>
      </c>
      <c r="AG84" s="9" t="n">
        <v>23.9</v>
      </c>
      <c r="AH84" s="9" t="n">
        <v>6.65</v>
      </c>
      <c r="AI84" s="9" t="n">
        <v>27.8</v>
      </c>
      <c r="AJ84" s="9" t="n">
        <v>0.9399999999999999</v>
      </c>
      <c r="AK84" s="9" t="n">
        <v>0.61</v>
      </c>
      <c r="AL84" s="9" t="n">
        <v>65.52</v>
      </c>
      <c r="AM84" s="9" t="n">
        <v>31.55</v>
      </c>
      <c r="AN84" s="9" t="n">
        <v>3.77</v>
      </c>
      <c r="AO84" s="9" t="n">
        <v>11.96</v>
      </c>
      <c r="AP84" s="9" t="n">
        <v>4.81</v>
      </c>
      <c r="AQ84" s="9" t="n">
        <v>1.32</v>
      </c>
      <c r="AR84" s="9" t="n">
        <v>27.52</v>
      </c>
      <c r="AS84" s="9" t="n">
        <v>2.65</v>
      </c>
      <c r="AT84" s="9" t="n">
        <v>0.9399999999999999</v>
      </c>
      <c r="AU84" s="9" t="n">
        <v>35.37</v>
      </c>
      <c r="AV84" s="9" t="n">
        <v>0.06</v>
      </c>
      <c r="AW84" s="9" t="n">
        <v>0.03</v>
      </c>
      <c r="AX84" s="9" t="n">
        <v>50</v>
      </c>
      <c r="AY84" s="9" t="n">
        <v>13.35</v>
      </c>
      <c r="AZ84" s="9" t="n">
        <v>4.06</v>
      </c>
      <c r="BA84" s="9" t="n">
        <v>30.43</v>
      </c>
      <c r="BB84" s="9" t="n">
        <v>4.19</v>
      </c>
      <c r="BC84" s="9" t="n">
        <v>6.45</v>
      </c>
      <c r="BD84" s="9" t="n">
        <v>20.81</v>
      </c>
      <c r="BE84" s="9" t="n">
        <v>4.19</v>
      </c>
      <c r="BF84" s="9" t="n">
        <v>7.84</v>
      </c>
      <c r="BG84" s="9" t="n">
        <v>16.61</v>
      </c>
      <c r="BH84" s="9" t="n">
        <v>69.19</v>
      </c>
      <c r="BI84" s="9" t="n">
        <v>29.65</v>
      </c>
      <c r="BJ84" s="9" t="n">
        <v>42.84</v>
      </c>
      <c r="BK84" s="9" t="n">
        <v>1.55</v>
      </c>
      <c r="BL84" s="9" t="n">
        <v>1.48</v>
      </c>
      <c r="BM84" s="9" t="n">
        <v>8.84</v>
      </c>
      <c r="BN84" s="9" t="n">
        <v>3.94</v>
      </c>
      <c r="BO84" s="9" t="n">
        <v>44.53</v>
      </c>
      <c r="BP84" s="9" t="n">
        <v>58.9</v>
      </c>
      <c r="BQ84" s="9" t="n">
        <v>36.68</v>
      </c>
      <c r="BR84" s="9" t="n">
        <v>62.27</v>
      </c>
      <c r="BS84" s="9" t="n">
        <v>23.77</v>
      </c>
      <c r="BT84" s="9" t="n">
        <v>10.06</v>
      </c>
      <c r="BU84" s="9" t="n">
        <v>42.33</v>
      </c>
      <c r="BV84" s="9" t="n">
        <v>4.06</v>
      </c>
      <c r="BW84" s="9" t="n">
        <v>2.48</v>
      </c>
      <c r="BX84" s="9" t="n">
        <v>61.11</v>
      </c>
      <c r="BY84" s="9" t="n">
        <v>30.48</v>
      </c>
      <c r="BZ84" s="9" t="n">
        <v>13.19</v>
      </c>
      <c r="CA84" s="9" t="n">
        <v>13.06</v>
      </c>
      <c r="CB84" s="9" t="n">
        <v>2.52</v>
      </c>
      <c r="CC84" s="9" t="n">
        <v>0.19</v>
      </c>
      <c r="CD84" s="9" t="n">
        <v>137.94</v>
      </c>
      <c r="CE84" s="9" t="n">
        <v>103.84</v>
      </c>
      <c r="CF84" s="9" t="n">
        <v>75.28</v>
      </c>
      <c r="CG84" s="9" t="n">
        <v>68.90000000000001</v>
      </c>
      <c r="CH84" s="9" t="n">
        <v>64.73999999999999</v>
      </c>
      <c r="CI84" s="9" t="n">
        <v>93.95999999999999</v>
      </c>
      <c r="CJ84" s="9" t="n">
        <v>156.39</v>
      </c>
      <c r="CK84" s="9" t="n">
        <v>141.23</v>
      </c>
      <c r="CL84" s="9" t="n">
        <v>90.31</v>
      </c>
      <c r="CM84" s="9" t="n">
        <v>48.23</v>
      </c>
      <c r="CN84" s="9" t="n">
        <v>27.26</v>
      </c>
      <c r="CO84" s="9" t="n">
        <v>56.52</v>
      </c>
      <c r="CP84" s="9" t="n">
        <v>48.84</v>
      </c>
      <c r="CQ84" s="9" t="n">
        <v>33.87</v>
      </c>
      <c r="CR84" s="9" t="n">
        <v>69.34999999999999</v>
      </c>
      <c r="CS84" s="9" t="n">
        <v>69.48</v>
      </c>
      <c r="CT84" s="9" t="n">
        <v>49.61</v>
      </c>
      <c r="CU84" s="9" t="n">
        <v>71.40000000000001</v>
      </c>
      <c r="CV84" s="9" t="n">
        <v>1.06</v>
      </c>
      <c r="CW84" s="9" t="n">
        <v>0.42</v>
      </c>
      <c r="CX84" s="9" t="n">
        <v>39.39</v>
      </c>
      <c r="CY84" s="9" t="n">
        <v>20.52</v>
      </c>
      <c r="CZ84" s="9" t="n">
        <v>18.68</v>
      </c>
      <c r="DA84" s="9" t="n">
        <v>91.04000000000001</v>
      </c>
      <c r="DB84" s="9" t="n">
        <v>7.9</v>
      </c>
      <c r="DC84" s="9" t="n">
        <v>16.4</v>
      </c>
      <c r="DD84" s="9" t="n">
        <v>4.03</v>
      </c>
      <c r="DE84" s="9" t="n">
        <v>11.74</v>
      </c>
      <c r="DF84" s="9" t="n">
        <v>18.85</v>
      </c>
      <c r="DG84" s="9" t="n">
        <v>20.45</v>
      </c>
      <c r="DH84" s="9" t="n">
        <v>12.3</v>
      </c>
      <c r="DI84" s="9" t="n">
        <v>1.48</v>
      </c>
      <c r="DJ84" s="9" t="n">
        <v>1.31</v>
      </c>
      <c r="DK84" s="9" t="n">
        <v>8.84</v>
      </c>
      <c r="DL84" s="9" t="n">
        <v>3.71</v>
      </c>
      <c r="DM84" s="9" t="n">
        <v>41.97</v>
      </c>
      <c r="DN84" s="9" t="n">
        <v>351.9</v>
      </c>
      <c r="DO84" s="9" t="n">
        <v>290.19</v>
      </c>
      <c r="DP84" s="9" t="n">
        <v>82.45999999999999</v>
      </c>
      <c r="DQ84" s="9" t="n">
        <v>46.75</v>
      </c>
      <c r="DR84" s="9" t="n">
        <v>93.81</v>
      </c>
      <c r="DS84" s="9" t="n">
        <v>16.35</v>
      </c>
      <c r="DT84" s="9" t="n">
        <v>30</v>
      </c>
      <c r="DU84" s="9" t="n">
        <v>47.45</v>
      </c>
      <c r="DV84" s="9" t="n">
        <v>66.19</v>
      </c>
      <c r="DW84" s="9" t="n">
        <v>28.48</v>
      </c>
      <c r="DX84" s="9" t="n">
        <v>27.74</v>
      </c>
      <c r="DY84" s="9" t="n">
        <v>9.970000000000001</v>
      </c>
      <c r="DZ84" s="9" t="n">
        <v>172.87</v>
      </c>
      <c r="EA84" s="9" t="n">
        <v>81.77</v>
      </c>
      <c r="EB84" s="9" t="n">
        <v>47.3</v>
      </c>
      <c r="EC84" s="9" t="n">
        <v>3.29</v>
      </c>
      <c r="ED84" s="9" t="n">
        <v>1</v>
      </c>
      <c r="EE84" s="9" t="n">
        <v>30.39</v>
      </c>
      <c r="EF84" s="9" t="n">
        <v>25.58</v>
      </c>
      <c r="EG84" s="9" t="n">
        <v>5.52</v>
      </c>
      <c r="EH84" s="9" t="n">
        <v>21.56</v>
      </c>
      <c r="EI84" s="9" t="n">
        <v>0.35</v>
      </c>
      <c r="EJ84" s="9" t="n">
        <v>0.32</v>
      </c>
      <c r="EK84" s="9" t="n">
        <v>90.91</v>
      </c>
      <c r="EL84" s="9" t="n">
        <v>25.55</v>
      </c>
      <c r="EM84" s="9" t="n">
        <v>2.29</v>
      </c>
      <c r="EN84" s="9" t="n">
        <v>8.960000000000001</v>
      </c>
      <c r="EO84" s="9" t="n">
        <v>4.03</v>
      </c>
      <c r="EP84" s="9" t="n">
        <v>0.77</v>
      </c>
      <c r="EQ84" s="9" t="n">
        <v>19.2</v>
      </c>
      <c r="ER84" s="9" t="n">
        <v>3.06</v>
      </c>
      <c r="ES84" s="9" t="n">
        <v>0.8100000000000001</v>
      </c>
      <c r="ET84" s="9" t="n">
        <v>26.32</v>
      </c>
      <c r="EU84" s="9" t="n">
        <v>0.13</v>
      </c>
      <c r="EV84" s="9" t="n">
        <v>0.13</v>
      </c>
      <c r="EW84" s="9" t="n">
        <v>100</v>
      </c>
      <c r="EX84" s="9" t="n">
        <v>12.42</v>
      </c>
      <c r="EY84" s="9" t="n">
        <v>4.03</v>
      </c>
      <c r="EZ84" s="9" t="n">
        <v>32.47</v>
      </c>
      <c r="FA84" s="9" t="n">
        <v>4.13</v>
      </c>
      <c r="FB84" s="9" t="n">
        <v>5.77</v>
      </c>
      <c r="FC84" s="9" t="n">
        <v>21.03</v>
      </c>
      <c r="FD84" s="9" t="n">
        <v>2.77</v>
      </c>
      <c r="FE84" s="9" t="n">
        <v>7.32</v>
      </c>
      <c r="FF84" s="9" t="n">
        <v>14.29</v>
      </c>
      <c r="FG84" s="9" t="n">
        <v>58.9</v>
      </c>
      <c r="FH84" s="9" t="n">
        <v>22.23</v>
      </c>
      <c r="FI84" s="9" t="n">
        <v>37.73</v>
      </c>
      <c r="FJ84" s="9" t="n">
        <v>1.97</v>
      </c>
      <c r="FK84" s="9" t="n">
        <v>1.52</v>
      </c>
      <c r="FL84" s="9" t="n">
        <v>11.74</v>
      </c>
      <c r="FM84" s="9" t="n">
        <v>4.52</v>
      </c>
      <c r="FN84" s="9" t="n">
        <v>38.46</v>
      </c>
      <c r="FO84" s="9" t="n">
        <v>69.19</v>
      </c>
      <c r="FP84" s="9" t="n">
        <v>39.55</v>
      </c>
      <c r="FQ84" s="9" t="n">
        <v>57.16</v>
      </c>
      <c r="FR84" s="9" t="n">
        <v>23.77</v>
      </c>
      <c r="FS84" s="9" t="n">
        <v>11.26</v>
      </c>
      <c r="FT84" s="9" t="n">
        <v>47.35</v>
      </c>
      <c r="FU84" s="9" t="n">
        <v>2.48</v>
      </c>
      <c r="FV84" s="9" t="n">
        <v>1.06</v>
      </c>
      <c r="FW84" s="9" t="n">
        <v>42.86</v>
      </c>
      <c r="FX84" s="9" t="n">
        <v>34.13</v>
      </c>
      <c r="FY84" s="9" t="n">
        <v>13.77</v>
      </c>
      <c r="FZ84" s="9" t="n">
        <v>18.48</v>
      </c>
      <c r="GA84" s="9" t="n">
        <v>3.42</v>
      </c>
      <c r="GB84" s="9" t="n">
        <v>0.1</v>
      </c>
      <c r="GC84" s="9" t="n">
        <v>125.81</v>
      </c>
      <c r="GD84" s="9" t="n">
        <v>91.97</v>
      </c>
      <c r="GE84" s="9" t="n">
        <v>73.09999999999999</v>
      </c>
      <c r="GF84" s="9" t="n">
        <v>50.26</v>
      </c>
      <c r="GG84" s="9" t="n">
        <v>46.77</v>
      </c>
      <c r="GH84" s="9" t="n">
        <v>93.06999999999999</v>
      </c>
      <c r="GI84" s="9" t="n">
        <v>128.87</v>
      </c>
      <c r="GJ84" s="9" t="n">
        <v>113.23</v>
      </c>
      <c r="GK84" s="9" t="n">
        <v>87.86</v>
      </c>
      <c r="GL84" s="9" t="n">
        <v>37.74</v>
      </c>
      <c r="GM84" s="9" t="n">
        <v>19.23</v>
      </c>
      <c r="GN84" s="9" t="n">
        <v>50.94</v>
      </c>
      <c r="GO84" s="9" t="n">
        <v>48.1</v>
      </c>
      <c r="GP84" s="9" t="n">
        <v>30.42</v>
      </c>
      <c r="GQ84" s="9" t="n">
        <v>63.25</v>
      </c>
      <c r="GR84" s="9" t="n">
        <v>59.32</v>
      </c>
      <c r="GS84" s="9" t="n">
        <v>44.03</v>
      </c>
      <c r="GT84" s="9" t="n">
        <v>74.23</v>
      </c>
      <c r="GU84" s="9" t="n">
        <v>0.68</v>
      </c>
      <c r="GV84" s="9" t="n">
        <v>0.32</v>
      </c>
      <c r="GW84" s="9" t="n">
        <v>47.62</v>
      </c>
      <c r="GX84" s="9" t="n">
        <v>19.45</v>
      </c>
      <c r="GY84" s="9" t="n">
        <v>16.71</v>
      </c>
      <c r="GZ84" s="9" t="n">
        <v>85.90000000000001</v>
      </c>
      <c r="HA84" s="9" t="n">
        <v>7.94</v>
      </c>
      <c r="HB84" s="9" t="n">
        <v>15.66</v>
      </c>
      <c r="HC84" s="9" t="n">
        <v>3.64</v>
      </c>
      <c r="HD84" s="9" t="n">
        <v>11.24</v>
      </c>
      <c r="HE84" s="9" t="n">
        <v>17.5</v>
      </c>
      <c r="HF84" s="9" t="n">
        <v>20.29</v>
      </c>
      <c r="HG84" s="9" t="n">
        <v>10.37</v>
      </c>
    </row>
    <row r="85">
      <c r="A85" s="12" t="n">
        <v>2025</v>
      </c>
      <c r="B85" s="12" t="n">
        <v>44</v>
      </c>
      <c r="C85" s="5">
        <f>(B85-AVERAGE($B$2:$B$100))/_xlfn.STDEV.P($B$2:$B$100)</f>
        <v/>
      </c>
      <c r="D85" s="12" t="n">
        <v>5</v>
      </c>
      <c r="E85" s="6">
        <f>-D85</f>
        <v/>
      </c>
      <c r="F85" s="7">
        <f>(E85-AVERAGE($E$2:$E$100))/_xlfn.STDEV.P($E$2:$E$100)</f>
        <v/>
      </c>
      <c r="G85" s="7">
        <f>sum(0.5*C85)+(0.5*F85)</f>
        <v/>
      </c>
      <c r="H85" s="12" t="inlineStr">
        <is>
          <t>East</t>
        </is>
      </c>
      <c r="I85" s="8" t="inlineStr">
        <is>
          <t>Hartford Athletic</t>
        </is>
      </c>
      <c r="J85" s="9" t="n">
        <v>1.47</v>
      </c>
      <c r="K85" s="9" t="n">
        <v>1.48</v>
      </c>
      <c r="L85" s="9" t="n">
        <v>9.77</v>
      </c>
      <c r="M85" s="9" t="n">
        <v>3.7</v>
      </c>
      <c r="N85" s="9" t="n">
        <v>37.88</v>
      </c>
      <c r="O85" s="9" t="n">
        <v>327.33</v>
      </c>
      <c r="P85" s="9" t="n">
        <v>255.47</v>
      </c>
      <c r="Q85" s="9" t="n">
        <v>78.04000000000001</v>
      </c>
      <c r="R85" s="9" t="n">
        <v>45.2</v>
      </c>
      <c r="S85" s="9" t="n">
        <v>108.9</v>
      </c>
      <c r="T85" s="9" t="n">
        <v>18.93</v>
      </c>
      <c r="U85" s="9" t="n">
        <v>38.93</v>
      </c>
      <c r="V85" s="9" t="n">
        <v>51.03</v>
      </c>
      <c r="W85" s="9" t="n">
        <v>75.09999999999999</v>
      </c>
      <c r="X85" s="9" t="n">
        <v>34.7</v>
      </c>
      <c r="Y85" s="9" t="n">
        <v>30.07</v>
      </c>
      <c r="Z85" s="9" t="n">
        <v>10.33</v>
      </c>
      <c r="AA85" s="9" t="n">
        <v>183.6</v>
      </c>
      <c r="AB85" s="9" t="n">
        <v>88.5</v>
      </c>
      <c r="AC85" s="9" t="n">
        <v>48.2</v>
      </c>
      <c r="AD85" s="9" t="n">
        <v>3.5</v>
      </c>
      <c r="AE85" s="9" t="n">
        <v>0.6</v>
      </c>
      <c r="AF85" s="9" t="n">
        <v>17.14</v>
      </c>
      <c r="AG85" s="9" t="n">
        <v>23.3</v>
      </c>
      <c r="AH85" s="9" t="n">
        <v>5.87</v>
      </c>
      <c r="AI85" s="9" t="n">
        <v>25.18</v>
      </c>
      <c r="AJ85" s="9" t="n">
        <v>0.6</v>
      </c>
      <c r="AK85" s="9" t="n">
        <v>0.37</v>
      </c>
      <c r="AL85" s="9" t="n">
        <v>61.11</v>
      </c>
      <c r="AM85" s="9" t="n">
        <v>26.37</v>
      </c>
      <c r="AN85" s="9" t="n">
        <v>3.13</v>
      </c>
      <c r="AO85" s="9" t="n">
        <v>11.88</v>
      </c>
      <c r="AP85" s="9" t="n">
        <v>4.5</v>
      </c>
      <c r="AQ85" s="9" t="n">
        <v>1.43</v>
      </c>
      <c r="AR85" s="9" t="n">
        <v>31.85</v>
      </c>
      <c r="AS85" s="9" t="n">
        <v>2.93</v>
      </c>
      <c r="AT85" s="9" t="n">
        <v>0.3</v>
      </c>
      <c r="AU85" s="9" t="n">
        <v>10.23</v>
      </c>
      <c r="AV85" s="9" t="n">
        <v>0.2</v>
      </c>
      <c r="AW85" s="9" t="n">
        <v>0.17</v>
      </c>
      <c r="AX85" s="9" t="n">
        <v>83.33</v>
      </c>
      <c r="AY85" s="9" t="n">
        <v>12.37</v>
      </c>
      <c r="AZ85" s="9" t="n">
        <v>3.97</v>
      </c>
      <c r="BA85" s="9" t="n">
        <v>32.08</v>
      </c>
      <c r="BB85" s="9" t="n">
        <v>4.1</v>
      </c>
      <c r="BC85" s="9" t="n">
        <v>5</v>
      </c>
      <c r="BD85" s="9" t="n">
        <v>20.73</v>
      </c>
      <c r="BE85" s="9" t="n">
        <v>2.9</v>
      </c>
      <c r="BF85" s="9" t="n">
        <v>8.27</v>
      </c>
      <c r="BG85" s="9" t="n">
        <v>14.63</v>
      </c>
      <c r="BH85" s="9" t="n">
        <v>54.23</v>
      </c>
      <c r="BI85" s="9" t="n">
        <v>21</v>
      </c>
      <c r="BJ85" s="9" t="n">
        <v>38.72</v>
      </c>
      <c r="BK85" s="9" t="n">
        <v>2</v>
      </c>
      <c r="BL85" s="9" t="n">
        <v>1.2</v>
      </c>
      <c r="BM85" s="9" t="n">
        <v>11.53</v>
      </c>
      <c r="BN85" s="9" t="n">
        <v>3.97</v>
      </c>
      <c r="BO85" s="9" t="n">
        <v>34.39</v>
      </c>
      <c r="BP85" s="9" t="n">
        <v>59.8</v>
      </c>
      <c r="BQ85" s="9" t="n">
        <v>37.47</v>
      </c>
      <c r="BR85" s="9" t="n">
        <v>62.65</v>
      </c>
      <c r="BS85" s="9" t="n">
        <v>47.6</v>
      </c>
      <c r="BT85" s="9" t="n">
        <v>20.83</v>
      </c>
      <c r="BU85" s="9" t="n">
        <v>43.77</v>
      </c>
      <c r="BV85" s="9" t="n">
        <v>2.07</v>
      </c>
      <c r="BW85" s="9" t="n">
        <v>1.17</v>
      </c>
      <c r="BX85" s="9" t="n">
        <v>56.45</v>
      </c>
      <c r="BY85" s="9" t="n">
        <v>39.2</v>
      </c>
      <c r="BZ85" s="9" t="n">
        <v>16.9</v>
      </c>
      <c r="CA85" s="9" t="n">
        <v>14</v>
      </c>
      <c r="CB85" s="9" t="n">
        <v>2.17</v>
      </c>
      <c r="CC85" s="9" t="n">
        <v>0.17</v>
      </c>
      <c r="CD85" s="9" t="n">
        <v>127.37</v>
      </c>
      <c r="CE85" s="9" t="n">
        <v>83.83</v>
      </c>
      <c r="CF85" s="9" t="n">
        <v>65.81999999999999</v>
      </c>
      <c r="CG85" s="9" t="n">
        <v>49</v>
      </c>
      <c r="CH85" s="9" t="n">
        <v>45.8</v>
      </c>
      <c r="CI85" s="9" t="n">
        <v>93.47</v>
      </c>
      <c r="CJ85" s="9" t="n">
        <v>108.13</v>
      </c>
      <c r="CK85" s="9" t="n">
        <v>92.23</v>
      </c>
      <c r="CL85" s="9" t="n">
        <v>85.3</v>
      </c>
      <c r="CM85" s="9" t="n">
        <v>54.07</v>
      </c>
      <c r="CN85" s="9" t="n">
        <v>25.87</v>
      </c>
      <c r="CO85" s="9" t="n">
        <v>47.84</v>
      </c>
      <c r="CP85" s="9" t="n">
        <v>51.4</v>
      </c>
      <c r="CQ85" s="9" t="n">
        <v>30.1</v>
      </c>
      <c r="CR85" s="9" t="n">
        <v>58.56</v>
      </c>
      <c r="CS85" s="9" t="n">
        <v>65.93000000000001</v>
      </c>
      <c r="CT85" s="9" t="n">
        <v>45.33</v>
      </c>
      <c r="CU85" s="9" t="n">
        <v>68.76000000000001</v>
      </c>
      <c r="CV85" s="9" t="n">
        <v>0.37</v>
      </c>
      <c r="CW85" s="9" t="n">
        <v>0.13</v>
      </c>
      <c r="CX85" s="9" t="n">
        <v>36.36</v>
      </c>
      <c r="CY85" s="9" t="n">
        <v>19.3</v>
      </c>
      <c r="CZ85" s="9" t="n">
        <v>16.73</v>
      </c>
      <c r="DA85" s="9" t="n">
        <v>86.7</v>
      </c>
      <c r="DB85" s="9" t="n">
        <v>8.970000000000001</v>
      </c>
      <c r="DC85" s="9" t="n">
        <v>15.31</v>
      </c>
      <c r="DD85" s="9" t="n">
        <v>3.25</v>
      </c>
      <c r="DE85" s="9" t="n">
        <v>17.23</v>
      </c>
      <c r="DF85" s="9" t="n">
        <v>17.15</v>
      </c>
      <c r="DG85" s="9" t="n">
        <v>21.53</v>
      </c>
      <c r="DH85" s="9" t="n">
        <v>10.83</v>
      </c>
      <c r="DI85" s="9" t="n">
        <v>1.2</v>
      </c>
      <c r="DJ85" s="9" t="n">
        <v>1.23</v>
      </c>
      <c r="DK85" s="9" t="n">
        <v>11.53</v>
      </c>
      <c r="DL85" s="9" t="n">
        <v>3.67</v>
      </c>
      <c r="DM85" s="9" t="n">
        <v>31.79</v>
      </c>
      <c r="DN85" s="9" t="n">
        <v>413.4</v>
      </c>
      <c r="DO85" s="9" t="n">
        <v>340.6</v>
      </c>
      <c r="DP85" s="9" t="n">
        <v>82.39</v>
      </c>
      <c r="DQ85" s="9" t="n">
        <v>54.8</v>
      </c>
      <c r="DR85" s="9" t="n">
        <v>111.2</v>
      </c>
      <c r="DS85" s="9" t="n">
        <v>19.6</v>
      </c>
      <c r="DT85" s="9" t="n">
        <v>39.13</v>
      </c>
      <c r="DU85" s="9" t="n">
        <v>52.47</v>
      </c>
      <c r="DV85" s="9" t="n">
        <v>79.13</v>
      </c>
      <c r="DW85" s="9" t="n">
        <v>37.3</v>
      </c>
      <c r="DX85" s="9" t="n">
        <v>29.6</v>
      </c>
      <c r="DY85" s="9" t="n">
        <v>12.23</v>
      </c>
      <c r="DZ85" s="9" t="n">
        <v>183.6</v>
      </c>
      <c r="EA85" s="9" t="n">
        <v>88.23</v>
      </c>
      <c r="EB85" s="9" t="n">
        <v>48.06</v>
      </c>
      <c r="EC85" s="9" t="n">
        <v>4.77</v>
      </c>
      <c r="ED85" s="9" t="n">
        <v>1.33</v>
      </c>
      <c r="EE85" s="9" t="n">
        <v>27.97</v>
      </c>
      <c r="EF85" s="9" t="n">
        <v>29.37</v>
      </c>
      <c r="EG85" s="9" t="n">
        <v>7.4</v>
      </c>
      <c r="EH85" s="9" t="n">
        <v>25.2</v>
      </c>
      <c r="EI85" s="9" t="n">
        <v>0.47</v>
      </c>
      <c r="EJ85" s="9" t="n">
        <v>0.37</v>
      </c>
      <c r="EK85" s="9" t="n">
        <v>78.56999999999999</v>
      </c>
      <c r="EL85" s="9" t="n">
        <v>27.43</v>
      </c>
      <c r="EM85" s="9" t="n">
        <v>3.33</v>
      </c>
      <c r="EN85" s="9" t="n">
        <v>12.15</v>
      </c>
      <c r="EO85" s="9" t="n">
        <v>5.07</v>
      </c>
      <c r="EP85" s="9" t="n">
        <v>1.43</v>
      </c>
      <c r="EQ85" s="9" t="n">
        <v>28.29</v>
      </c>
      <c r="ER85" s="9" t="n">
        <v>2.63</v>
      </c>
      <c r="ES85" s="9" t="n">
        <v>0.6</v>
      </c>
      <c r="ET85" s="9" t="n">
        <v>22.78</v>
      </c>
      <c r="EU85" s="9" t="n">
        <v>0.07000000000000001</v>
      </c>
      <c r="EV85" s="9" t="n">
        <v>0.03</v>
      </c>
      <c r="EW85" s="9" t="n">
        <v>50</v>
      </c>
      <c r="EX85" s="9" t="n">
        <v>18.13</v>
      </c>
      <c r="EY85" s="9" t="n">
        <v>6.23</v>
      </c>
      <c r="EZ85" s="9" t="n">
        <v>34.38</v>
      </c>
      <c r="FA85" s="9" t="n">
        <v>5.97</v>
      </c>
      <c r="FB85" s="9" t="n">
        <v>6.2</v>
      </c>
      <c r="FC85" s="9" t="n">
        <v>25.43</v>
      </c>
      <c r="FD85" s="9" t="n">
        <v>3.13</v>
      </c>
      <c r="FE85" s="9" t="n">
        <v>11.87</v>
      </c>
      <c r="FF85" s="9" t="n">
        <v>17.77</v>
      </c>
      <c r="FG85" s="9" t="n">
        <v>59.8</v>
      </c>
      <c r="FH85" s="9" t="n">
        <v>22.33</v>
      </c>
      <c r="FI85" s="9" t="n">
        <v>37.35</v>
      </c>
      <c r="FJ85" s="9" t="n">
        <v>0.93</v>
      </c>
      <c r="FK85" s="9" t="n">
        <v>1.47</v>
      </c>
      <c r="FL85" s="9" t="n">
        <v>9.77</v>
      </c>
      <c r="FM85" s="9" t="n">
        <v>3.97</v>
      </c>
      <c r="FN85" s="9" t="n">
        <v>40.61</v>
      </c>
      <c r="FO85" s="9" t="n">
        <v>54.23</v>
      </c>
      <c r="FP85" s="9" t="n">
        <v>33.23</v>
      </c>
      <c r="FQ85" s="9" t="n">
        <v>61.28</v>
      </c>
      <c r="FR85" s="9" t="n">
        <v>47.6</v>
      </c>
      <c r="FS85" s="9" t="n">
        <v>22.63</v>
      </c>
      <c r="FT85" s="9" t="n">
        <v>47.55</v>
      </c>
      <c r="FU85" s="9" t="n">
        <v>1.93</v>
      </c>
      <c r="FV85" s="9" t="n">
        <v>1</v>
      </c>
      <c r="FW85" s="9" t="n">
        <v>51.72</v>
      </c>
      <c r="FX85" s="9" t="n">
        <v>33.27</v>
      </c>
      <c r="FY85" s="9" t="n">
        <v>16.1</v>
      </c>
      <c r="FZ85" s="9" t="n">
        <v>13.3</v>
      </c>
      <c r="GA85" s="9" t="n">
        <v>2.2</v>
      </c>
      <c r="GB85" s="9" t="n">
        <v>0.1</v>
      </c>
      <c r="GC85" s="9" t="n">
        <v>146.03</v>
      </c>
      <c r="GD85" s="9" t="n">
        <v>106.13</v>
      </c>
      <c r="GE85" s="9" t="n">
        <v>72.68000000000001</v>
      </c>
      <c r="GF85" s="9" t="n">
        <v>62.33</v>
      </c>
      <c r="GG85" s="9" t="n">
        <v>59.07</v>
      </c>
      <c r="GH85" s="9" t="n">
        <v>94.76000000000001</v>
      </c>
      <c r="GI85" s="9" t="n">
        <v>150.1</v>
      </c>
      <c r="GJ85" s="9" t="n">
        <v>131.67</v>
      </c>
      <c r="GK85" s="9" t="n">
        <v>87.72</v>
      </c>
      <c r="GL85" s="9" t="n">
        <v>47.33</v>
      </c>
      <c r="GM85" s="9" t="n">
        <v>25.7</v>
      </c>
      <c r="GN85" s="9" t="n">
        <v>54.3</v>
      </c>
      <c r="GO85" s="9" t="n">
        <v>56.8</v>
      </c>
      <c r="GP85" s="9" t="n">
        <v>39.73</v>
      </c>
      <c r="GQ85" s="9" t="n">
        <v>69.95</v>
      </c>
      <c r="GR85" s="9" t="n">
        <v>76.63</v>
      </c>
      <c r="GS85" s="9" t="n">
        <v>57</v>
      </c>
      <c r="GT85" s="9" t="n">
        <v>74.38</v>
      </c>
      <c r="GU85" s="9" t="n">
        <v>0.67</v>
      </c>
      <c r="GV85" s="9" t="n">
        <v>0.27</v>
      </c>
      <c r="GW85" s="9" t="n">
        <v>40</v>
      </c>
      <c r="GX85" s="9" t="n">
        <v>22.2</v>
      </c>
      <c r="GY85" s="9" t="n">
        <v>18.93</v>
      </c>
      <c r="GZ85" s="9" t="n">
        <v>85.29000000000001</v>
      </c>
      <c r="HA85" s="9" t="n">
        <v>7.7</v>
      </c>
      <c r="HB85" s="9" t="n">
        <v>16</v>
      </c>
      <c r="HC85" s="9" t="n">
        <v>3.99</v>
      </c>
      <c r="HD85" s="9" t="n">
        <v>11.86</v>
      </c>
      <c r="HE85" s="9" t="n">
        <v>18.42</v>
      </c>
      <c r="HF85" s="9" t="n">
        <v>20.26</v>
      </c>
      <c r="HG85" s="9" t="n">
        <v>9.6</v>
      </c>
    </row>
    <row r="86">
      <c r="A86" s="12" t="n">
        <v>2025</v>
      </c>
      <c r="B86" s="12" t="n">
        <v>40</v>
      </c>
      <c r="C86" s="5">
        <f>(B86-AVERAGE($B$2:$B$100))/_xlfn.STDEV.P($B$2:$B$100)</f>
        <v/>
      </c>
      <c r="D86" s="12" t="n">
        <v>5</v>
      </c>
      <c r="E86" s="6">
        <f>-D86</f>
        <v/>
      </c>
      <c r="F86" s="7">
        <f>(E86-AVERAGE($E$2:$E$100))/_xlfn.STDEV.P($E$2:$E$100)</f>
        <v/>
      </c>
      <c r="G86" s="7">
        <f>sum(0.5*C86)+(0.5*F86)</f>
        <v/>
      </c>
      <c r="H86" s="12" t="inlineStr">
        <is>
          <t>West</t>
        </is>
      </c>
      <c r="I86" s="8" t="inlineStr">
        <is>
          <t>Phoenix Rising</t>
        </is>
      </c>
      <c r="J86" s="9" t="n">
        <v>1.53</v>
      </c>
      <c r="K86" s="9" t="n">
        <v>1.2</v>
      </c>
      <c r="L86" s="9" t="n">
        <v>9.220000000000001</v>
      </c>
      <c r="M86" s="9" t="n">
        <v>3.34</v>
      </c>
      <c r="N86" s="9" t="n">
        <v>36.27</v>
      </c>
      <c r="O86" s="9" t="n">
        <v>399.69</v>
      </c>
      <c r="P86" s="9" t="n">
        <v>334.09</v>
      </c>
      <c r="Q86" s="9" t="n">
        <v>83.59</v>
      </c>
      <c r="R86" s="9" t="n">
        <v>51.35</v>
      </c>
      <c r="S86" s="9" t="n">
        <v>96.22</v>
      </c>
      <c r="T86" s="9" t="n">
        <v>19.03</v>
      </c>
      <c r="U86" s="9" t="n">
        <v>35.78</v>
      </c>
      <c r="V86" s="9" t="n">
        <v>41.41</v>
      </c>
      <c r="W86" s="9" t="n">
        <v>67.63</v>
      </c>
      <c r="X86" s="9" t="n">
        <v>33.13</v>
      </c>
      <c r="Y86" s="9" t="n">
        <v>26.03</v>
      </c>
      <c r="Z86" s="9" t="n">
        <v>8.470000000000001</v>
      </c>
      <c r="AA86" s="9" t="n">
        <v>174.72</v>
      </c>
      <c r="AB86" s="9" t="n">
        <v>86.28</v>
      </c>
      <c r="AC86" s="9" t="n">
        <v>49.38</v>
      </c>
      <c r="AD86" s="9" t="n">
        <v>3.41</v>
      </c>
      <c r="AE86" s="9" t="n">
        <v>0.9399999999999999</v>
      </c>
      <c r="AF86" s="9" t="n">
        <v>27.52</v>
      </c>
      <c r="AG86" s="9" t="n">
        <v>23.38</v>
      </c>
      <c r="AH86" s="9" t="n">
        <v>5.78</v>
      </c>
      <c r="AI86" s="9" t="n">
        <v>24.73</v>
      </c>
      <c r="AJ86" s="9" t="n">
        <v>0.63</v>
      </c>
      <c r="AK86" s="9" t="n">
        <v>0.31</v>
      </c>
      <c r="AL86" s="9" t="n">
        <v>50</v>
      </c>
      <c r="AM86" s="9" t="n">
        <v>27.06</v>
      </c>
      <c r="AN86" s="9" t="n">
        <v>2.66</v>
      </c>
      <c r="AO86" s="9" t="n">
        <v>9.82</v>
      </c>
      <c r="AP86" s="9" t="n">
        <v>3.78</v>
      </c>
      <c r="AQ86" s="9" t="n">
        <v>1.25</v>
      </c>
      <c r="AR86" s="9" t="n">
        <v>33.06</v>
      </c>
      <c r="AS86" s="9" t="n">
        <v>2.44</v>
      </c>
      <c r="AT86" s="9" t="n">
        <v>0.5</v>
      </c>
      <c r="AU86" s="9" t="n">
        <v>20.51</v>
      </c>
      <c r="AV86" s="9" t="n">
        <v>0.13</v>
      </c>
      <c r="AW86" s="9" t="n">
        <v>0.13</v>
      </c>
      <c r="AX86" s="9" t="n">
        <v>100</v>
      </c>
      <c r="AY86" s="9" t="n">
        <v>11.53</v>
      </c>
      <c r="AZ86" s="9" t="n">
        <v>3.44</v>
      </c>
      <c r="BA86" s="9" t="n">
        <v>29.81</v>
      </c>
      <c r="BB86" s="9" t="n">
        <v>3.31</v>
      </c>
      <c r="BC86" s="9" t="n">
        <v>6.25</v>
      </c>
      <c r="BD86" s="9" t="n">
        <v>21.03</v>
      </c>
      <c r="BE86" s="9" t="n">
        <v>3.59</v>
      </c>
      <c r="BF86" s="9" t="n">
        <v>6.38</v>
      </c>
      <c r="BG86" s="9" t="n">
        <v>14.5</v>
      </c>
      <c r="BH86" s="9" t="n">
        <v>63.13</v>
      </c>
      <c r="BI86" s="9" t="n">
        <v>25.38</v>
      </c>
      <c r="BJ86" s="9" t="n">
        <v>40.2</v>
      </c>
      <c r="BK86" s="9" t="n">
        <v>2.41</v>
      </c>
      <c r="BL86" s="9" t="n">
        <v>1.53</v>
      </c>
      <c r="BM86" s="9" t="n">
        <v>11.94</v>
      </c>
      <c r="BN86" s="9" t="n">
        <v>4</v>
      </c>
      <c r="BO86" s="9" t="n">
        <v>33.51</v>
      </c>
      <c r="BP86" s="9" t="n">
        <v>59.59</v>
      </c>
      <c r="BQ86" s="9" t="n">
        <v>35.38</v>
      </c>
      <c r="BR86" s="9" t="n">
        <v>59.36</v>
      </c>
      <c r="BS86" s="9" t="n">
        <v>30.63</v>
      </c>
      <c r="BT86" s="9" t="n">
        <v>16.72</v>
      </c>
      <c r="BU86" s="9" t="n">
        <v>54.59</v>
      </c>
      <c r="BV86" s="9" t="n">
        <v>2.16</v>
      </c>
      <c r="BW86" s="9" t="n">
        <v>1.03</v>
      </c>
      <c r="BX86" s="9" t="n">
        <v>47.83</v>
      </c>
      <c r="BY86" s="9" t="n">
        <v>35.16</v>
      </c>
      <c r="BZ86" s="9" t="n">
        <v>14.38</v>
      </c>
      <c r="CA86" s="9" t="n">
        <v>14.63</v>
      </c>
      <c r="CB86" s="9" t="n">
        <v>2.47</v>
      </c>
      <c r="CC86" s="9" t="n">
        <v>0.19</v>
      </c>
      <c r="CD86" s="9" t="n">
        <v>137.38</v>
      </c>
      <c r="CE86" s="9" t="n">
        <v>99.44</v>
      </c>
      <c r="CF86" s="9" t="n">
        <v>72.38</v>
      </c>
      <c r="CG86" s="9" t="n">
        <v>61.13</v>
      </c>
      <c r="CH86" s="9" t="n">
        <v>57.53</v>
      </c>
      <c r="CI86" s="9" t="n">
        <v>94.12</v>
      </c>
      <c r="CJ86" s="9" t="n">
        <v>145.5</v>
      </c>
      <c r="CK86" s="9" t="n">
        <v>131.06</v>
      </c>
      <c r="CL86" s="9" t="n">
        <v>90.08</v>
      </c>
      <c r="CM86" s="9" t="n">
        <v>41.44</v>
      </c>
      <c r="CN86" s="9" t="n">
        <v>20.25</v>
      </c>
      <c r="CO86" s="9" t="n">
        <v>48.87</v>
      </c>
      <c r="CP86" s="9" t="n">
        <v>48.59</v>
      </c>
      <c r="CQ86" s="9" t="n">
        <v>31.16</v>
      </c>
      <c r="CR86" s="9" t="n">
        <v>64.12</v>
      </c>
      <c r="CS86" s="9" t="n">
        <v>64.63</v>
      </c>
      <c r="CT86" s="9" t="n">
        <v>44.69</v>
      </c>
      <c r="CU86" s="9" t="n">
        <v>69.15000000000001</v>
      </c>
      <c r="CV86" s="9" t="n">
        <v>1.16</v>
      </c>
      <c r="CW86" s="9" t="n">
        <v>0.44</v>
      </c>
      <c r="CX86" s="9" t="n">
        <v>37.84</v>
      </c>
      <c r="CY86" s="9" t="n">
        <v>20.38</v>
      </c>
      <c r="CZ86" s="9" t="n">
        <v>17.75</v>
      </c>
      <c r="DA86" s="9" t="n">
        <v>87.12</v>
      </c>
      <c r="DB86" s="9" t="n">
        <v>8.970000000000001</v>
      </c>
      <c r="DC86" s="9" t="n">
        <v>15.71</v>
      </c>
      <c r="DD86" s="9" t="n">
        <v>4.07</v>
      </c>
      <c r="DE86" s="9" t="n">
        <v>10.97</v>
      </c>
      <c r="DF86" s="9" t="n">
        <v>17.56</v>
      </c>
      <c r="DG86" s="9" t="n">
        <v>20.16</v>
      </c>
      <c r="DH86" s="9" t="n">
        <v>10.59</v>
      </c>
      <c r="DI86" s="9" t="n">
        <v>1.53</v>
      </c>
      <c r="DJ86" s="9" t="n">
        <v>1.31</v>
      </c>
      <c r="DK86" s="9" t="n">
        <v>11.94</v>
      </c>
      <c r="DL86" s="9" t="n">
        <v>3.84</v>
      </c>
      <c r="DM86" s="9" t="n">
        <v>32.2</v>
      </c>
      <c r="DN86" s="9" t="n">
        <v>375.66</v>
      </c>
      <c r="DO86" s="9" t="n">
        <v>310.56</v>
      </c>
      <c r="DP86" s="9" t="n">
        <v>82.67</v>
      </c>
      <c r="DQ86" s="9" t="n">
        <v>48.65</v>
      </c>
      <c r="DR86" s="9" t="n">
        <v>96.53</v>
      </c>
      <c r="DS86" s="9" t="n">
        <v>16.13</v>
      </c>
      <c r="DT86" s="9" t="n">
        <v>33.22</v>
      </c>
      <c r="DU86" s="9" t="n">
        <v>47.19</v>
      </c>
      <c r="DV86" s="9" t="n">
        <v>68.44</v>
      </c>
      <c r="DW86" s="9" t="n">
        <v>30.41</v>
      </c>
      <c r="DX86" s="9" t="n">
        <v>27.34</v>
      </c>
      <c r="DY86" s="9" t="n">
        <v>10.69</v>
      </c>
      <c r="DZ86" s="9" t="n">
        <v>174.72</v>
      </c>
      <c r="EA86" s="9" t="n">
        <v>82.5</v>
      </c>
      <c r="EB86" s="9" t="n">
        <v>47.22</v>
      </c>
      <c r="EC86" s="9" t="n">
        <v>4.72</v>
      </c>
      <c r="ED86" s="9" t="n">
        <v>0.97</v>
      </c>
      <c r="EE86" s="9" t="n">
        <v>20.53</v>
      </c>
      <c r="EF86" s="9" t="n">
        <v>25.91</v>
      </c>
      <c r="EG86" s="9" t="n">
        <v>7.41</v>
      </c>
      <c r="EH86" s="9" t="n">
        <v>28.59</v>
      </c>
      <c r="EI86" s="9" t="n">
        <v>0.5</v>
      </c>
      <c r="EJ86" s="9" t="n">
        <v>0.22</v>
      </c>
      <c r="EK86" s="9" t="n">
        <v>43.75</v>
      </c>
      <c r="EL86" s="9" t="n">
        <v>29.13</v>
      </c>
      <c r="EM86" s="9" t="n">
        <v>3.81</v>
      </c>
      <c r="EN86" s="9" t="n">
        <v>13.09</v>
      </c>
      <c r="EO86" s="9" t="n">
        <v>5.53</v>
      </c>
      <c r="EP86" s="9" t="n">
        <v>1.78</v>
      </c>
      <c r="EQ86" s="9" t="n">
        <v>32.2</v>
      </c>
      <c r="ER86" s="9" t="n">
        <v>2.5</v>
      </c>
      <c r="ES86" s="9" t="n">
        <v>0.75</v>
      </c>
      <c r="ET86" s="9" t="n">
        <v>30</v>
      </c>
      <c r="EU86" s="9" t="n">
        <v>0.09</v>
      </c>
      <c r="EV86" s="9" t="n">
        <v>0.06</v>
      </c>
      <c r="EW86" s="9" t="n">
        <v>66.67</v>
      </c>
      <c r="EX86" s="9" t="n">
        <v>16.44</v>
      </c>
      <c r="EY86" s="9" t="n">
        <v>5.5</v>
      </c>
      <c r="EZ86" s="9" t="n">
        <v>33.46</v>
      </c>
      <c r="FA86" s="9" t="n">
        <v>5.53</v>
      </c>
      <c r="FB86" s="9" t="n">
        <v>6.72</v>
      </c>
      <c r="FC86" s="9" t="n">
        <v>23.97</v>
      </c>
      <c r="FD86" s="9" t="n">
        <v>3.63</v>
      </c>
      <c r="FE86" s="9" t="n">
        <v>10.09</v>
      </c>
      <c r="FF86" s="9" t="n">
        <v>17.69</v>
      </c>
      <c r="FG86" s="9" t="n">
        <v>59.56</v>
      </c>
      <c r="FH86" s="9" t="n">
        <v>24.19</v>
      </c>
      <c r="FI86" s="9" t="n">
        <v>40.61</v>
      </c>
      <c r="FJ86" s="9" t="n">
        <v>1.72</v>
      </c>
      <c r="FK86" s="9" t="n">
        <v>1.53</v>
      </c>
      <c r="FL86" s="9" t="n">
        <v>9.220000000000001</v>
      </c>
      <c r="FM86" s="9" t="n">
        <v>3.47</v>
      </c>
      <c r="FN86" s="9" t="n">
        <v>37.63</v>
      </c>
      <c r="FO86" s="9" t="n">
        <v>63.13</v>
      </c>
      <c r="FP86" s="9" t="n">
        <v>37.75</v>
      </c>
      <c r="FQ86" s="9" t="n">
        <v>59.8</v>
      </c>
      <c r="FR86" s="9" t="n">
        <v>30.66</v>
      </c>
      <c r="FS86" s="9" t="n">
        <v>11.69</v>
      </c>
      <c r="FT86" s="9" t="n">
        <v>38.12</v>
      </c>
      <c r="FU86" s="9" t="n">
        <v>2.81</v>
      </c>
      <c r="FV86" s="9" t="n">
        <v>1.34</v>
      </c>
      <c r="FW86" s="9" t="n">
        <v>47.78</v>
      </c>
      <c r="FX86" s="9" t="n">
        <v>31.91</v>
      </c>
      <c r="FY86" s="9" t="n">
        <v>13.22</v>
      </c>
      <c r="FZ86" s="9" t="n">
        <v>13.5</v>
      </c>
      <c r="GA86" s="9" t="n">
        <v>2.25</v>
      </c>
      <c r="GB86" s="9" t="n">
        <v>0.22</v>
      </c>
      <c r="GC86" s="9" t="n">
        <v>126.63</v>
      </c>
      <c r="GD86" s="9" t="n">
        <v>91.63</v>
      </c>
      <c r="GE86" s="9" t="n">
        <v>72.36</v>
      </c>
      <c r="GF86" s="9" t="n">
        <v>57.06</v>
      </c>
      <c r="GG86" s="9" t="n">
        <v>53.91</v>
      </c>
      <c r="GH86" s="9" t="n">
        <v>94.47</v>
      </c>
      <c r="GI86" s="9" t="n">
        <v>142.53</v>
      </c>
      <c r="GJ86" s="9" t="n">
        <v>125.5</v>
      </c>
      <c r="GK86" s="9" t="n">
        <v>88.05</v>
      </c>
      <c r="GL86" s="9" t="n">
        <v>44.22</v>
      </c>
      <c r="GM86" s="9" t="n">
        <v>23.63</v>
      </c>
      <c r="GN86" s="9" t="n">
        <v>53.43</v>
      </c>
      <c r="GO86" s="9" t="n">
        <v>50</v>
      </c>
      <c r="GP86" s="9" t="n">
        <v>33.34</v>
      </c>
      <c r="GQ86" s="9" t="n">
        <v>66.69</v>
      </c>
      <c r="GR86" s="9" t="n">
        <v>67.19</v>
      </c>
      <c r="GS86" s="9" t="n">
        <v>49.56</v>
      </c>
      <c r="GT86" s="9" t="n">
        <v>73.77</v>
      </c>
      <c r="GU86" s="9" t="n">
        <v>0.6899999999999999</v>
      </c>
      <c r="GV86" s="9" t="n">
        <v>0.25</v>
      </c>
      <c r="GW86" s="9" t="n">
        <v>36.36</v>
      </c>
      <c r="GX86" s="9" t="n">
        <v>19.19</v>
      </c>
      <c r="GY86" s="9" t="n">
        <v>17.25</v>
      </c>
      <c r="GZ86" s="9" t="n">
        <v>89.90000000000001</v>
      </c>
      <c r="HA86" s="9" t="n">
        <v>7.84</v>
      </c>
      <c r="HB86" s="9" t="n">
        <v>15.58</v>
      </c>
      <c r="HC86" s="9" t="n">
        <v>3.8</v>
      </c>
      <c r="HD86" s="9" t="n">
        <v>12.18</v>
      </c>
      <c r="HE86" s="9" t="n">
        <v>18.06</v>
      </c>
      <c r="HF86" s="9" t="n">
        <v>20.65</v>
      </c>
      <c r="HG86" s="9" t="n">
        <v>12.63</v>
      </c>
    </row>
    <row r="87">
      <c r="A87" s="12" t="n">
        <v>2025</v>
      </c>
      <c r="B87" s="12" t="n">
        <v>42</v>
      </c>
      <c r="C87" s="5">
        <f>(B87-AVERAGE($B$2:$B$100))/_xlfn.STDEV.P($B$2:$B$100)</f>
        <v/>
      </c>
      <c r="D87" s="12" t="n">
        <v>6</v>
      </c>
      <c r="E87" s="6">
        <f>-D87</f>
        <v/>
      </c>
      <c r="F87" s="7">
        <f>(E87-AVERAGE($E$2:$E$100))/_xlfn.STDEV.P($E$2:$E$100)</f>
        <v/>
      </c>
      <c r="G87" s="7">
        <f>sum(0.5*C87)+(0.5*F87)</f>
        <v/>
      </c>
      <c r="H87" s="12" t="inlineStr">
        <is>
          <t>East</t>
        </is>
      </c>
      <c r="I87" s="8" t="inlineStr">
        <is>
          <t>Loudoun United</t>
        </is>
      </c>
      <c r="J87" s="9" t="n">
        <v>1.45</v>
      </c>
      <c r="K87" s="9" t="n">
        <v>1.47</v>
      </c>
      <c r="L87" s="9" t="n">
        <v>12.42</v>
      </c>
      <c r="M87" s="9" t="n">
        <v>4.71</v>
      </c>
      <c r="N87" s="9" t="n">
        <v>37.92</v>
      </c>
      <c r="O87" s="9" t="n">
        <v>447.55</v>
      </c>
      <c r="P87" s="9" t="n">
        <v>374.29</v>
      </c>
      <c r="Q87" s="9" t="n">
        <v>83.63</v>
      </c>
      <c r="R87" s="9" t="n">
        <v>52.9</v>
      </c>
      <c r="S87" s="9" t="n">
        <v>106.65</v>
      </c>
      <c r="T87" s="9" t="n">
        <v>19.61</v>
      </c>
      <c r="U87" s="9" t="n">
        <v>35.58</v>
      </c>
      <c r="V87" s="9" t="n">
        <v>51.45</v>
      </c>
      <c r="W87" s="9" t="n">
        <v>75</v>
      </c>
      <c r="X87" s="9" t="n">
        <v>33.81</v>
      </c>
      <c r="Y87" s="9" t="n">
        <v>28.68</v>
      </c>
      <c r="Z87" s="9" t="n">
        <v>12.52</v>
      </c>
      <c r="AA87" s="9" t="n">
        <v>181.23</v>
      </c>
      <c r="AB87" s="9" t="n">
        <v>86</v>
      </c>
      <c r="AC87" s="9" t="n">
        <v>47.45</v>
      </c>
      <c r="AD87" s="9" t="n">
        <v>5.35</v>
      </c>
      <c r="AE87" s="9" t="n">
        <v>1.84</v>
      </c>
      <c r="AF87" s="9" t="n">
        <v>34.34</v>
      </c>
      <c r="AG87" s="9" t="n">
        <v>27.06</v>
      </c>
      <c r="AH87" s="9" t="n">
        <v>7.32</v>
      </c>
      <c r="AI87" s="9" t="n">
        <v>27.06</v>
      </c>
      <c r="AJ87" s="9" t="n">
        <v>0.55</v>
      </c>
      <c r="AK87" s="9" t="n">
        <v>0.35</v>
      </c>
      <c r="AL87" s="9" t="n">
        <v>64.70999999999999</v>
      </c>
      <c r="AM87" s="9" t="n">
        <v>28.16</v>
      </c>
      <c r="AN87" s="9" t="n">
        <v>4.03</v>
      </c>
      <c r="AO87" s="9" t="n">
        <v>14.32</v>
      </c>
      <c r="AP87" s="9" t="n">
        <v>5.84</v>
      </c>
      <c r="AQ87" s="9" t="n">
        <v>1.65</v>
      </c>
      <c r="AR87" s="9" t="n">
        <v>28.18</v>
      </c>
      <c r="AS87" s="9" t="n">
        <v>2.45</v>
      </c>
      <c r="AT87" s="9" t="n">
        <v>0.48</v>
      </c>
      <c r="AU87" s="9" t="n">
        <v>19.74</v>
      </c>
      <c r="AV87" s="9" t="n">
        <v>0.19</v>
      </c>
      <c r="AW87" s="9" t="n">
        <v>0.16</v>
      </c>
      <c r="AX87" s="9" t="n">
        <v>83.33</v>
      </c>
      <c r="AY87" s="9" t="n">
        <v>13.58</v>
      </c>
      <c r="AZ87" s="9" t="n">
        <v>4.81</v>
      </c>
      <c r="BA87" s="9" t="n">
        <v>35.39</v>
      </c>
      <c r="BB87" s="9" t="n">
        <v>4.35</v>
      </c>
      <c r="BC87" s="9" t="n">
        <v>8.550000000000001</v>
      </c>
      <c r="BD87" s="9" t="n">
        <v>26.52</v>
      </c>
      <c r="BE87" s="9" t="n">
        <v>3.35</v>
      </c>
      <c r="BF87" s="9" t="n">
        <v>8.449999999999999</v>
      </c>
      <c r="BG87" s="9" t="n">
        <v>18.29</v>
      </c>
      <c r="BH87" s="9" t="n">
        <v>58.71</v>
      </c>
      <c r="BI87" s="9" t="n">
        <v>21.06</v>
      </c>
      <c r="BJ87" s="9" t="n">
        <v>35.88</v>
      </c>
      <c r="BK87" s="9" t="n">
        <v>1.52</v>
      </c>
      <c r="BL87" s="9" t="n">
        <v>1.58</v>
      </c>
      <c r="BM87" s="9" t="n">
        <v>11.71</v>
      </c>
      <c r="BN87" s="9" t="n">
        <v>4.52</v>
      </c>
      <c r="BO87" s="9" t="n">
        <v>38.57</v>
      </c>
      <c r="BP87" s="9" t="n">
        <v>60.03</v>
      </c>
      <c r="BQ87" s="9" t="n">
        <v>36.94</v>
      </c>
      <c r="BR87" s="9" t="n">
        <v>61.53</v>
      </c>
      <c r="BS87" s="9" t="n">
        <v>38.42</v>
      </c>
      <c r="BT87" s="9" t="n">
        <v>17.77</v>
      </c>
      <c r="BU87" s="9" t="n">
        <v>46.26</v>
      </c>
      <c r="BV87" s="9" t="n">
        <v>1.97</v>
      </c>
      <c r="BW87" s="9" t="n">
        <v>1.1</v>
      </c>
      <c r="BX87" s="9" t="n">
        <v>55.74</v>
      </c>
      <c r="BY87" s="9" t="n">
        <v>34.55</v>
      </c>
      <c r="BZ87" s="9" t="n">
        <v>12.03</v>
      </c>
      <c r="CA87" s="9" t="n">
        <v>12.81</v>
      </c>
      <c r="CB87" s="9" t="n">
        <v>2.55</v>
      </c>
      <c r="CC87" s="9" t="n">
        <v>0.16</v>
      </c>
      <c r="CD87" s="9" t="n">
        <v>154.23</v>
      </c>
      <c r="CE87" s="9" t="n">
        <v>112.87</v>
      </c>
      <c r="CF87" s="9" t="n">
        <v>73.19</v>
      </c>
      <c r="CG87" s="9" t="n">
        <v>69.39</v>
      </c>
      <c r="CH87" s="9" t="n">
        <v>65.31999999999999</v>
      </c>
      <c r="CI87" s="9" t="n">
        <v>94.14</v>
      </c>
      <c r="CJ87" s="9" t="n">
        <v>158.68</v>
      </c>
      <c r="CK87" s="9" t="n">
        <v>141.81</v>
      </c>
      <c r="CL87" s="9" t="n">
        <v>89.37</v>
      </c>
      <c r="CM87" s="9" t="n">
        <v>48.61</v>
      </c>
      <c r="CN87" s="9" t="n">
        <v>26.55</v>
      </c>
      <c r="CO87" s="9" t="n">
        <v>54.61</v>
      </c>
      <c r="CP87" s="9" t="n">
        <v>59.1</v>
      </c>
      <c r="CQ87" s="9" t="n">
        <v>40.52</v>
      </c>
      <c r="CR87" s="9" t="n">
        <v>68.56</v>
      </c>
      <c r="CS87" s="9" t="n">
        <v>78.70999999999999</v>
      </c>
      <c r="CT87" s="9" t="n">
        <v>56.97</v>
      </c>
      <c r="CU87" s="9" t="n">
        <v>72.38</v>
      </c>
      <c r="CV87" s="9" t="n">
        <v>0.9</v>
      </c>
      <c r="CW87" s="9" t="n">
        <v>0.35</v>
      </c>
      <c r="CX87" s="9" t="n">
        <v>39.29</v>
      </c>
      <c r="CY87" s="9" t="n">
        <v>18.68</v>
      </c>
      <c r="CZ87" s="9" t="n">
        <v>17.19</v>
      </c>
      <c r="DA87" s="9" t="n">
        <v>92.06</v>
      </c>
      <c r="DB87" s="9" t="n">
        <v>7.84</v>
      </c>
      <c r="DC87" s="9" t="n">
        <v>17.19</v>
      </c>
      <c r="DD87" s="9" t="n">
        <v>4.52</v>
      </c>
      <c r="DE87" s="9" t="n">
        <v>11.31</v>
      </c>
      <c r="DF87" s="9" t="n">
        <v>18.43</v>
      </c>
      <c r="DG87" s="9" t="n">
        <v>19.48</v>
      </c>
      <c r="DH87" s="9" t="n">
        <v>10.28</v>
      </c>
      <c r="DI87" s="9" t="n">
        <v>1.58</v>
      </c>
      <c r="DJ87" s="9" t="n">
        <v>1.61</v>
      </c>
      <c r="DK87" s="9" t="n">
        <v>11.71</v>
      </c>
      <c r="DL87" s="9" t="n">
        <v>4.29</v>
      </c>
      <c r="DM87" s="9" t="n">
        <v>36.64</v>
      </c>
      <c r="DN87" s="9" t="n">
        <v>368.06</v>
      </c>
      <c r="DO87" s="9" t="n">
        <v>300.55</v>
      </c>
      <c r="DP87" s="9" t="n">
        <v>81.66</v>
      </c>
      <c r="DQ87" s="9" t="n">
        <v>47.1</v>
      </c>
      <c r="DR87" s="9" t="n">
        <v>102.35</v>
      </c>
      <c r="DS87" s="9" t="n">
        <v>22.13</v>
      </c>
      <c r="DT87" s="9" t="n">
        <v>34.74</v>
      </c>
      <c r="DU87" s="9" t="n">
        <v>45.48</v>
      </c>
      <c r="DV87" s="9" t="n">
        <v>73.65000000000001</v>
      </c>
      <c r="DW87" s="9" t="n">
        <v>35.48</v>
      </c>
      <c r="DX87" s="9" t="n">
        <v>26.87</v>
      </c>
      <c r="DY87" s="9" t="n">
        <v>11.29</v>
      </c>
      <c r="DZ87" s="9" t="n">
        <v>181.23</v>
      </c>
      <c r="EA87" s="9" t="n">
        <v>87.34999999999999</v>
      </c>
      <c r="EB87" s="9" t="n">
        <v>48.2</v>
      </c>
      <c r="EC87" s="9" t="n">
        <v>4.26</v>
      </c>
      <c r="ED87" s="9" t="n">
        <v>1.23</v>
      </c>
      <c r="EE87" s="9" t="n">
        <v>28.79</v>
      </c>
      <c r="EF87" s="9" t="n">
        <v>24.84</v>
      </c>
      <c r="EG87" s="9" t="n">
        <v>7.32</v>
      </c>
      <c r="EH87" s="9" t="n">
        <v>29.48</v>
      </c>
      <c r="EI87" s="9" t="n">
        <v>1.13</v>
      </c>
      <c r="EJ87" s="9" t="n">
        <v>0.68</v>
      </c>
      <c r="EK87" s="9" t="n">
        <v>60</v>
      </c>
      <c r="EL87" s="9" t="n">
        <v>24.68</v>
      </c>
      <c r="EM87" s="9" t="n">
        <v>2.9</v>
      </c>
      <c r="EN87" s="9" t="n">
        <v>11.76</v>
      </c>
      <c r="EO87" s="9" t="n">
        <v>3.68</v>
      </c>
      <c r="EP87" s="9" t="n">
        <v>0.87</v>
      </c>
      <c r="EQ87" s="9" t="n">
        <v>23.68</v>
      </c>
      <c r="ER87" s="9" t="n">
        <v>2.42</v>
      </c>
      <c r="ES87" s="9" t="n">
        <v>0.71</v>
      </c>
      <c r="ET87" s="9" t="n">
        <v>29.33</v>
      </c>
      <c r="EU87" s="9" t="n">
        <v>0.26</v>
      </c>
      <c r="EV87" s="9" t="n">
        <v>0.16</v>
      </c>
      <c r="EW87" s="9" t="n">
        <v>62.5</v>
      </c>
      <c r="EX87" s="9" t="n">
        <v>14.52</v>
      </c>
      <c r="EY87" s="9" t="n">
        <v>4.97</v>
      </c>
      <c r="EZ87" s="9" t="n">
        <v>34.22</v>
      </c>
      <c r="FA87" s="9" t="n">
        <v>4.94</v>
      </c>
      <c r="FB87" s="9" t="n">
        <v>6.19</v>
      </c>
      <c r="FC87" s="9" t="n">
        <v>22.94</v>
      </c>
      <c r="FD87" s="9" t="n">
        <v>3.81</v>
      </c>
      <c r="FE87" s="9" t="n">
        <v>9.130000000000001</v>
      </c>
      <c r="FF87" s="9" t="n">
        <v>17.06</v>
      </c>
      <c r="FG87" s="9" t="n">
        <v>60.03</v>
      </c>
      <c r="FH87" s="9" t="n">
        <v>23.1</v>
      </c>
      <c r="FI87" s="9" t="n">
        <v>38.47</v>
      </c>
      <c r="FJ87" s="9" t="n">
        <v>1.35</v>
      </c>
      <c r="FK87" s="9" t="n">
        <v>1.45</v>
      </c>
      <c r="FL87" s="9" t="n">
        <v>12.42</v>
      </c>
      <c r="FM87" s="9" t="n">
        <v>4.94</v>
      </c>
      <c r="FN87" s="9" t="n">
        <v>39.74</v>
      </c>
      <c r="FO87" s="9" t="n">
        <v>58.71</v>
      </c>
      <c r="FP87" s="9" t="n">
        <v>37.65</v>
      </c>
      <c r="FQ87" s="9" t="n">
        <v>64.12</v>
      </c>
      <c r="FR87" s="9" t="n">
        <v>38.42</v>
      </c>
      <c r="FS87" s="9" t="n">
        <v>17.32</v>
      </c>
      <c r="FT87" s="9" t="n">
        <v>45.09</v>
      </c>
      <c r="FU87" s="9" t="n">
        <v>2.23</v>
      </c>
      <c r="FV87" s="9" t="n">
        <v>1.06</v>
      </c>
      <c r="FW87" s="9" t="n">
        <v>47.83</v>
      </c>
      <c r="FX87" s="9" t="n">
        <v>39.65</v>
      </c>
      <c r="FY87" s="9" t="n">
        <v>13.68</v>
      </c>
      <c r="FZ87" s="9" t="n">
        <v>13.97</v>
      </c>
      <c r="GA87" s="9" t="n">
        <v>3</v>
      </c>
      <c r="GB87" s="9" t="n">
        <v>0.23</v>
      </c>
      <c r="GC87" s="9" t="n">
        <v>127.29</v>
      </c>
      <c r="GD87" s="9" t="n">
        <v>89.65000000000001</v>
      </c>
      <c r="GE87" s="9" t="n">
        <v>70.43000000000001</v>
      </c>
      <c r="GF87" s="9" t="n">
        <v>58.1</v>
      </c>
      <c r="GG87" s="9" t="n">
        <v>54.1</v>
      </c>
      <c r="GH87" s="9" t="n">
        <v>93.11</v>
      </c>
      <c r="GI87" s="9" t="n">
        <v>135.35</v>
      </c>
      <c r="GJ87" s="9" t="n">
        <v>119.48</v>
      </c>
      <c r="GK87" s="9" t="n">
        <v>88.27</v>
      </c>
      <c r="GL87" s="9" t="n">
        <v>47.81</v>
      </c>
      <c r="GM87" s="9" t="n">
        <v>25.84</v>
      </c>
      <c r="GN87" s="9" t="n">
        <v>54.05</v>
      </c>
      <c r="GO87" s="9" t="n">
        <v>47.19</v>
      </c>
      <c r="GP87" s="9" t="n">
        <v>31.48</v>
      </c>
      <c r="GQ87" s="9" t="n">
        <v>66.70999999999999</v>
      </c>
      <c r="GR87" s="9" t="n">
        <v>68.58</v>
      </c>
      <c r="GS87" s="9" t="n">
        <v>46.81</v>
      </c>
      <c r="GT87" s="9" t="n">
        <v>68.25</v>
      </c>
      <c r="GU87" s="9" t="n">
        <v>0.19</v>
      </c>
      <c r="GV87" s="9" t="n">
        <v>0.06</v>
      </c>
      <c r="GW87" s="9" t="n">
        <v>33.33</v>
      </c>
      <c r="GX87" s="9" t="n">
        <v>18.13</v>
      </c>
      <c r="GY87" s="9" t="n">
        <v>15.48</v>
      </c>
      <c r="GZ87" s="9" t="n">
        <v>85.41</v>
      </c>
      <c r="HA87" s="9" t="n">
        <v>7.94</v>
      </c>
      <c r="HB87" s="9" t="n">
        <v>15.73</v>
      </c>
      <c r="HC87" s="9" t="n">
        <v>3.84</v>
      </c>
      <c r="HD87" s="9" t="n">
        <v>13.93</v>
      </c>
      <c r="HE87" s="9" t="n">
        <v>17.32</v>
      </c>
      <c r="HF87" s="9" t="n">
        <v>20.72</v>
      </c>
      <c r="HG87" s="9" t="n">
        <v>11.94</v>
      </c>
    </row>
    <row r="88">
      <c r="A88" s="12" t="n">
        <v>2025</v>
      </c>
      <c r="B88" s="12" t="n">
        <v>40</v>
      </c>
      <c r="C88" s="5">
        <f>(B88-AVERAGE($B$2:$B$100))/_xlfn.STDEV.P($B$2:$B$100)</f>
        <v/>
      </c>
      <c r="D88" s="12" t="n">
        <v>6</v>
      </c>
      <c r="E88" s="6">
        <f>-D88</f>
        <v/>
      </c>
      <c r="F88" s="7">
        <f>(E88-AVERAGE($E$2:$E$100))/_xlfn.STDEV.P($E$2:$E$100)</f>
        <v/>
      </c>
      <c r="G88" s="7">
        <f>sum(0.5*C88)+(0.5*F88)</f>
        <v/>
      </c>
      <c r="H88" s="12" t="inlineStr">
        <is>
          <t>West</t>
        </is>
      </c>
      <c r="I88" s="8" t="inlineStr">
        <is>
          <t>San Antonio</t>
        </is>
      </c>
      <c r="J88" s="9" t="n">
        <v>1.26</v>
      </c>
      <c r="K88" s="9" t="n">
        <v>1.22</v>
      </c>
      <c r="L88" s="9" t="n">
        <v>10.61</v>
      </c>
      <c r="M88" s="9" t="n">
        <v>3.77</v>
      </c>
      <c r="N88" s="9" t="n">
        <v>35.56</v>
      </c>
      <c r="O88" s="9" t="n">
        <v>385.29</v>
      </c>
      <c r="P88" s="9" t="n">
        <v>319.81</v>
      </c>
      <c r="Q88" s="9" t="n">
        <v>83</v>
      </c>
      <c r="R88" s="9" t="n">
        <v>53.33</v>
      </c>
      <c r="S88" s="9" t="n">
        <v>94.34999999999999</v>
      </c>
      <c r="T88" s="9" t="n">
        <v>16.68</v>
      </c>
      <c r="U88" s="9" t="n">
        <v>33.68</v>
      </c>
      <c r="V88" s="9" t="n">
        <v>44</v>
      </c>
      <c r="W88" s="9" t="n">
        <v>66.87</v>
      </c>
      <c r="X88" s="9" t="n">
        <v>30.55</v>
      </c>
      <c r="Y88" s="9" t="n">
        <v>26.58</v>
      </c>
      <c r="Z88" s="9" t="n">
        <v>9.74</v>
      </c>
      <c r="AA88" s="9" t="n">
        <v>162.77</v>
      </c>
      <c r="AB88" s="9" t="n">
        <v>78.68000000000001</v>
      </c>
      <c r="AC88" s="9" t="n">
        <v>48.34</v>
      </c>
      <c r="AD88" s="9" t="n">
        <v>4.87</v>
      </c>
      <c r="AE88" s="9" t="n">
        <v>1.13</v>
      </c>
      <c r="AF88" s="9" t="n">
        <v>23.18</v>
      </c>
      <c r="AG88" s="9" t="n">
        <v>22.94</v>
      </c>
      <c r="AH88" s="9" t="n">
        <v>5.58</v>
      </c>
      <c r="AI88" s="9" t="n">
        <v>24.33</v>
      </c>
      <c r="AJ88" s="9" t="n">
        <v>0.35</v>
      </c>
      <c r="AK88" s="9" t="n">
        <v>0.26</v>
      </c>
      <c r="AL88" s="9" t="n">
        <v>72.73</v>
      </c>
      <c r="AM88" s="9" t="n">
        <v>28.32</v>
      </c>
      <c r="AN88" s="9" t="n">
        <v>4</v>
      </c>
      <c r="AO88" s="9" t="n">
        <v>14.12</v>
      </c>
      <c r="AP88" s="9" t="n">
        <v>4.1</v>
      </c>
      <c r="AQ88" s="9" t="n">
        <v>1.39</v>
      </c>
      <c r="AR88" s="9" t="n">
        <v>33.86</v>
      </c>
      <c r="AS88" s="9" t="n">
        <v>2.77</v>
      </c>
      <c r="AT88" s="9" t="n">
        <v>0.84</v>
      </c>
      <c r="AU88" s="9" t="n">
        <v>30.23</v>
      </c>
      <c r="AV88" s="9" t="n">
        <v>0.23</v>
      </c>
      <c r="AW88" s="9" t="n">
        <v>0.23</v>
      </c>
      <c r="AX88" s="9" t="n">
        <v>100</v>
      </c>
      <c r="AY88" s="9" t="n">
        <v>14</v>
      </c>
      <c r="AZ88" s="9" t="n">
        <v>4.97</v>
      </c>
      <c r="BA88" s="9" t="n">
        <v>35.48</v>
      </c>
      <c r="BB88" s="9" t="n">
        <v>4.87</v>
      </c>
      <c r="BC88" s="9" t="n">
        <v>5.29</v>
      </c>
      <c r="BD88" s="9" t="n">
        <v>21.19</v>
      </c>
      <c r="BE88" s="9" t="n">
        <v>2.77</v>
      </c>
      <c r="BF88" s="9" t="n">
        <v>9</v>
      </c>
      <c r="BG88" s="9" t="n">
        <v>14</v>
      </c>
      <c r="BH88" s="9" t="n">
        <v>55.58</v>
      </c>
      <c r="BI88" s="9" t="n">
        <v>23.61</v>
      </c>
      <c r="BJ88" s="9" t="n">
        <v>42.48</v>
      </c>
      <c r="BK88" s="9" t="n">
        <v>1.23</v>
      </c>
      <c r="BL88" s="9" t="n">
        <v>1.29</v>
      </c>
      <c r="BM88" s="9" t="n">
        <v>9.84</v>
      </c>
      <c r="BN88" s="9" t="n">
        <v>3.77</v>
      </c>
      <c r="BO88" s="9" t="n">
        <v>38.36</v>
      </c>
      <c r="BP88" s="9" t="n">
        <v>56.45</v>
      </c>
      <c r="BQ88" s="9" t="n">
        <v>31.94</v>
      </c>
      <c r="BR88" s="9" t="n">
        <v>56.57</v>
      </c>
      <c r="BS88" s="9" t="n">
        <v>28.45</v>
      </c>
      <c r="BT88" s="9" t="n">
        <v>13.35</v>
      </c>
      <c r="BU88" s="9" t="n">
        <v>46.94</v>
      </c>
      <c r="BV88" s="9" t="n">
        <v>4</v>
      </c>
      <c r="BW88" s="9" t="n">
        <v>1.65</v>
      </c>
      <c r="BX88" s="9" t="n">
        <v>41.13</v>
      </c>
      <c r="BY88" s="9" t="n">
        <v>32.32</v>
      </c>
      <c r="BZ88" s="9" t="n">
        <v>11.87</v>
      </c>
      <c r="CA88" s="9" t="n">
        <v>15.87</v>
      </c>
      <c r="CB88" s="9" t="n">
        <v>3.03</v>
      </c>
      <c r="CC88" s="9" t="n">
        <v>0.16</v>
      </c>
      <c r="CD88" s="9" t="n">
        <v>130.58</v>
      </c>
      <c r="CE88" s="9" t="n">
        <v>93.70999999999999</v>
      </c>
      <c r="CF88" s="9" t="n">
        <v>71.76000000000001</v>
      </c>
      <c r="CG88" s="9" t="n">
        <v>58.32</v>
      </c>
      <c r="CH88" s="9" t="n">
        <v>55</v>
      </c>
      <c r="CI88" s="9" t="n">
        <v>94.3</v>
      </c>
      <c r="CJ88" s="9" t="n">
        <v>151.32</v>
      </c>
      <c r="CK88" s="9" t="n">
        <v>135.35</v>
      </c>
      <c r="CL88" s="9" t="n">
        <v>89.45</v>
      </c>
      <c r="CM88" s="9" t="n">
        <v>49.74</v>
      </c>
      <c r="CN88" s="9" t="n">
        <v>27.03</v>
      </c>
      <c r="CO88" s="9" t="n">
        <v>54.35</v>
      </c>
      <c r="CP88" s="9" t="n">
        <v>46.55</v>
      </c>
      <c r="CQ88" s="9" t="n">
        <v>28.97</v>
      </c>
      <c r="CR88" s="9" t="n">
        <v>62.23</v>
      </c>
      <c r="CS88" s="9" t="n">
        <v>67.68000000000001</v>
      </c>
      <c r="CT88" s="9" t="n">
        <v>48.74</v>
      </c>
      <c r="CU88" s="9" t="n">
        <v>72.02</v>
      </c>
      <c r="CV88" s="9" t="n">
        <v>0.45</v>
      </c>
      <c r="CW88" s="9" t="n">
        <v>0.1</v>
      </c>
      <c r="CX88" s="9" t="n">
        <v>21.43</v>
      </c>
      <c r="CY88" s="9" t="n">
        <v>19</v>
      </c>
      <c r="CZ88" s="9" t="n">
        <v>17.58</v>
      </c>
      <c r="DA88" s="9" t="n">
        <v>92.53</v>
      </c>
      <c r="DB88" s="9" t="n">
        <v>7.42</v>
      </c>
      <c r="DC88" s="9" t="n">
        <v>15.2</v>
      </c>
      <c r="DD88" s="9" t="n">
        <v>4.02</v>
      </c>
      <c r="DE88" s="9" t="n">
        <v>13.37</v>
      </c>
      <c r="DF88" s="9" t="n">
        <v>19.66</v>
      </c>
      <c r="DG88" s="9" t="n">
        <v>21.38</v>
      </c>
      <c r="DH88" s="9" t="n">
        <v>8.66</v>
      </c>
      <c r="DI88" s="9" t="n">
        <v>1.29</v>
      </c>
      <c r="DJ88" s="9" t="n">
        <v>1.24</v>
      </c>
      <c r="DK88" s="9" t="n">
        <v>9.84</v>
      </c>
      <c r="DL88" s="9" t="n">
        <v>3.55</v>
      </c>
      <c r="DM88" s="9" t="n">
        <v>36.07</v>
      </c>
      <c r="DN88" s="9" t="n">
        <v>344.42</v>
      </c>
      <c r="DO88" s="9" t="n">
        <v>281.06</v>
      </c>
      <c r="DP88" s="9" t="n">
        <v>81.61</v>
      </c>
      <c r="DQ88" s="9" t="n">
        <v>46.67</v>
      </c>
      <c r="DR88" s="9" t="n">
        <v>90.48</v>
      </c>
      <c r="DS88" s="9" t="n">
        <v>17.23</v>
      </c>
      <c r="DT88" s="9" t="n">
        <v>32.94</v>
      </c>
      <c r="DU88" s="9" t="n">
        <v>40.32</v>
      </c>
      <c r="DV88" s="9" t="n">
        <v>67.26000000000001</v>
      </c>
      <c r="DW88" s="9" t="n">
        <v>30.26</v>
      </c>
      <c r="DX88" s="9" t="n">
        <v>26.39</v>
      </c>
      <c r="DY88" s="9" t="n">
        <v>10.61</v>
      </c>
      <c r="DZ88" s="9" t="n">
        <v>162.77</v>
      </c>
      <c r="EA88" s="9" t="n">
        <v>77.65000000000001</v>
      </c>
      <c r="EB88" s="9" t="n">
        <v>47.7</v>
      </c>
      <c r="EC88" s="9" t="n">
        <v>4.42</v>
      </c>
      <c r="ED88" s="9" t="n">
        <v>1.32</v>
      </c>
      <c r="EE88" s="9" t="n">
        <v>29.93</v>
      </c>
      <c r="EF88" s="9" t="n">
        <v>22.77</v>
      </c>
      <c r="EG88" s="9" t="n">
        <v>6.19</v>
      </c>
      <c r="EH88" s="9" t="n">
        <v>27.2</v>
      </c>
      <c r="EI88" s="9" t="n">
        <v>0.77</v>
      </c>
      <c r="EJ88" s="9" t="n">
        <v>0.32</v>
      </c>
      <c r="EK88" s="9" t="n">
        <v>41.67</v>
      </c>
      <c r="EL88" s="9" t="n">
        <v>27.35</v>
      </c>
      <c r="EM88" s="9" t="n">
        <v>2.81</v>
      </c>
      <c r="EN88" s="9" t="n">
        <v>10.26</v>
      </c>
      <c r="EO88" s="9" t="n">
        <v>3.58</v>
      </c>
      <c r="EP88" s="9" t="n">
        <v>1.16</v>
      </c>
      <c r="EQ88" s="9" t="n">
        <v>32.43</v>
      </c>
      <c r="ER88" s="9" t="n">
        <v>2.61</v>
      </c>
      <c r="ES88" s="9" t="n">
        <v>0.45</v>
      </c>
      <c r="ET88" s="9" t="n">
        <v>17.28</v>
      </c>
      <c r="EU88" s="9" t="n">
        <v>0.16</v>
      </c>
      <c r="EV88" s="9" t="n">
        <v>0.16</v>
      </c>
      <c r="EW88" s="9" t="n">
        <v>100</v>
      </c>
      <c r="EX88" s="9" t="n">
        <v>11.42</v>
      </c>
      <c r="EY88" s="9" t="n">
        <v>3.45</v>
      </c>
      <c r="EZ88" s="9" t="n">
        <v>30.23</v>
      </c>
      <c r="FA88" s="9" t="n">
        <v>3.32</v>
      </c>
      <c r="FB88" s="9" t="n">
        <v>5.32</v>
      </c>
      <c r="FC88" s="9" t="n">
        <v>19.39</v>
      </c>
      <c r="FD88" s="9" t="n">
        <v>3.52</v>
      </c>
      <c r="FE88" s="9" t="n">
        <v>6.32</v>
      </c>
      <c r="FF88" s="9" t="n">
        <v>13.97</v>
      </c>
      <c r="FG88" s="9" t="n">
        <v>56.45</v>
      </c>
      <c r="FH88" s="9" t="n">
        <v>24.52</v>
      </c>
      <c r="FI88" s="9" t="n">
        <v>43.43</v>
      </c>
      <c r="FJ88" s="9" t="n">
        <v>2.39</v>
      </c>
      <c r="FK88" s="9" t="n">
        <v>1.26</v>
      </c>
      <c r="FL88" s="9" t="n">
        <v>10.61</v>
      </c>
      <c r="FM88" s="9" t="n">
        <v>3.84</v>
      </c>
      <c r="FN88" s="9" t="n">
        <v>36.17</v>
      </c>
      <c r="FO88" s="9" t="n">
        <v>55.55</v>
      </c>
      <c r="FP88" s="9" t="n">
        <v>31.94</v>
      </c>
      <c r="FQ88" s="9" t="n">
        <v>57.49</v>
      </c>
      <c r="FR88" s="9" t="n">
        <v>28.48</v>
      </c>
      <c r="FS88" s="9" t="n">
        <v>12.39</v>
      </c>
      <c r="FT88" s="9" t="n">
        <v>43.49</v>
      </c>
      <c r="FU88" s="9" t="n">
        <v>2.42</v>
      </c>
      <c r="FV88" s="9" t="n">
        <v>1.19</v>
      </c>
      <c r="FW88" s="9" t="n">
        <v>49.33</v>
      </c>
      <c r="FX88" s="9" t="n">
        <v>34.52</v>
      </c>
      <c r="FY88" s="9" t="n">
        <v>12.94</v>
      </c>
      <c r="FZ88" s="9" t="n">
        <v>15.32</v>
      </c>
      <c r="GA88" s="9" t="n">
        <v>3.1</v>
      </c>
      <c r="GB88" s="9" t="n">
        <v>0.16</v>
      </c>
      <c r="GC88" s="9" t="n">
        <v>117.94</v>
      </c>
      <c r="GD88" s="9" t="n">
        <v>83.09999999999999</v>
      </c>
      <c r="GE88" s="9" t="n">
        <v>70.45999999999999</v>
      </c>
      <c r="GF88" s="9" t="n">
        <v>53.1</v>
      </c>
      <c r="GG88" s="9" t="n">
        <v>49.35</v>
      </c>
      <c r="GH88" s="9" t="n">
        <v>92.95</v>
      </c>
      <c r="GI88" s="9" t="n">
        <v>124.48</v>
      </c>
      <c r="GJ88" s="9" t="n">
        <v>109.87</v>
      </c>
      <c r="GK88" s="9" t="n">
        <v>88.26000000000001</v>
      </c>
      <c r="GL88" s="9" t="n">
        <v>40.87</v>
      </c>
      <c r="GM88" s="9" t="n">
        <v>20.45</v>
      </c>
      <c r="GN88" s="9" t="n">
        <v>50.04</v>
      </c>
      <c r="GO88" s="9" t="n">
        <v>43.71</v>
      </c>
      <c r="GP88" s="9" t="n">
        <v>27.58</v>
      </c>
      <c r="GQ88" s="9" t="n">
        <v>63.1</v>
      </c>
      <c r="GR88" s="9" t="n">
        <v>57.81</v>
      </c>
      <c r="GS88" s="9" t="n">
        <v>39.06</v>
      </c>
      <c r="GT88" s="9" t="n">
        <v>67.58</v>
      </c>
      <c r="GU88" s="9" t="n">
        <v>1.23</v>
      </c>
      <c r="GV88" s="9" t="n">
        <v>0.35</v>
      </c>
      <c r="GW88" s="9" t="n">
        <v>28.95</v>
      </c>
      <c r="GX88" s="9" t="n">
        <v>18.19</v>
      </c>
      <c r="GY88" s="9" t="n">
        <v>15.48</v>
      </c>
      <c r="GZ88" s="9" t="n">
        <v>85.11</v>
      </c>
      <c r="HA88" s="9" t="n">
        <v>8</v>
      </c>
      <c r="HB88" s="9" t="n">
        <v>15.7</v>
      </c>
      <c r="HC88" s="9" t="n">
        <v>3.64</v>
      </c>
      <c r="HD88" s="9" t="n">
        <v>12.22</v>
      </c>
      <c r="HE88" s="9" t="n">
        <v>18.87</v>
      </c>
      <c r="HF88" s="9" t="n">
        <v>20.27</v>
      </c>
      <c r="HG88" s="9" t="n">
        <v>11.17</v>
      </c>
    </row>
    <row r="89">
      <c r="A89" s="12" t="n">
        <v>2025</v>
      </c>
      <c r="B89" s="12" t="n">
        <v>39</v>
      </c>
      <c r="C89" s="5">
        <f>(B89-AVERAGE($B$2:$B$100))/_xlfn.STDEV.P($B$2:$B$100)</f>
        <v/>
      </c>
      <c r="D89" s="12" t="n">
        <v>7</v>
      </c>
      <c r="E89" s="6">
        <f>-D89</f>
        <v/>
      </c>
      <c r="F89" s="7">
        <f>(E89-AVERAGE($E$2:$E$100))/_xlfn.STDEV.P($E$2:$E$100)</f>
        <v/>
      </c>
      <c r="G89" s="7">
        <f>sum(0.5*C89)+(0.5*F89)</f>
        <v/>
      </c>
      <c r="H89" s="12" t="inlineStr">
        <is>
          <t>West</t>
        </is>
      </c>
      <c r="I89" s="8" t="inlineStr">
        <is>
          <t>Orange County SC</t>
        </is>
      </c>
      <c r="J89" s="9" t="n">
        <v>1.41</v>
      </c>
      <c r="K89" s="9" t="n">
        <v>1.28</v>
      </c>
      <c r="L89" s="9" t="n">
        <v>10.75</v>
      </c>
      <c r="M89" s="9" t="n">
        <v>3.72</v>
      </c>
      <c r="N89" s="9" t="n">
        <v>34.59</v>
      </c>
      <c r="O89" s="9" t="n">
        <v>394.28</v>
      </c>
      <c r="P89" s="9" t="n">
        <v>331.53</v>
      </c>
      <c r="Q89" s="9" t="n">
        <v>84.08</v>
      </c>
      <c r="R89" s="9" t="n">
        <v>49.45</v>
      </c>
      <c r="S89" s="9" t="n">
        <v>96.19</v>
      </c>
      <c r="T89" s="9" t="n">
        <v>19.25</v>
      </c>
      <c r="U89" s="9" t="n">
        <v>33.63</v>
      </c>
      <c r="V89" s="9" t="n">
        <v>43.31</v>
      </c>
      <c r="W89" s="9" t="n">
        <v>67.16</v>
      </c>
      <c r="X89" s="9" t="n">
        <v>32.72</v>
      </c>
      <c r="Y89" s="9" t="n">
        <v>25.16</v>
      </c>
      <c r="Z89" s="9" t="n">
        <v>9.279999999999999</v>
      </c>
      <c r="AA89" s="9" t="n">
        <v>171.25</v>
      </c>
      <c r="AB89" s="9" t="n">
        <v>82.75</v>
      </c>
      <c r="AC89" s="9" t="n">
        <v>48.32</v>
      </c>
      <c r="AD89" s="9" t="n">
        <v>4.53</v>
      </c>
      <c r="AE89" s="9" t="n">
        <v>1.13</v>
      </c>
      <c r="AF89" s="9" t="n">
        <v>24.83</v>
      </c>
      <c r="AG89" s="9" t="n">
        <v>23.69</v>
      </c>
      <c r="AH89" s="9" t="n">
        <v>6.31</v>
      </c>
      <c r="AI89" s="9" t="n">
        <v>26.65</v>
      </c>
      <c r="AJ89" s="9" t="n">
        <v>0.44</v>
      </c>
      <c r="AK89" s="9" t="n">
        <v>0.28</v>
      </c>
      <c r="AL89" s="9" t="n">
        <v>64.29000000000001</v>
      </c>
      <c r="AM89" s="9" t="n">
        <v>27.28</v>
      </c>
      <c r="AN89" s="9" t="n">
        <v>3.72</v>
      </c>
      <c r="AO89" s="9" t="n">
        <v>13.63</v>
      </c>
      <c r="AP89" s="9" t="n">
        <v>4.41</v>
      </c>
      <c r="AQ89" s="9" t="n">
        <v>1.34</v>
      </c>
      <c r="AR89" s="9" t="n">
        <v>30.5</v>
      </c>
      <c r="AS89" s="9" t="n">
        <v>2.41</v>
      </c>
      <c r="AT89" s="9" t="n">
        <v>0.84</v>
      </c>
      <c r="AU89" s="9" t="n">
        <v>35.06</v>
      </c>
      <c r="AV89" s="9" t="n">
        <v>0.16</v>
      </c>
      <c r="AW89" s="9" t="n">
        <v>0.13</v>
      </c>
      <c r="AX89" s="9" t="n">
        <v>80</v>
      </c>
      <c r="AY89" s="9" t="n">
        <v>12.84</v>
      </c>
      <c r="AZ89" s="9" t="n">
        <v>4.63</v>
      </c>
      <c r="BA89" s="9" t="n">
        <v>36.01</v>
      </c>
      <c r="BB89" s="9" t="n">
        <v>4.31</v>
      </c>
      <c r="BC89" s="9" t="n">
        <v>5.72</v>
      </c>
      <c r="BD89" s="9" t="n">
        <v>20.78</v>
      </c>
      <c r="BE89" s="9" t="n">
        <v>3.22</v>
      </c>
      <c r="BF89" s="9" t="n">
        <v>7.88</v>
      </c>
      <c r="BG89" s="9" t="n">
        <v>13.84</v>
      </c>
      <c r="BH89" s="9" t="n">
        <v>56.78</v>
      </c>
      <c r="BI89" s="9" t="n">
        <v>24.97</v>
      </c>
      <c r="BJ89" s="9" t="n">
        <v>43.97</v>
      </c>
      <c r="BK89" s="9" t="n">
        <v>1.63</v>
      </c>
      <c r="BL89" s="9" t="n">
        <v>1.47</v>
      </c>
      <c r="BM89" s="9" t="n">
        <v>11.94</v>
      </c>
      <c r="BN89" s="9" t="n">
        <v>4.22</v>
      </c>
      <c r="BO89" s="9" t="n">
        <v>35.34</v>
      </c>
      <c r="BP89" s="9" t="n">
        <v>59</v>
      </c>
      <c r="BQ89" s="9" t="n">
        <v>35.16</v>
      </c>
      <c r="BR89" s="9" t="n">
        <v>59.59</v>
      </c>
      <c r="BS89" s="9" t="n">
        <v>35.25</v>
      </c>
      <c r="BT89" s="9" t="n">
        <v>14.28</v>
      </c>
      <c r="BU89" s="9" t="n">
        <v>40.51</v>
      </c>
      <c r="BV89" s="9" t="n">
        <v>2.72</v>
      </c>
      <c r="BW89" s="9" t="n">
        <v>1.44</v>
      </c>
      <c r="BX89" s="9" t="n">
        <v>52.87</v>
      </c>
      <c r="BY89" s="9" t="n">
        <v>33.78</v>
      </c>
      <c r="BZ89" s="9" t="n">
        <v>14.59</v>
      </c>
      <c r="CA89" s="9" t="n">
        <v>12.63</v>
      </c>
      <c r="CB89" s="9" t="n">
        <v>2.25</v>
      </c>
      <c r="CC89" s="9" t="n">
        <v>0.13</v>
      </c>
      <c r="CD89" s="9" t="n">
        <v>132.47</v>
      </c>
      <c r="CE89" s="9" t="n">
        <v>96.06</v>
      </c>
      <c r="CF89" s="9" t="n">
        <v>72.52</v>
      </c>
      <c r="CG89" s="9" t="n">
        <v>59.34</v>
      </c>
      <c r="CH89" s="9" t="n">
        <v>56.13</v>
      </c>
      <c r="CI89" s="9" t="n">
        <v>94.58</v>
      </c>
      <c r="CJ89" s="9" t="n">
        <v>149.28</v>
      </c>
      <c r="CK89" s="9" t="n">
        <v>135.19</v>
      </c>
      <c r="CL89" s="9" t="n">
        <v>90.56</v>
      </c>
      <c r="CM89" s="9" t="n">
        <v>45.41</v>
      </c>
      <c r="CN89" s="9" t="n">
        <v>24.44</v>
      </c>
      <c r="CO89" s="9" t="n">
        <v>53.82</v>
      </c>
      <c r="CP89" s="9" t="n">
        <v>48.13</v>
      </c>
      <c r="CQ89" s="9" t="n">
        <v>32.09</v>
      </c>
      <c r="CR89" s="9" t="n">
        <v>66.69</v>
      </c>
      <c r="CS89" s="9" t="n">
        <v>64.81</v>
      </c>
      <c r="CT89" s="9" t="n">
        <v>46.5</v>
      </c>
      <c r="CU89" s="9" t="n">
        <v>71.75</v>
      </c>
      <c r="CV89" s="9" t="n">
        <v>0.5</v>
      </c>
      <c r="CW89" s="9" t="n">
        <v>0.25</v>
      </c>
      <c r="CX89" s="9" t="n">
        <v>50</v>
      </c>
      <c r="CY89" s="9" t="n">
        <v>16.66</v>
      </c>
      <c r="CZ89" s="9" t="n">
        <v>15.03</v>
      </c>
      <c r="DA89" s="9" t="n">
        <v>90.23999999999999</v>
      </c>
      <c r="DB89" s="9" t="n">
        <v>8.44</v>
      </c>
      <c r="DC89" s="9" t="n">
        <v>15.68</v>
      </c>
      <c r="DD89" s="9" t="n">
        <v>4.21</v>
      </c>
      <c r="DE89" s="9" t="n">
        <v>12.29</v>
      </c>
      <c r="DF89" s="9" t="n">
        <v>18.09</v>
      </c>
      <c r="DG89" s="9" t="n">
        <v>20.61</v>
      </c>
      <c r="DH89" s="9" t="n">
        <v>13.05</v>
      </c>
      <c r="DI89" s="9" t="n">
        <v>1.47</v>
      </c>
      <c r="DJ89" s="9" t="n">
        <v>1.32</v>
      </c>
      <c r="DK89" s="9" t="n">
        <v>11.94</v>
      </c>
      <c r="DL89" s="9" t="n">
        <v>4.03</v>
      </c>
      <c r="DM89" s="9" t="n">
        <v>33.77</v>
      </c>
      <c r="DN89" s="9" t="n">
        <v>401.31</v>
      </c>
      <c r="DO89" s="9" t="n">
        <v>339.22</v>
      </c>
      <c r="DP89" s="9" t="n">
        <v>84.53</v>
      </c>
      <c r="DQ89" s="9" t="n">
        <v>50.55</v>
      </c>
      <c r="DR89" s="9" t="n">
        <v>95.06</v>
      </c>
      <c r="DS89" s="9" t="n">
        <v>17.41</v>
      </c>
      <c r="DT89" s="9" t="n">
        <v>30.72</v>
      </c>
      <c r="DU89" s="9" t="n">
        <v>46.94</v>
      </c>
      <c r="DV89" s="9" t="n">
        <v>69.38</v>
      </c>
      <c r="DW89" s="9" t="n">
        <v>30.91</v>
      </c>
      <c r="DX89" s="9" t="n">
        <v>26.59</v>
      </c>
      <c r="DY89" s="9" t="n">
        <v>11.88</v>
      </c>
      <c r="DZ89" s="9" t="n">
        <v>171.25</v>
      </c>
      <c r="EA89" s="9" t="n">
        <v>81.5</v>
      </c>
      <c r="EB89" s="9" t="n">
        <v>47.59</v>
      </c>
      <c r="EC89" s="9" t="n">
        <v>5.28</v>
      </c>
      <c r="ED89" s="9" t="n">
        <v>1.31</v>
      </c>
      <c r="EE89" s="9" t="n">
        <v>24.85</v>
      </c>
      <c r="EF89" s="9" t="n">
        <v>27.16</v>
      </c>
      <c r="EG89" s="9" t="n">
        <v>6.69</v>
      </c>
      <c r="EH89" s="9" t="n">
        <v>24.63</v>
      </c>
      <c r="EI89" s="9" t="n">
        <v>0.41</v>
      </c>
      <c r="EJ89" s="9" t="n">
        <v>0.34</v>
      </c>
      <c r="EK89" s="9" t="n">
        <v>84.62</v>
      </c>
      <c r="EL89" s="9" t="n">
        <v>26</v>
      </c>
      <c r="EM89" s="9" t="n">
        <v>4.16</v>
      </c>
      <c r="EN89" s="9" t="n">
        <v>15.99</v>
      </c>
      <c r="EO89" s="9" t="n">
        <v>5.47</v>
      </c>
      <c r="EP89" s="9" t="n">
        <v>1.56</v>
      </c>
      <c r="EQ89" s="9" t="n">
        <v>28.57</v>
      </c>
      <c r="ER89" s="9" t="n">
        <v>2.75</v>
      </c>
      <c r="ES89" s="9" t="n">
        <v>0.9399999999999999</v>
      </c>
      <c r="ET89" s="9" t="n">
        <v>34.09</v>
      </c>
      <c r="EU89" s="9" t="n">
        <v>0.13</v>
      </c>
      <c r="EV89" s="9" t="n">
        <v>0.13</v>
      </c>
      <c r="EW89" s="9" t="n">
        <v>100</v>
      </c>
      <c r="EX89" s="9" t="n">
        <v>16.09</v>
      </c>
      <c r="EY89" s="9" t="n">
        <v>5.09</v>
      </c>
      <c r="EZ89" s="9" t="n">
        <v>31.65</v>
      </c>
      <c r="FA89" s="9" t="n">
        <v>5.16</v>
      </c>
      <c r="FB89" s="9" t="n">
        <v>6.84</v>
      </c>
      <c r="FC89" s="9" t="n">
        <v>22.5</v>
      </c>
      <c r="FD89" s="9" t="n">
        <v>3.13</v>
      </c>
      <c r="FE89" s="9" t="n">
        <v>10.06</v>
      </c>
      <c r="FF89" s="9" t="n">
        <v>16.72</v>
      </c>
      <c r="FG89" s="9" t="n">
        <v>58.97</v>
      </c>
      <c r="FH89" s="9" t="n">
        <v>23.81</v>
      </c>
      <c r="FI89" s="9" t="n">
        <v>40.38</v>
      </c>
      <c r="FJ89" s="9" t="n">
        <v>1.25</v>
      </c>
      <c r="FK89" s="9" t="n">
        <v>1.41</v>
      </c>
      <c r="FL89" s="9" t="n">
        <v>10.75</v>
      </c>
      <c r="FM89" s="9" t="n">
        <v>3.94</v>
      </c>
      <c r="FN89" s="9" t="n">
        <v>36.63</v>
      </c>
      <c r="FO89" s="9" t="n">
        <v>56.81</v>
      </c>
      <c r="FP89" s="9" t="n">
        <v>31.81</v>
      </c>
      <c r="FQ89" s="9" t="n">
        <v>56</v>
      </c>
      <c r="FR89" s="9" t="n">
        <v>35.25</v>
      </c>
      <c r="FS89" s="9" t="n">
        <v>17.13</v>
      </c>
      <c r="FT89" s="9" t="n">
        <v>48.58</v>
      </c>
      <c r="FU89" s="9" t="n">
        <v>2.44</v>
      </c>
      <c r="FV89" s="9" t="n">
        <v>1.16</v>
      </c>
      <c r="FW89" s="9" t="n">
        <v>47.44</v>
      </c>
      <c r="FX89" s="9" t="n">
        <v>32.06</v>
      </c>
      <c r="FY89" s="9" t="n">
        <v>13.94</v>
      </c>
      <c r="FZ89" s="9" t="n">
        <v>15.03</v>
      </c>
      <c r="GA89" s="9" t="n">
        <v>2.97</v>
      </c>
      <c r="GB89" s="9" t="n">
        <v>0.19</v>
      </c>
      <c r="GC89" s="9" t="n">
        <v>134.94</v>
      </c>
      <c r="GD89" s="9" t="n">
        <v>101.34</v>
      </c>
      <c r="GE89" s="9" t="n">
        <v>75.09999999999999</v>
      </c>
      <c r="GF89" s="9" t="n">
        <v>65.31</v>
      </c>
      <c r="GG89" s="9" t="n">
        <v>62.25</v>
      </c>
      <c r="GH89" s="9" t="n">
        <v>95.31</v>
      </c>
      <c r="GI89" s="9" t="n">
        <v>144.06</v>
      </c>
      <c r="GJ89" s="9" t="n">
        <v>127.47</v>
      </c>
      <c r="GK89" s="9" t="n">
        <v>88.48</v>
      </c>
      <c r="GL89" s="9" t="n">
        <v>41.84</v>
      </c>
      <c r="GM89" s="9" t="n">
        <v>23.56</v>
      </c>
      <c r="GN89" s="9" t="n">
        <v>56.31</v>
      </c>
      <c r="GO89" s="9" t="n">
        <v>52.63</v>
      </c>
      <c r="GP89" s="9" t="n">
        <v>38</v>
      </c>
      <c r="GQ89" s="9" t="n">
        <v>72.20999999999999</v>
      </c>
      <c r="GR89" s="9" t="n">
        <v>67.19</v>
      </c>
      <c r="GS89" s="9" t="n">
        <v>49.5</v>
      </c>
      <c r="GT89" s="9" t="n">
        <v>73.67</v>
      </c>
      <c r="GU89" s="9" t="n">
        <v>0.38</v>
      </c>
      <c r="GV89" s="9" t="n">
        <v>0.13</v>
      </c>
      <c r="GW89" s="9" t="n">
        <v>33.33</v>
      </c>
      <c r="GX89" s="9" t="n">
        <v>16.44</v>
      </c>
      <c r="GY89" s="9" t="n">
        <v>14.75</v>
      </c>
      <c r="GZ89" s="9" t="n">
        <v>89.73</v>
      </c>
      <c r="HA89" s="9" t="n">
        <v>7.06</v>
      </c>
      <c r="HB89" s="9" t="n">
        <v>15.7</v>
      </c>
      <c r="HC89" s="9" t="n">
        <v>4.27</v>
      </c>
      <c r="HD89" s="9" t="n">
        <v>11.04</v>
      </c>
      <c r="HE89" s="9" t="n">
        <v>18.79</v>
      </c>
      <c r="HF89" s="9" t="n">
        <v>19.78</v>
      </c>
      <c r="HG89" s="9" t="n">
        <v>11.67</v>
      </c>
    </row>
    <row r="90">
      <c r="A90" s="12" t="n">
        <v>2025</v>
      </c>
      <c r="B90" s="12" t="n">
        <v>38</v>
      </c>
      <c r="C90" s="5">
        <f>(B90-AVERAGE($B$2:$B$100))/_xlfn.STDEV.P($B$2:$B$100)</f>
        <v/>
      </c>
      <c r="D90" s="12" t="n">
        <v>7</v>
      </c>
      <c r="E90" s="6">
        <f>-D90</f>
        <v/>
      </c>
      <c r="F90" s="7">
        <f>(E90-AVERAGE($E$2:$E$100))/_xlfn.STDEV.P($E$2:$E$100)</f>
        <v/>
      </c>
      <c r="G90" s="7">
        <f>sum(0.5*C90)+(0.5*F90)</f>
        <v/>
      </c>
      <c r="H90" s="12" t="inlineStr">
        <is>
          <t>East</t>
        </is>
      </c>
      <c r="I90" s="8" t="inlineStr">
        <is>
          <t>Rhode Island</t>
        </is>
      </c>
      <c r="J90" s="9" t="n">
        <v>0.9399999999999999</v>
      </c>
      <c r="K90" s="9" t="n">
        <v>1.1</v>
      </c>
      <c r="L90" s="9" t="n">
        <v>10.48</v>
      </c>
      <c r="M90" s="9" t="n">
        <v>3.58</v>
      </c>
      <c r="N90" s="9" t="n">
        <v>34.1</v>
      </c>
      <c r="O90" s="9" t="n">
        <v>412.85</v>
      </c>
      <c r="P90" s="9" t="n">
        <v>338.03</v>
      </c>
      <c r="Q90" s="9" t="n">
        <v>81.88</v>
      </c>
      <c r="R90" s="9" t="n">
        <v>51.67</v>
      </c>
      <c r="S90" s="9" t="n">
        <v>109.48</v>
      </c>
      <c r="T90" s="9" t="n">
        <v>16.67</v>
      </c>
      <c r="U90" s="9" t="n">
        <v>40.24</v>
      </c>
      <c r="V90" s="9" t="n">
        <v>52.58</v>
      </c>
      <c r="W90" s="9" t="n">
        <v>78.67</v>
      </c>
      <c r="X90" s="9" t="n">
        <v>33.27</v>
      </c>
      <c r="Y90" s="9" t="n">
        <v>32.91</v>
      </c>
      <c r="Z90" s="9" t="n">
        <v>12.48</v>
      </c>
      <c r="AA90" s="9" t="n">
        <v>185.97</v>
      </c>
      <c r="AB90" s="9" t="n">
        <v>93.45</v>
      </c>
      <c r="AC90" s="9" t="n">
        <v>50.25</v>
      </c>
      <c r="AD90" s="9" t="n">
        <v>4.45</v>
      </c>
      <c r="AE90" s="9" t="n">
        <v>1.15</v>
      </c>
      <c r="AF90" s="9" t="n">
        <v>25.85</v>
      </c>
      <c r="AG90" s="9" t="n">
        <v>27.15</v>
      </c>
      <c r="AH90" s="9" t="n">
        <v>6.82</v>
      </c>
      <c r="AI90" s="9" t="n">
        <v>25.11</v>
      </c>
      <c r="AJ90" s="9" t="n">
        <v>0.58</v>
      </c>
      <c r="AK90" s="9" t="n">
        <v>0.21</v>
      </c>
      <c r="AL90" s="9" t="n">
        <v>36.84</v>
      </c>
      <c r="AM90" s="9" t="n">
        <v>27.39</v>
      </c>
      <c r="AN90" s="9" t="n">
        <v>2.85</v>
      </c>
      <c r="AO90" s="9" t="n">
        <v>10.4</v>
      </c>
      <c r="AP90" s="9" t="n">
        <v>3.85</v>
      </c>
      <c r="AQ90" s="9" t="n">
        <v>1.21</v>
      </c>
      <c r="AR90" s="9" t="n">
        <v>31.5</v>
      </c>
      <c r="AS90" s="9" t="n">
        <v>3.18</v>
      </c>
      <c r="AT90" s="9" t="n">
        <v>0.55</v>
      </c>
      <c r="AU90" s="9" t="n">
        <v>17.14</v>
      </c>
      <c r="AV90" s="9" t="n">
        <v>0.12</v>
      </c>
      <c r="AW90" s="9" t="n">
        <v>0.12</v>
      </c>
      <c r="AX90" s="9" t="n">
        <v>100</v>
      </c>
      <c r="AY90" s="9" t="n">
        <v>13.94</v>
      </c>
      <c r="AZ90" s="9" t="n">
        <v>5.06</v>
      </c>
      <c r="BA90" s="9" t="n">
        <v>36.3</v>
      </c>
      <c r="BB90" s="9" t="n">
        <v>4.76</v>
      </c>
      <c r="BC90" s="9" t="n">
        <v>5.82</v>
      </c>
      <c r="BD90" s="9" t="n">
        <v>21.61</v>
      </c>
      <c r="BE90" s="9" t="n">
        <v>3.03</v>
      </c>
      <c r="BF90" s="9" t="n">
        <v>8.880000000000001</v>
      </c>
      <c r="BG90" s="9" t="n">
        <v>15.52</v>
      </c>
      <c r="BH90" s="9" t="n">
        <v>59.21</v>
      </c>
      <c r="BI90" s="9" t="n">
        <v>22.88</v>
      </c>
      <c r="BJ90" s="9" t="n">
        <v>38.64</v>
      </c>
      <c r="BK90" s="9" t="n">
        <v>1.7</v>
      </c>
      <c r="BL90" s="9" t="n">
        <v>0.91</v>
      </c>
      <c r="BM90" s="9" t="n">
        <v>8.91</v>
      </c>
      <c r="BN90" s="9" t="n">
        <v>3.55</v>
      </c>
      <c r="BO90" s="9" t="n">
        <v>39.8</v>
      </c>
      <c r="BP90" s="9" t="n">
        <v>61.12</v>
      </c>
      <c r="BQ90" s="9" t="n">
        <v>39.91</v>
      </c>
      <c r="BR90" s="9" t="n">
        <v>65.29000000000001</v>
      </c>
      <c r="BS90" s="9" t="n">
        <v>38.21</v>
      </c>
      <c r="BT90" s="9" t="n">
        <v>18.52</v>
      </c>
      <c r="BU90" s="9" t="n">
        <v>48.45</v>
      </c>
      <c r="BV90" s="9" t="n">
        <v>2.24</v>
      </c>
      <c r="BW90" s="9" t="n">
        <v>1.3</v>
      </c>
      <c r="BX90" s="9" t="n">
        <v>58.11</v>
      </c>
      <c r="BY90" s="9" t="n">
        <v>34</v>
      </c>
      <c r="BZ90" s="9" t="n">
        <v>12.18</v>
      </c>
      <c r="CA90" s="9" t="n">
        <v>14.36</v>
      </c>
      <c r="CB90" s="9" t="n">
        <v>2.48</v>
      </c>
      <c r="CC90" s="9" t="n">
        <v>0.24</v>
      </c>
      <c r="CD90" s="9" t="n">
        <v>140.7</v>
      </c>
      <c r="CE90" s="9" t="n">
        <v>99.12</v>
      </c>
      <c r="CF90" s="9" t="n">
        <v>70.45</v>
      </c>
      <c r="CG90" s="9" t="n">
        <v>60.33</v>
      </c>
      <c r="CH90" s="9" t="n">
        <v>57.09</v>
      </c>
      <c r="CI90" s="9" t="n">
        <v>94.63</v>
      </c>
      <c r="CJ90" s="9" t="n">
        <v>147.67</v>
      </c>
      <c r="CK90" s="9" t="n">
        <v>129.85</v>
      </c>
      <c r="CL90" s="9" t="n">
        <v>87.93000000000001</v>
      </c>
      <c r="CM90" s="9" t="n">
        <v>47.3</v>
      </c>
      <c r="CN90" s="9" t="n">
        <v>24.76</v>
      </c>
      <c r="CO90" s="9" t="n">
        <v>52.34</v>
      </c>
      <c r="CP90" s="9" t="n">
        <v>53.48</v>
      </c>
      <c r="CQ90" s="9" t="n">
        <v>34.82</v>
      </c>
      <c r="CR90" s="9" t="n">
        <v>65.09999999999999</v>
      </c>
      <c r="CS90" s="9" t="n">
        <v>68.73</v>
      </c>
      <c r="CT90" s="9" t="n">
        <v>48.97</v>
      </c>
      <c r="CU90" s="9" t="n">
        <v>71.25</v>
      </c>
      <c r="CV90" s="9" t="n">
        <v>0.61</v>
      </c>
      <c r="CW90" s="9" t="n">
        <v>0.21</v>
      </c>
      <c r="CX90" s="9" t="n">
        <v>35</v>
      </c>
      <c r="CY90" s="9" t="n">
        <v>19.94</v>
      </c>
      <c r="CZ90" s="9" t="n">
        <v>16.79</v>
      </c>
      <c r="DA90" s="9" t="n">
        <v>84.19</v>
      </c>
      <c r="DB90" s="9" t="n">
        <v>7.3</v>
      </c>
      <c r="DC90" s="9" t="n">
        <v>16.26</v>
      </c>
      <c r="DD90" s="9" t="n">
        <v>4.13</v>
      </c>
      <c r="DE90" s="9" t="n">
        <v>11.7</v>
      </c>
      <c r="DF90" s="9" t="n">
        <v>18.62</v>
      </c>
      <c r="DG90" s="9" t="n">
        <v>19.59</v>
      </c>
      <c r="DH90" s="9" t="n">
        <v>10.13</v>
      </c>
      <c r="DI90" s="9" t="n">
        <v>0.91</v>
      </c>
      <c r="DJ90" s="9" t="n">
        <v>0.96</v>
      </c>
      <c r="DK90" s="9" t="n">
        <v>8.91</v>
      </c>
      <c r="DL90" s="9" t="n">
        <v>3.27</v>
      </c>
      <c r="DM90" s="9" t="n">
        <v>36.73</v>
      </c>
      <c r="DN90" s="9" t="n">
        <v>380.85</v>
      </c>
      <c r="DO90" s="9" t="n">
        <v>309.06</v>
      </c>
      <c r="DP90" s="9" t="n">
        <v>81.15000000000001</v>
      </c>
      <c r="DQ90" s="9" t="n">
        <v>48.33</v>
      </c>
      <c r="DR90" s="9" t="n">
        <v>110.52</v>
      </c>
      <c r="DS90" s="9" t="n">
        <v>21.06</v>
      </c>
      <c r="DT90" s="9" t="n">
        <v>42.39</v>
      </c>
      <c r="DU90" s="9" t="n">
        <v>47.06</v>
      </c>
      <c r="DV90" s="9" t="n">
        <v>78.58</v>
      </c>
      <c r="DW90" s="9" t="n">
        <v>37.06</v>
      </c>
      <c r="DX90" s="9" t="n">
        <v>31.91</v>
      </c>
      <c r="DY90" s="9" t="n">
        <v>9.609999999999999</v>
      </c>
      <c r="DZ90" s="9" t="n">
        <v>185.97</v>
      </c>
      <c r="EA90" s="9" t="n">
        <v>84.61</v>
      </c>
      <c r="EB90" s="9" t="n">
        <v>45.49</v>
      </c>
      <c r="EC90" s="9" t="n">
        <v>4.36</v>
      </c>
      <c r="ED90" s="9" t="n">
        <v>1.15</v>
      </c>
      <c r="EE90" s="9" t="n">
        <v>26.39</v>
      </c>
      <c r="EF90" s="9" t="n">
        <v>23</v>
      </c>
      <c r="EG90" s="9" t="n">
        <v>5.33</v>
      </c>
      <c r="EH90" s="9" t="n">
        <v>23.19</v>
      </c>
      <c r="EI90" s="9" t="n">
        <v>0.67</v>
      </c>
      <c r="EJ90" s="9" t="n">
        <v>0.21</v>
      </c>
      <c r="EK90" s="9" t="n">
        <v>31.82</v>
      </c>
      <c r="EL90" s="9" t="n">
        <v>26.97</v>
      </c>
      <c r="EM90" s="9" t="n">
        <v>3.03</v>
      </c>
      <c r="EN90" s="9" t="n">
        <v>11.24</v>
      </c>
      <c r="EO90" s="9" t="n">
        <v>4.24</v>
      </c>
      <c r="EP90" s="9" t="n">
        <v>1.12</v>
      </c>
      <c r="EQ90" s="9" t="n">
        <v>26.43</v>
      </c>
      <c r="ER90" s="9" t="n">
        <v>2.15</v>
      </c>
      <c r="ES90" s="9" t="n">
        <v>0.48</v>
      </c>
      <c r="ET90" s="9" t="n">
        <v>22.54</v>
      </c>
      <c r="EU90" s="9" t="n">
        <v>0.03</v>
      </c>
      <c r="EV90" s="9" t="n">
        <v>0.03</v>
      </c>
      <c r="EW90" s="9" t="n">
        <v>100</v>
      </c>
      <c r="EX90" s="9" t="n">
        <v>11.52</v>
      </c>
      <c r="EY90" s="9" t="n">
        <v>3.21</v>
      </c>
      <c r="EZ90" s="9" t="n">
        <v>27.89</v>
      </c>
      <c r="FA90" s="9" t="n">
        <v>3</v>
      </c>
      <c r="FB90" s="9" t="n">
        <v>5.12</v>
      </c>
      <c r="FC90" s="9" t="n">
        <v>18.88</v>
      </c>
      <c r="FD90" s="9" t="n">
        <v>3.24</v>
      </c>
      <c r="FE90" s="9" t="n">
        <v>6.36</v>
      </c>
      <c r="FF90" s="9" t="n">
        <v>12.61</v>
      </c>
      <c r="FG90" s="9" t="n">
        <v>61.15</v>
      </c>
      <c r="FH90" s="9" t="n">
        <v>21.21</v>
      </c>
      <c r="FI90" s="9" t="n">
        <v>34.69</v>
      </c>
      <c r="FJ90" s="9" t="n">
        <v>2.64</v>
      </c>
      <c r="FK90" s="9" t="n">
        <v>0.9399999999999999</v>
      </c>
      <c r="FL90" s="9" t="n">
        <v>10.48</v>
      </c>
      <c r="FM90" s="9" t="n">
        <v>3.79</v>
      </c>
      <c r="FN90" s="9" t="n">
        <v>36.13</v>
      </c>
      <c r="FO90" s="9" t="n">
        <v>59.18</v>
      </c>
      <c r="FP90" s="9" t="n">
        <v>36.3</v>
      </c>
      <c r="FQ90" s="9" t="n">
        <v>61.34</v>
      </c>
      <c r="FR90" s="9" t="n">
        <v>38.21</v>
      </c>
      <c r="FS90" s="9" t="n">
        <v>16.12</v>
      </c>
      <c r="FT90" s="9" t="n">
        <v>42.19</v>
      </c>
      <c r="FU90" s="9" t="n">
        <v>3.97</v>
      </c>
      <c r="FV90" s="9" t="n">
        <v>2.12</v>
      </c>
      <c r="FW90" s="9" t="n">
        <v>53.44</v>
      </c>
      <c r="FX90" s="9" t="n">
        <v>38.7</v>
      </c>
      <c r="FY90" s="9" t="n">
        <v>16.76</v>
      </c>
      <c r="FZ90" s="9" t="n">
        <v>14.67</v>
      </c>
      <c r="GA90" s="9" t="n">
        <v>2.52</v>
      </c>
      <c r="GB90" s="9" t="n">
        <v>0.15</v>
      </c>
      <c r="GC90" s="9" t="n">
        <v>135.67</v>
      </c>
      <c r="GD90" s="9" t="n">
        <v>94.15000000000001</v>
      </c>
      <c r="GE90" s="9" t="n">
        <v>69.40000000000001</v>
      </c>
      <c r="GF90" s="9" t="n">
        <v>59.06</v>
      </c>
      <c r="GG90" s="9" t="n">
        <v>54.94</v>
      </c>
      <c r="GH90" s="9" t="n">
        <v>93.02</v>
      </c>
      <c r="GI90" s="9" t="n">
        <v>135</v>
      </c>
      <c r="GJ90" s="9" t="n">
        <v>119</v>
      </c>
      <c r="GK90" s="9" t="n">
        <v>88.15000000000001</v>
      </c>
      <c r="GL90" s="9" t="n">
        <v>48.64</v>
      </c>
      <c r="GM90" s="9" t="n">
        <v>24.94</v>
      </c>
      <c r="GN90" s="9" t="n">
        <v>51.28</v>
      </c>
      <c r="GO90" s="9" t="n">
        <v>50.15</v>
      </c>
      <c r="GP90" s="9" t="n">
        <v>31.3</v>
      </c>
      <c r="GQ90" s="9" t="n">
        <v>62.42</v>
      </c>
      <c r="GR90" s="9" t="n">
        <v>67.79000000000001</v>
      </c>
      <c r="GS90" s="9" t="n">
        <v>46.09</v>
      </c>
      <c r="GT90" s="9" t="n">
        <v>67.98999999999999</v>
      </c>
      <c r="GU90" s="9" t="n">
        <v>0.58</v>
      </c>
      <c r="GV90" s="9" t="n">
        <v>0.3</v>
      </c>
      <c r="GW90" s="9" t="n">
        <v>52.63</v>
      </c>
      <c r="GX90" s="9" t="n">
        <v>20</v>
      </c>
      <c r="GY90" s="9" t="n">
        <v>16.85</v>
      </c>
      <c r="GZ90" s="9" t="n">
        <v>84.23999999999999</v>
      </c>
      <c r="HA90" s="9" t="n">
        <v>7.97</v>
      </c>
      <c r="HB90" s="9" t="n">
        <v>15.91</v>
      </c>
      <c r="HC90" s="9" t="n">
        <v>3.81</v>
      </c>
      <c r="HD90" s="9" t="n">
        <v>13.33</v>
      </c>
      <c r="HE90" s="9" t="n">
        <v>19.87</v>
      </c>
      <c r="HF90" s="9" t="n">
        <v>20.19</v>
      </c>
      <c r="HG90" s="9" t="n">
        <v>10.6</v>
      </c>
    </row>
    <row r="91">
      <c r="A91" s="12" t="n">
        <v>2025</v>
      </c>
      <c r="B91" s="12" t="n">
        <v>37</v>
      </c>
      <c r="C91" s="5">
        <f>(B91-AVERAGE($B$2:$B$100))/_xlfn.STDEV.P($B$2:$B$100)</f>
        <v/>
      </c>
      <c r="D91" s="12" t="n">
        <v>8</v>
      </c>
      <c r="E91" s="6">
        <f>-D91</f>
        <v/>
      </c>
      <c r="F91" s="7">
        <f>(E91-AVERAGE($E$2:$E$100))/_xlfn.STDEV.P($E$2:$E$100)</f>
        <v/>
      </c>
      <c r="G91" s="7">
        <f>sum(0.5*C91)+(0.5*F91)</f>
        <v/>
      </c>
      <c r="H91" s="12" t="inlineStr">
        <is>
          <t>West</t>
        </is>
      </c>
      <c r="I91" s="8" t="inlineStr">
        <is>
          <t>Colorado Springs</t>
        </is>
      </c>
      <c r="J91" s="9" t="n">
        <v>1.17</v>
      </c>
      <c r="K91" s="9" t="n">
        <v>1.24</v>
      </c>
      <c r="L91" s="9" t="n">
        <v>11.43</v>
      </c>
      <c r="M91" s="9" t="n">
        <v>3.47</v>
      </c>
      <c r="N91" s="9" t="n">
        <v>30.32</v>
      </c>
      <c r="O91" s="9" t="n">
        <v>375.77</v>
      </c>
      <c r="P91" s="9" t="n">
        <v>308.73</v>
      </c>
      <c r="Q91" s="9" t="n">
        <v>82.16</v>
      </c>
      <c r="R91" s="9" t="n">
        <v>51.61</v>
      </c>
      <c r="S91" s="9" t="n">
        <v>98.93000000000001</v>
      </c>
      <c r="T91" s="9" t="n">
        <v>18</v>
      </c>
      <c r="U91" s="9" t="n">
        <v>32.07</v>
      </c>
      <c r="V91" s="9" t="n">
        <v>48.87</v>
      </c>
      <c r="W91" s="9" t="n">
        <v>69.90000000000001</v>
      </c>
      <c r="X91" s="9" t="n">
        <v>31.6</v>
      </c>
      <c r="Y91" s="9" t="n">
        <v>26.37</v>
      </c>
      <c r="Z91" s="9" t="n">
        <v>11.93</v>
      </c>
      <c r="AA91" s="9" t="n">
        <v>169.8</v>
      </c>
      <c r="AB91" s="9" t="n">
        <v>77.53</v>
      </c>
      <c r="AC91" s="9" t="n">
        <v>45.66</v>
      </c>
      <c r="AD91" s="9" t="n">
        <v>4.87</v>
      </c>
      <c r="AE91" s="9" t="n">
        <v>1.13</v>
      </c>
      <c r="AF91" s="9" t="n">
        <v>23.29</v>
      </c>
      <c r="AG91" s="9" t="n">
        <v>27.7</v>
      </c>
      <c r="AH91" s="9" t="n">
        <v>6.6</v>
      </c>
      <c r="AI91" s="9" t="n">
        <v>23.83</v>
      </c>
      <c r="AJ91" s="9" t="n">
        <v>0.37</v>
      </c>
      <c r="AK91" s="9" t="n">
        <v>0.27</v>
      </c>
      <c r="AL91" s="9" t="n">
        <v>72.73</v>
      </c>
      <c r="AM91" s="9" t="n">
        <v>28.43</v>
      </c>
      <c r="AN91" s="9" t="n">
        <v>3.77</v>
      </c>
      <c r="AO91" s="9" t="n">
        <v>13.25</v>
      </c>
      <c r="AP91" s="9" t="n">
        <v>5.27</v>
      </c>
      <c r="AQ91" s="9" t="n">
        <v>1.67</v>
      </c>
      <c r="AR91" s="9" t="n">
        <v>31.65</v>
      </c>
      <c r="AS91" s="9" t="n">
        <v>2.8</v>
      </c>
      <c r="AT91" s="9" t="n">
        <v>0.87</v>
      </c>
      <c r="AU91" s="9" t="n">
        <v>30.95</v>
      </c>
      <c r="AV91" s="9" t="n">
        <v>0.13</v>
      </c>
      <c r="AW91" s="9" t="n">
        <v>0.1</v>
      </c>
      <c r="AX91" s="9" t="n">
        <v>75</v>
      </c>
      <c r="AY91" s="9" t="n">
        <v>13.47</v>
      </c>
      <c r="AZ91" s="9" t="n">
        <v>4.23</v>
      </c>
      <c r="BA91" s="9" t="n">
        <v>31.44</v>
      </c>
      <c r="BB91" s="9" t="n">
        <v>4.23</v>
      </c>
      <c r="BC91" s="9" t="n">
        <v>5.37</v>
      </c>
      <c r="BD91" s="9" t="n">
        <v>21.8</v>
      </c>
      <c r="BE91" s="9" t="n">
        <v>4.33</v>
      </c>
      <c r="BF91" s="9" t="n">
        <v>8.23</v>
      </c>
      <c r="BG91" s="9" t="n">
        <v>15.3</v>
      </c>
      <c r="BH91" s="9" t="n">
        <v>60.73</v>
      </c>
      <c r="BI91" s="9" t="n">
        <v>24.9</v>
      </c>
      <c r="BJ91" s="9" t="n">
        <v>41</v>
      </c>
      <c r="BK91" s="9" t="n">
        <v>1.37</v>
      </c>
      <c r="BL91" s="9" t="n">
        <v>1.43</v>
      </c>
      <c r="BM91" s="9" t="n">
        <v>10.37</v>
      </c>
      <c r="BN91" s="9" t="n">
        <v>3.6</v>
      </c>
      <c r="BO91" s="9" t="n">
        <v>34.73</v>
      </c>
      <c r="BP91" s="9" t="n">
        <v>52.5</v>
      </c>
      <c r="BQ91" s="9" t="n">
        <v>30.27</v>
      </c>
      <c r="BR91" s="9" t="n">
        <v>57.65</v>
      </c>
      <c r="BS91" s="9" t="n">
        <v>35.27</v>
      </c>
      <c r="BT91" s="9" t="n">
        <v>13.77</v>
      </c>
      <c r="BU91" s="9" t="n">
        <v>39.04</v>
      </c>
      <c r="BV91" s="9" t="n">
        <v>2.4</v>
      </c>
      <c r="BW91" s="9" t="n">
        <v>0.93</v>
      </c>
      <c r="BX91" s="9" t="n">
        <v>38.89</v>
      </c>
      <c r="BY91" s="9" t="n">
        <v>33.87</v>
      </c>
      <c r="BZ91" s="9" t="n">
        <v>13.43</v>
      </c>
      <c r="CA91" s="9" t="n">
        <v>13.1</v>
      </c>
      <c r="CB91" s="9" t="n">
        <v>2.2</v>
      </c>
      <c r="CC91" s="9" t="n">
        <v>0.17</v>
      </c>
      <c r="CD91" s="9" t="n">
        <v>129.53</v>
      </c>
      <c r="CE91" s="9" t="n">
        <v>91.13</v>
      </c>
      <c r="CF91" s="9" t="n">
        <v>70.36</v>
      </c>
      <c r="CG91" s="9" t="n">
        <v>57.83</v>
      </c>
      <c r="CH91" s="9" t="n">
        <v>54.13</v>
      </c>
      <c r="CI91" s="9" t="n">
        <v>93.59999999999999</v>
      </c>
      <c r="CJ91" s="9" t="n">
        <v>139.87</v>
      </c>
      <c r="CK91" s="9" t="n">
        <v>124.9</v>
      </c>
      <c r="CL91" s="9" t="n">
        <v>89.3</v>
      </c>
      <c r="CM91" s="9" t="n">
        <v>45.83</v>
      </c>
      <c r="CN91" s="9" t="n">
        <v>23.23</v>
      </c>
      <c r="CO91" s="9" t="n">
        <v>50.69</v>
      </c>
      <c r="CP91" s="9" t="n">
        <v>52.23</v>
      </c>
      <c r="CQ91" s="9" t="n">
        <v>33.43</v>
      </c>
      <c r="CR91" s="9" t="n">
        <v>64.01000000000001</v>
      </c>
      <c r="CS91" s="9" t="n">
        <v>63.7</v>
      </c>
      <c r="CT91" s="9" t="n">
        <v>45.77</v>
      </c>
      <c r="CU91" s="9" t="n">
        <v>71.84999999999999</v>
      </c>
      <c r="CV91" s="9" t="n">
        <v>0.47</v>
      </c>
      <c r="CW91" s="9" t="n">
        <v>0.2</v>
      </c>
      <c r="CX91" s="9" t="n">
        <v>42.86</v>
      </c>
      <c r="CY91" s="9" t="n">
        <v>21.5</v>
      </c>
      <c r="CZ91" s="9" t="n">
        <v>19.43</v>
      </c>
      <c r="DA91" s="9" t="n">
        <v>90.39</v>
      </c>
      <c r="DB91" s="9" t="n">
        <v>7.9</v>
      </c>
      <c r="DC91" s="9" t="n">
        <v>15.17</v>
      </c>
      <c r="DD91" s="9" t="n">
        <v>3.73</v>
      </c>
      <c r="DE91" s="9" t="n">
        <v>12.56</v>
      </c>
      <c r="DF91" s="9" t="n">
        <v>18.79</v>
      </c>
      <c r="DG91" s="9" t="n">
        <v>20.89</v>
      </c>
      <c r="DH91" s="9" t="n">
        <v>11.26</v>
      </c>
      <c r="DI91" s="9" t="n">
        <v>1.43</v>
      </c>
      <c r="DJ91" s="9" t="n">
        <v>1.2</v>
      </c>
      <c r="DK91" s="9" t="n">
        <v>10.37</v>
      </c>
      <c r="DL91" s="9" t="n">
        <v>3.43</v>
      </c>
      <c r="DM91" s="9" t="n">
        <v>33.12</v>
      </c>
      <c r="DN91" s="9" t="n">
        <v>358.5</v>
      </c>
      <c r="DO91" s="9" t="n">
        <v>291.7</v>
      </c>
      <c r="DP91" s="9" t="n">
        <v>81.37</v>
      </c>
      <c r="DQ91" s="9" t="n">
        <v>48.39</v>
      </c>
      <c r="DR91" s="9" t="n">
        <v>99.09999999999999</v>
      </c>
      <c r="DS91" s="9" t="n">
        <v>19.53</v>
      </c>
      <c r="DT91" s="9" t="n">
        <v>35.37</v>
      </c>
      <c r="DU91" s="9" t="n">
        <v>44.2</v>
      </c>
      <c r="DV91" s="9" t="n">
        <v>69.53</v>
      </c>
      <c r="DW91" s="9" t="n">
        <v>33.77</v>
      </c>
      <c r="DX91" s="9" t="n">
        <v>25.4</v>
      </c>
      <c r="DY91" s="9" t="n">
        <v>10.37</v>
      </c>
      <c r="DZ91" s="9" t="n">
        <v>169.8</v>
      </c>
      <c r="EA91" s="9" t="n">
        <v>85.23</v>
      </c>
      <c r="EB91" s="9" t="n">
        <v>50.2</v>
      </c>
      <c r="EC91" s="9" t="n">
        <v>4.2</v>
      </c>
      <c r="ED91" s="9" t="n">
        <v>0.93</v>
      </c>
      <c r="EE91" s="9" t="n">
        <v>22.22</v>
      </c>
      <c r="EF91" s="9" t="n">
        <v>23.33</v>
      </c>
      <c r="EG91" s="9" t="n">
        <v>6.3</v>
      </c>
      <c r="EH91" s="9" t="n">
        <v>27</v>
      </c>
      <c r="EI91" s="9" t="n">
        <v>0.67</v>
      </c>
      <c r="EJ91" s="9" t="n">
        <v>0.33</v>
      </c>
      <c r="EK91" s="9" t="n">
        <v>50</v>
      </c>
      <c r="EL91" s="9" t="n">
        <v>26.13</v>
      </c>
      <c r="EM91" s="9" t="n">
        <v>3.43</v>
      </c>
      <c r="EN91" s="9" t="n">
        <v>13.14</v>
      </c>
      <c r="EO91" s="9" t="n">
        <v>3.8</v>
      </c>
      <c r="EP91" s="9" t="n">
        <v>1.1</v>
      </c>
      <c r="EQ91" s="9" t="n">
        <v>28.95</v>
      </c>
      <c r="ER91" s="9" t="n">
        <v>2.1</v>
      </c>
      <c r="ES91" s="9" t="n">
        <v>0.5</v>
      </c>
      <c r="ET91" s="9" t="n">
        <v>23.81</v>
      </c>
      <c r="EU91" s="9" t="n">
        <v>0</v>
      </c>
      <c r="EV91" s="9" t="n">
        <v>0</v>
      </c>
      <c r="EW91" s="9" t="n">
        <v>0</v>
      </c>
      <c r="EX91" s="9" t="n">
        <v>14.43</v>
      </c>
      <c r="EY91" s="9" t="n">
        <v>5</v>
      </c>
      <c r="EZ91" s="9" t="n">
        <v>34.64</v>
      </c>
      <c r="FA91" s="9" t="n">
        <v>5.23</v>
      </c>
      <c r="FB91" s="9" t="n">
        <v>5.47</v>
      </c>
      <c r="FC91" s="9" t="n">
        <v>22.6</v>
      </c>
      <c r="FD91" s="9" t="n">
        <v>3.67</v>
      </c>
      <c r="FE91" s="9" t="n">
        <v>9.800000000000001</v>
      </c>
      <c r="FF91" s="9" t="n">
        <v>15.9</v>
      </c>
      <c r="FG91" s="9" t="n">
        <v>52.5</v>
      </c>
      <c r="FH91" s="9" t="n">
        <v>22.23</v>
      </c>
      <c r="FI91" s="9" t="n">
        <v>42.35</v>
      </c>
      <c r="FJ91" s="9" t="n">
        <v>1.87</v>
      </c>
      <c r="FK91" s="9" t="n">
        <v>1.17</v>
      </c>
      <c r="FL91" s="9" t="n">
        <v>11.43</v>
      </c>
      <c r="FM91" s="9" t="n">
        <v>3.63</v>
      </c>
      <c r="FN91" s="9" t="n">
        <v>31.78</v>
      </c>
      <c r="FO91" s="9" t="n">
        <v>60.73</v>
      </c>
      <c r="FP91" s="9" t="n">
        <v>35.83</v>
      </c>
      <c r="FQ91" s="9" t="n">
        <v>59</v>
      </c>
      <c r="FR91" s="9" t="n">
        <v>35.27</v>
      </c>
      <c r="FS91" s="9" t="n">
        <v>18.27</v>
      </c>
      <c r="FT91" s="9" t="n">
        <v>51.8</v>
      </c>
      <c r="FU91" s="9" t="n">
        <v>2.53</v>
      </c>
      <c r="FV91" s="9" t="n">
        <v>1.33</v>
      </c>
      <c r="FW91" s="9" t="n">
        <v>52.63</v>
      </c>
      <c r="FX91" s="9" t="n">
        <v>37.37</v>
      </c>
      <c r="FY91" s="9" t="n">
        <v>15.93</v>
      </c>
      <c r="FZ91" s="9" t="n">
        <v>14.87</v>
      </c>
      <c r="GA91" s="9" t="n">
        <v>2.37</v>
      </c>
      <c r="GB91" s="9" t="n">
        <v>0</v>
      </c>
      <c r="GC91" s="9" t="n">
        <v>124.67</v>
      </c>
      <c r="GD91" s="9" t="n">
        <v>85.93000000000001</v>
      </c>
      <c r="GE91" s="9" t="n">
        <v>68.93000000000001</v>
      </c>
      <c r="GF91" s="9" t="n">
        <v>51.9</v>
      </c>
      <c r="GG91" s="9" t="n">
        <v>48.53</v>
      </c>
      <c r="GH91" s="9" t="n">
        <v>93.51000000000001</v>
      </c>
      <c r="GI91" s="9" t="n">
        <v>132.33</v>
      </c>
      <c r="GJ91" s="9" t="n">
        <v>116.77</v>
      </c>
      <c r="GK91" s="9" t="n">
        <v>88.23999999999999</v>
      </c>
      <c r="GL91" s="9" t="n">
        <v>48.13</v>
      </c>
      <c r="GM91" s="9" t="n">
        <v>24.9</v>
      </c>
      <c r="GN91" s="9" t="n">
        <v>51.73</v>
      </c>
      <c r="GO91" s="9" t="n">
        <v>47.63</v>
      </c>
      <c r="GP91" s="9" t="n">
        <v>29.57</v>
      </c>
      <c r="GQ91" s="9" t="n">
        <v>62.07</v>
      </c>
      <c r="GR91" s="9" t="n">
        <v>63.47</v>
      </c>
      <c r="GS91" s="9" t="n">
        <v>43.9</v>
      </c>
      <c r="GT91" s="9" t="n">
        <v>69.17</v>
      </c>
      <c r="GU91" s="9" t="n">
        <v>0.73</v>
      </c>
      <c r="GV91" s="9" t="n">
        <v>0.37</v>
      </c>
      <c r="GW91" s="9" t="n">
        <v>50</v>
      </c>
      <c r="GX91" s="9" t="n">
        <v>20.43</v>
      </c>
      <c r="GY91" s="9" t="n">
        <v>17.77</v>
      </c>
      <c r="GZ91" s="9" t="n">
        <v>86.95</v>
      </c>
      <c r="HA91" s="9" t="n">
        <v>9.67</v>
      </c>
      <c r="HB91" s="9" t="n">
        <v>15.31</v>
      </c>
      <c r="HC91" s="9" t="n">
        <v>3.67</v>
      </c>
      <c r="HD91" s="9" t="n">
        <v>14.01</v>
      </c>
      <c r="HE91" s="9" t="n">
        <v>17.93</v>
      </c>
      <c r="HF91" s="9" t="n">
        <v>20.69</v>
      </c>
      <c r="HG91" s="9" t="n">
        <v>12.14</v>
      </c>
    </row>
    <row r="92">
      <c r="A92" s="12" t="n">
        <v>2025</v>
      </c>
      <c r="B92" s="12" t="n">
        <v>37</v>
      </c>
      <c r="C92" s="5">
        <f>(B92-AVERAGE($B$2:$B$100))/_xlfn.STDEV.P($B$2:$B$100)</f>
        <v/>
      </c>
      <c r="D92" s="12" t="n">
        <v>8</v>
      </c>
      <c r="E92" s="6">
        <f>-D92</f>
        <v/>
      </c>
      <c r="F92" s="7">
        <f>(E92-AVERAGE($E$2:$E$100))/_xlfn.STDEV.P($E$2:$E$100)</f>
        <v/>
      </c>
      <c r="G92" s="7">
        <f>sum(0.5*C92)+(0.5*F92)</f>
        <v/>
      </c>
      <c r="H92" s="12" t="inlineStr">
        <is>
          <t>East</t>
        </is>
      </c>
      <c r="I92" s="8" t="inlineStr">
        <is>
          <t>Detroit City</t>
        </is>
      </c>
      <c r="J92" s="9" t="n">
        <v>1.06</v>
      </c>
      <c r="K92" s="9" t="n">
        <v>0.91</v>
      </c>
      <c r="L92" s="9" t="n">
        <v>8.880000000000001</v>
      </c>
      <c r="M92" s="9" t="n">
        <v>3.16</v>
      </c>
      <c r="N92" s="9" t="n">
        <v>35.56</v>
      </c>
      <c r="O92" s="9" t="n">
        <v>386.28</v>
      </c>
      <c r="P92" s="9" t="n">
        <v>313.25</v>
      </c>
      <c r="Q92" s="9" t="n">
        <v>81.09</v>
      </c>
      <c r="R92" s="9" t="n">
        <v>52.57</v>
      </c>
      <c r="S92" s="9" t="n">
        <v>112.13</v>
      </c>
      <c r="T92" s="9" t="n">
        <v>20.91</v>
      </c>
      <c r="U92" s="9" t="n">
        <v>40.5</v>
      </c>
      <c r="V92" s="9" t="n">
        <v>50.72</v>
      </c>
      <c r="W92" s="9" t="n">
        <v>80.47</v>
      </c>
      <c r="X92" s="9" t="n">
        <v>36.09</v>
      </c>
      <c r="Y92" s="9" t="n">
        <v>32.88</v>
      </c>
      <c r="Z92" s="9" t="n">
        <v>11.5</v>
      </c>
      <c r="AA92" s="9" t="n">
        <v>199.47</v>
      </c>
      <c r="AB92" s="9" t="n">
        <v>95.06</v>
      </c>
      <c r="AC92" s="9" t="n">
        <v>47.66</v>
      </c>
      <c r="AD92" s="9" t="n">
        <v>4.06</v>
      </c>
      <c r="AE92" s="9" t="n">
        <v>1.25</v>
      </c>
      <c r="AF92" s="9" t="n">
        <v>30.77</v>
      </c>
      <c r="AG92" s="9" t="n">
        <v>25.84</v>
      </c>
      <c r="AH92" s="9" t="n">
        <v>4.97</v>
      </c>
      <c r="AI92" s="9" t="n">
        <v>19.23</v>
      </c>
      <c r="AJ92" s="9" t="n">
        <v>0.5</v>
      </c>
      <c r="AK92" s="9" t="n">
        <v>0.22</v>
      </c>
      <c r="AL92" s="9" t="n">
        <v>43.75</v>
      </c>
      <c r="AM92" s="9" t="n">
        <v>28.25</v>
      </c>
      <c r="AN92" s="9" t="n">
        <v>3.09</v>
      </c>
      <c r="AO92" s="9" t="n">
        <v>10.95</v>
      </c>
      <c r="AP92" s="9" t="n">
        <v>3.91</v>
      </c>
      <c r="AQ92" s="9" t="n">
        <v>0.97</v>
      </c>
      <c r="AR92" s="9" t="n">
        <v>24.8</v>
      </c>
      <c r="AS92" s="9" t="n">
        <v>2.72</v>
      </c>
      <c r="AT92" s="9" t="n">
        <v>0.41</v>
      </c>
      <c r="AU92" s="9" t="n">
        <v>14.94</v>
      </c>
      <c r="AV92" s="9" t="n">
        <v>0.06</v>
      </c>
      <c r="AW92" s="9" t="n">
        <v>0.03</v>
      </c>
      <c r="AX92" s="9" t="n">
        <v>50</v>
      </c>
      <c r="AY92" s="9" t="n">
        <v>13.66</v>
      </c>
      <c r="AZ92" s="9" t="n">
        <v>4.63</v>
      </c>
      <c r="BA92" s="9" t="n">
        <v>33.87</v>
      </c>
      <c r="BB92" s="9" t="n">
        <v>4.41</v>
      </c>
      <c r="BC92" s="9" t="n">
        <v>5.38</v>
      </c>
      <c r="BD92" s="9" t="n">
        <v>21.69</v>
      </c>
      <c r="BE92" s="9" t="n">
        <v>3.38</v>
      </c>
      <c r="BF92" s="9" t="n">
        <v>8.59</v>
      </c>
      <c r="BG92" s="9" t="n">
        <v>13.78</v>
      </c>
      <c r="BH92" s="9" t="n">
        <v>68.03</v>
      </c>
      <c r="BI92" s="9" t="n">
        <v>27.81</v>
      </c>
      <c r="BJ92" s="9" t="n">
        <v>40.88</v>
      </c>
      <c r="BK92" s="9" t="n">
        <v>1.41</v>
      </c>
      <c r="BL92" s="9" t="n">
        <v>1.09</v>
      </c>
      <c r="BM92" s="9" t="n">
        <v>9.06</v>
      </c>
      <c r="BN92" s="9" t="n">
        <v>3</v>
      </c>
      <c r="BO92" s="9" t="n">
        <v>33.1</v>
      </c>
      <c r="BP92" s="9" t="n">
        <v>59.44</v>
      </c>
      <c r="BQ92" s="9" t="n">
        <v>35.78</v>
      </c>
      <c r="BR92" s="9" t="n">
        <v>60.2</v>
      </c>
      <c r="BS92" s="9" t="n">
        <v>45.34</v>
      </c>
      <c r="BT92" s="9" t="n">
        <v>20.72</v>
      </c>
      <c r="BU92" s="9" t="n">
        <v>45.69</v>
      </c>
      <c r="BV92" s="9" t="n">
        <v>1.97</v>
      </c>
      <c r="BW92" s="9" t="n">
        <v>1.03</v>
      </c>
      <c r="BX92" s="9" t="n">
        <v>52.38</v>
      </c>
      <c r="BY92" s="9" t="n">
        <v>35.97</v>
      </c>
      <c r="BZ92" s="9" t="n">
        <v>12.94</v>
      </c>
      <c r="CA92" s="9" t="n">
        <v>14.16</v>
      </c>
      <c r="CB92" s="9" t="n">
        <v>1.97</v>
      </c>
      <c r="CC92" s="9" t="n">
        <v>0</v>
      </c>
      <c r="CD92" s="9" t="n">
        <v>139.09</v>
      </c>
      <c r="CE92" s="9" t="n">
        <v>96.41</v>
      </c>
      <c r="CF92" s="9" t="n">
        <v>69.31</v>
      </c>
      <c r="CG92" s="9" t="n">
        <v>60.41</v>
      </c>
      <c r="CH92" s="9" t="n">
        <v>56.44</v>
      </c>
      <c r="CI92" s="9" t="n">
        <v>93.43000000000001</v>
      </c>
      <c r="CJ92" s="9" t="n">
        <v>132.81</v>
      </c>
      <c r="CK92" s="9" t="n">
        <v>117.16</v>
      </c>
      <c r="CL92" s="9" t="n">
        <v>88.20999999999999</v>
      </c>
      <c r="CM92" s="9" t="n">
        <v>48.03</v>
      </c>
      <c r="CN92" s="9" t="n">
        <v>25.06</v>
      </c>
      <c r="CO92" s="9" t="n">
        <v>52.18</v>
      </c>
      <c r="CP92" s="9" t="n">
        <v>51.78</v>
      </c>
      <c r="CQ92" s="9" t="n">
        <v>33</v>
      </c>
      <c r="CR92" s="9" t="n">
        <v>63.73</v>
      </c>
      <c r="CS92" s="9" t="n">
        <v>69.31</v>
      </c>
      <c r="CT92" s="9" t="n">
        <v>47.53</v>
      </c>
      <c r="CU92" s="9" t="n">
        <v>68.58</v>
      </c>
      <c r="CV92" s="9" t="n">
        <v>0.66</v>
      </c>
      <c r="CW92" s="9" t="n">
        <v>0.16</v>
      </c>
      <c r="CX92" s="9" t="n">
        <v>23.81</v>
      </c>
      <c r="CY92" s="9" t="n">
        <v>22.13</v>
      </c>
      <c r="CZ92" s="9" t="n">
        <v>19.56</v>
      </c>
      <c r="DA92" s="9" t="n">
        <v>88.42</v>
      </c>
      <c r="DB92" s="9" t="n">
        <v>7.75</v>
      </c>
      <c r="DC92" s="9" t="n">
        <v>15.27</v>
      </c>
      <c r="DD92" s="9" t="n">
        <v>3.77</v>
      </c>
      <c r="DE92" s="9" t="n">
        <v>12.72</v>
      </c>
      <c r="DF92" s="9" t="n">
        <v>18.64</v>
      </c>
      <c r="DG92" s="9" t="n">
        <v>19.97</v>
      </c>
      <c r="DH92" s="9" t="n">
        <v>10.21</v>
      </c>
      <c r="DI92" s="9" t="n">
        <v>1.09</v>
      </c>
      <c r="DJ92" s="9" t="n">
        <v>1.06</v>
      </c>
      <c r="DK92" s="9" t="n">
        <v>9.06</v>
      </c>
      <c r="DL92" s="9" t="n">
        <v>2.88</v>
      </c>
      <c r="DM92" s="9" t="n">
        <v>31.72</v>
      </c>
      <c r="DN92" s="9" t="n">
        <v>366.59</v>
      </c>
      <c r="DO92" s="9" t="n">
        <v>295.72</v>
      </c>
      <c r="DP92" s="9" t="n">
        <v>80.67</v>
      </c>
      <c r="DQ92" s="9" t="n">
        <v>47.43</v>
      </c>
      <c r="DR92" s="9" t="n">
        <v>109</v>
      </c>
      <c r="DS92" s="9" t="n">
        <v>20.75</v>
      </c>
      <c r="DT92" s="9" t="n">
        <v>38.03</v>
      </c>
      <c r="DU92" s="9" t="n">
        <v>50.22</v>
      </c>
      <c r="DV92" s="9" t="n">
        <v>79.25</v>
      </c>
      <c r="DW92" s="9" t="n">
        <v>35.56</v>
      </c>
      <c r="DX92" s="9" t="n">
        <v>31.25</v>
      </c>
      <c r="DY92" s="9" t="n">
        <v>12.44</v>
      </c>
      <c r="DZ92" s="9" t="n">
        <v>199.47</v>
      </c>
      <c r="EA92" s="9" t="n">
        <v>94.69</v>
      </c>
      <c r="EB92" s="9" t="n">
        <v>47.47</v>
      </c>
      <c r="EC92" s="9" t="n">
        <v>3.88</v>
      </c>
      <c r="ED92" s="9" t="n">
        <v>0.78</v>
      </c>
      <c r="EE92" s="9" t="n">
        <v>20.16</v>
      </c>
      <c r="EF92" s="9" t="n">
        <v>25.84</v>
      </c>
      <c r="EG92" s="9" t="n">
        <v>6.22</v>
      </c>
      <c r="EH92" s="9" t="n">
        <v>24.06</v>
      </c>
      <c r="EI92" s="9" t="n">
        <v>0.5</v>
      </c>
      <c r="EJ92" s="9" t="n">
        <v>0.19</v>
      </c>
      <c r="EK92" s="9" t="n">
        <v>37.5</v>
      </c>
      <c r="EL92" s="9" t="n">
        <v>26</v>
      </c>
      <c r="EM92" s="9" t="n">
        <v>2.22</v>
      </c>
      <c r="EN92" s="9" t="n">
        <v>8.529999999999999</v>
      </c>
      <c r="EO92" s="9" t="n">
        <v>3.72</v>
      </c>
      <c r="EP92" s="9" t="n">
        <v>0.88</v>
      </c>
      <c r="EQ92" s="9" t="n">
        <v>23.53</v>
      </c>
      <c r="ER92" s="9" t="n">
        <v>3.28</v>
      </c>
      <c r="ES92" s="9" t="n">
        <v>0.63</v>
      </c>
      <c r="ET92" s="9" t="n">
        <v>19.05</v>
      </c>
      <c r="EU92" s="9" t="n">
        <v>0.13</v>
      </c>
      <c r="EV92" s="9" t="n">
        <v>0.09</v>
      </c>
      <c r="EW92" s="9" t="n">
        <v>75</v>
      </c>
      <c r="EX92" s="9" t="n">
        <v>13</v>
      </c>
      <c r="EY92" s="9" t="n">
        <v>4.25</v>
      </c>
      <c r="EZ92" s="9" t="n">
        <v>32.69</v>
      </c>
      <c r="FA92" s="9" t="n">
        <v>4.56</v>
      </c>
      <c r="FB92" s="9" t="n">
        <v>5.28</v>
      </c>
      <c r="FC92" s="9" t="n">
        <v>20.81</v>
      </c>
      <c r="FD92" s="9" t="n">
        <v>2.66</v>
      </c>
      <c r="FE92" s="9" t="n">
        <v>8.31</v>
      </c>
      <c r="FF92" s="9" t="n">
        <v>13.38</v>
      </c>
      <c r="FG92" s="9" t="n">
        <v>59.41</v>
      </c>
      <c r="FH92" s="9" t="n">
        <v>23.63</v>
      </c>
      <c r="FI92" s="9" t="n">
        <v>39.77</v>
      </c>
      <c r="FJ92" s="9" t="n">
        <v>1.41</v>
      </c>
      <c r="FK92" s="9" t="n">
        <v>1.06</v>
      </c>
      <c r="FL92" s="9" t="n">
        <v>8.880000000000001</v>
      </c>
      <c r="FM92" s="9" t="n">
        <v>3.38</v>
      </c>
      <c r="FN92" s="9" t="n">
        <v>38.03</v>
      </c>
      <c r="FO92" s="9" t="n">
        <v>68.06</v>
      </c>
      <c r="FP92" s="9" t="n">
        <v>40.22</v>
      </c>
      <c r="FQ92" s="9" t="n">
        <v>59.09</v>
      </c>
      <c r="FR92" s="9" t="n">
        <v>45.34</v>
      </c>
      <c r="FS92" s="9" t="n">
        <v>20.25</v>
      </c>
      <c r="FT92" s="9" t="n">
        <v>44.66</v>
      </c>
      <c r="FU92" s="9" t="n">
        <v>2.28</v>
      </c>
      <c r="FV92" s="9" t="n">
        <v>1</v>
      </c>
      <c r="FW92" s="9" t="n">
        <v>43.84</v>
      </c>
      <c r="FX92" s="9" t="n">
        <v>35.94</v>
      </c>
      <c r="FY92" s="9" t="n">
        <v>14.38</v>
      </c>
      <c r="FZ92" s="9" t="n">
        <v>17.09</v>
      </c>
      <c r="GA92" s="9" t="n">
        <v>2.59</v>
      </c>
      <c r="GB92" s="9" t="n">
        <v>0.19</v>
      </c>
      <c r="GC92" s="9" t="n">
        <v>129</v>
      </c>
      <c r="GD92" s="9" t="n">
        <v>90</v>
      </c>
      <c r="GE92" s="9" t="n">
        <v>69.77</v>
      </c>
      <c r="GF92" s="9" t="n">
        <v>54.5</v>
      </c>
      <c r="GG92" s="9" t="n">
        <v>49.94</v>
      </c>
      <c r="GH92" s="9" t="n">
        <v>91.63</v>
      </c>
      <c r="GI92" s="9" t="n">
        <v>133.16</v>
      </c>
      <c r="GJ92" s="9" t="n">
        <v>116.88</v>
      </c>
      <c r="GK92" s="9" t="n">
        <v>87.77</v>
      </c>
      <c r="GL92" s="9" t="n">
        <v>48.97</v>
      </c>
      <c r="GM92" s="9" t="n">
        <v>26.28</v>
      </c>
      <c r="GN92" s="9" t="n">
        <v>53.67</v>
      </c>
      <c r="GO92" s="9" t="n">
        <v>51.09</v>
      </c>
      <c r="GP92" s="9" t="n">
        <v>32.34</v>
      </c>
      <c r="GQ92" s="9" t="n">
        <v>63.3</v>
      </c>
      <c r="GR92" s="9" t="n">
        <v>65.97</v>
      </c>
      <c r="GS92" s="9" t="n">
        <v>45.19</v>
      </c>
      <c r="GT92" s="9" t="n">
        <v>68.5</v>
      </c>
      <c r="GU92" s="9" t="n">
        <v>0.59</v>
      </c>
      <c r="GV92" s="9" t="n">
        <v>0.31</v>
      </c>
      <c r="GW92" s="9" t="n">
        <v>52.63</v>
      </c>
      <c r="GX92" s="9" t="n">
        <v>20.66</v>
      </c>
      <c r="GY92" s="9" t="n">
        <v>17.44</v>
      </c>
      <c r="GZ92" s="9" t="n">
        <v>84.42</v>
      </c>
      <c r="HA92" s="9" t="n">
        <v>8.029999999999999</v>
      </c>
      <c r="HB92" s="9" t="n">
        <v>15.9</v>
      </c>
      <c r="HC92" s="9" t="n">
        <v>3.6</v>
      </c>
      <c r="HD92" s="9" t="n">
        <v>14.15</v>
      </c>
      <c r="HE92" s="9" t="n">
        <v>18.24</v>
      </c>
      <c r="HF92" s="9" t="n">
        <v>20.56</v>
      </c>
      <c r="HG92" s="9" t="n">
        <v>9.119999999999999</v>
      </c>
    </row>
    <row r="93">
      <c r="A93" s="12" t="n">
        <v>2025</v>
      </c>
      <c r="B93" s="12" t="n">
        <v>36</v>
      </c>
      <c r="C93" s="5">
        <f>(B93-AVERAGE($B$2:$B$100))/_xlfn.STDEV.P($B$2:$B$100)</f>
        <v/>
      </c>
      <c r="D93" s="12" t="n">
        <v>9</v>
      </c>
      <c r="E93" s="6">
        <f>-D93</f>
        <v/>
      </c>
      <c r="F93" s="7">
        <f>(E93-AVERAGE($E$2:$E$100))/_xlfn.STDEV.P($E$2:$E$100)</f>
        <v/>
      </c>
      <c r="G93" s="7">
        <f>sum(0.5*C93)+(0.5*F93)</f>
        <v/>
      </c>
      <c r="H93" s="12" t="inlineStr">
        <is>
          <t>West</t>
        </is>
      </c>
      <c r="I93" s="8" t="inlineStr">
        <is>
          <t>Lexington</t>
        </is>
      </c>
      <c r="J93" s="9" t="n">
        <v>1.03</v>
      </c>
      <c r="K93" s="9" t="n">
        <v>1.22</v>
      </c>
      <c r="L93" s="9" t="n">
        <v>10.2</v>
      </c>
      <c r="M93" s="9" t="n">
        <v>3.17</v>
      </c>
      <c r="N93" s="9" t="n">
        <v>31.05</v>
      </c>
      <c r="O93" s="9" t="n">
        <v>410</v>
      </c>
      <c r="P93" s="9" t="n">
        <v>351.3</v>
      </c>
      <c r="Q93" s="9" t="n">
        <v>85.68000000000001</v>
      </c>
      <c r="R93" s="9" t="n">
        <v>52.41</v>
      </c>
      <c r="S93" s="9" t="n">
        <v>94.27</v>
      </c>
      <c r="T93" s="9" t="n">
        <v>18</v>
      </c>
      <c r="U93" s="9" t="n">
        <v>30.93</v>
      </c>
      <c r="V93" s="9" t="n">
        <v>45.33</v>
      </c>
      <c r="W93" s="9" t="n">
        <v>66.3</v>
      </c>
      <c r="X93" s="9" t="n">
        <v>29.7</v>
      </c>
      <c r="Y93" s="9" t="n">
        <v>25.5</v>
      </c>
      <c r="Z93" s="9" t="n">
        <v>11.1</v>
      </c>
      <c r="AA93" s="9" t="n">
        <v>172.6</v>
      </c>
      <c r="AB93" s="9" t="n">
        <v>81.5</v>
      </c>
      <c r="AC93" s="9" t="n">
        <v>47.22</v>
      </c>
      <c r="AD93" s="9" t="n">
        <v>3.83</v>
      </c>
      <c r="AE93" s="9" t="n">
        <v>0.77</v>
      </c>
      <c r="AF93" s="9" t="n">
        <v>20</v>
      </c>
      <c r="AG93" s="9" t="n">
        <v>25.93</v>
      </c>
      <c r="AH93" s="9" t="n">
        <v>6.37</v>
      </c>
      <c r="AI93" s="9" t="n">
        <v>24.55</v>
      </c>
      <c r="AJ93" s="9" t="n">
        <v>0.4</v>
      </c>
      <c r="AK93" s="9" t="n">
        <v>0.27</v>
      </c>
      <c r="AL93" s="9" t="n">
        <v>66.67</v>
      </c>
      <c r="AM93" s="9" t="n">
        <v>25.03</v>
      </c>
      <c r="AN93" s="9" t="n">
        <v>3.07</v>
      </c>
      <c r="AO93" s="9" t="n">
        <v>12.25</v>
      </c>
      <c r="AP93" s="9" t="n">
        <v>5.13</v>
      </c>
      <c r="AQ93" s="9" t="n">
        <v>1.33</v>
      </c>
      <c r="AR93" s="9" t="n">
        <v>25.97</v>
      </c>
      <c r="AS93" s="9" t="n">
        <v>1.63</v>
      </c>
      <c r="AT93" s="9" t="n">
        <v>0.43</v>
      </c>
      <c r="AU93" s="9" t="n">
        <v>26.53</v>
      </c>
      <c r="AV93" s="9" t="n">
        <v>0</v>
      </c>
      <c r="AW93" s="9" t="n">
        <v>0</v>
      </c>
      <c r="AX93" s="9" t="n">
        <v>0</v>
      </c>
      <c r="AY93" s="9" t="n">
        <v>14.47</v>
      </c>
      <c r="AZ93" s="9" t="n">
        <v>5</v>
      </c>
      <c r="BA93" s="9" t="n">
        <v>34.56</v>
      </c>
      <c r="BB93" s="9" t="n">
        <v>4.9</v>
      </c>
      <c r="BC93" s="9" t="n">
        <v>5.9</v>
      </c>
      <c r="BD93" s="9" t="n">
        <v>23.23</v>
      </c>
      <c r="BE93" s="9" t="n">
        <v>4.07</v>
      </c>
      <c r="BF93" s="9" t="n">
        <v>9.33</v>
      </c>
      <c r="BG93" s="9" t="n">
        <v>16.8</v>
      </c>
      <c r="BH93" s="9" t="n">
        <v>64.83</v>
      </c>
      <c r="BI93" s="9" t="n">
        <v>25.67</v>
      </c>
      <c r="BJ93" s="9" t="n">
        <v>39.59</v>
      </c>
      <c r="BK93" s="9" t="n">
        <v>1.57</v>
      </c>
      <c r="BL93" s="9" t="n">
        <v>1.4</v>
      </c>
      <c r="BM93" s="9" t="n">
        <v>9.67</v>
      </c>
      <c r="BN93" s="9" t="n">
        <v>3.4</v>
      </c>
      <c r="BO93" s="9" t="n">
        <v>35.17</v>
      </c>
      <c r="BP93" s="9" t="n">
        <v>54.67</v>
      </c>
      <c r="BQ93" s="9" t="n">
        <v>33.1</v>
      </c>
      <c r="BR93" s="9" t="n">
        <v>60.55</v>
      </c>
      <c r="BS93" s="9" t="n">
        <v>33.4</v>
      </c>
      <c r="BT93" s="9" t="n">
        <v>15.33</v>
      </c>
      <c r="BU93" s="9" t="n">
        <v>45.91</v>
      </c>
      <c r="BV93" s="9" t="n">
        <v>2.67</v>
      </c>
      <c r="BW93" s="9" t="n">
        <v>1.2</v>
      </c>
      <c r="BX93" s="9" t="n">
        <v>45</v>
      </c>
      <c r="BY93" s="9" t="n">
        <v>32</v>
      </c>
      <c r="BZ93" s="9" t="n">
        <v>14.1</v>
      </c>
      <c r="CA93" s="9" t="n">
        <v>12.77</v>
      </c>
      <c r="CB93" s="9" t="n">
        <v>1.9</v>
      </c>
      <c r="CC93" s="9" t="n">
        <v>0.17</v>
      </c>
      <c r="CD93" s="9" t="n">
        <v>135.47</v>
      </c>
      <c r="CE93" s="9" t="n">
        <v>104.73</v>
      </c>
      <c r="CF93" s="9" t="n">
        <v>77.31</v>
      </c>
      <c r="CG93" s="9" t="n">
        <v>61.97</v>
      </c>
      <c r="CH93" s="9" t="n">
        <v>58.57</v>
      </c>
      <c r="CI93" s="9" t="n">
        <v>94.51000000000001</v>
      </c>
      <c r="CJ93" s="9" t="n">
        <v>161.1</v>
      </c>
      <c r="CK93" s="9" t="n">
        <v>145.83</v>
      </c>
      <c r="CL93" s="9" t="n">
        <v>90.52</v>
      </c>
      <c r="CM93" s="9" t="n">
        <v>34.83</v>
      </c>
      <c r="CN93" s="9" t="n">
        <v>18.73</v>
      </c>
      <c r="CO93" s="9" t="n">
        <v>53.78</v>
      </c>
      <c r="CP93" s="9" t="n">
        <v>49.8</v>
      </c>
      <c r="CQ93" s="9" t="n">
        <v>36.03</v>
      </c>
      <c r="CR93" s="9" t="n">
        <v>72.36</v>
      </c>
      <c r="CS93" s="9" t="n">
        <v>65.90000000000001</v>
      </c>
      <c r="CT93" s="9" t="n">
        <v>49.27</v>
      </c>
      <c r="CU93" s="9" t="n">
        <v>74.76000000000001</v>
      </c>
      <c r="CV93" s="9" t="n">
        <v>1.47</v>
      </c>
      <c r="CW93" s="9" t="n">
        <v>0.63</v>
      </c>
      <c r="CX93" s="9" t="n">
        <v>43.18</v>
      </c>
      <c r="CY93" s="9" t="n">
        <v>19.5</v>
      </c>
      <c r="CZ93" s="9" t="n">
        <v>17.13</v>
      </c>
      <c r="DA93" s="9" t="n">
        <v>87.86</v>
      </c>
      <c r="DB93" s="9" t="n">
        <v>7.57</v>
      </c>
      <c r="DC93" s="9" t="n">
        <v>15.2</v>
      </c>
      <c r="DD93" s="9" t="n">
        <v>4.4</v>
      </c>
      <c r="DE93" s="9" t="n">
        <v>8.84</v>
      </c>
      <c r="DF93" s="9" t="n">
        <v>17.15</v>
      </c>
      <c r="DG93" s="9" t="n">
        <v>19.81</v>
      </c>
      <c r="DH93" s="9" t="n">
        <v>12.54</v>
      </c>
      <c r="DI93" s="9" t="n">
        <v>1.4</v>
      </c>
      <c r="DJ93" s="9" t="n">
        <v>1.27</v>
      </c>
      <c r="DK93" s="9" t="n">
        <v>9.67</v>
      </c>
      <c r="DL93" s="9" t="n">
        <v>3.27</v>
      </c>
      <c r="DM93" s="9" t="n">
        <v>33.79</v>
      </c>
      <c r="DN93" s="9" t="n">
        <v>395.83</v>
      </c>
      <c r="DO93" s="9" t="n">
        <v>333.1</v>
      </c>
      <c r="DP93" s="9" t="n">
        <v>84.15000000000001</v>
      </c>
      <c r="DQ93" s="9" t="n">
        <v>47.59</v>
      </c>
      <c r="DR93" s="9" t="n">
        <v>92.33</v>
      </c>
      <c r="DS93" s="9" t="n">
        <v>18.03</v>
      </c>
      <c r="DT93" s="9" t="n">
        <v>32.73</v>
      </c>
      <c r="DU93" s="9" t="n">
        <v>41.57</v>
      </c>
      <c r="DV93" s="9" t="n">
        <v>67.56999999999999</v>
      </c>
      <c r="DW93" s="9" t="n">
        <v>31.3</v>
      </c>
      <c r="DX93" s="9" t="n">
        <v>26</v>
      </c>
      <c r="DY93" s="9" t="n">
        <v>10.27</v>
      </c>
      <c r="DZ93" s="9" t="n">
        <v>172.6</v>
      </c>
      <c r="EA93" s="9" t="n">
        <v>85.06999999999999</v>
      </c>
      <c r="EB93" s="9" t="n">
        <v>49.29</v>
      </c>
      <c r="EC93" s="9" t="n">
        <v>3.87</v>
      </c>
      <c r="ED93" s="9" t="n">
        <v>0.97</v>
      </c>
      <c r="EE93" s="9" t="n">
        <v>25</v>
      </c>
      <c r="EF93" s="9" t="n">
        <v>24.27</v>
      </c>
      <c r="EG93" s="9" t="n">
        <v>5.67</v>
      </c>
      <c r="EH93" s="9" t="n">
        <v>23.35</v>
      </c>
      <c r="EI93" s="9" t="n">
        <v>0.73</v>
      </c>
      <c r="EJ93" s="9" t="n">
        <v>0.47</v>
      </c>
      <c r="EK93" s="9" t="n">
        <v>63.64</v>
      </c>
      <c r="EL93" s="9" t="n">
        <v>24.77</v>
      </c>
      <c r="EM93" s="9" t="n">
        <v>3.17</v>
      </c>
      <c r="EN93" s="9" t="n">
        <v>12.79</v>
      </c>
      <c r="EO93" s="9" t="n">
        <v>4.1</v>
      </c>
      <c r="EP93" s="9" t="n">
        <v>1.5</v>
      </c>
      <c r="EQ93" s="9" t="n">
        <v>36.59</v>
      </c>
      <c r="ER93" s="9" t="n">
        <v>1.97</v>
      </c>
      <c r="ES93" s="9" t="n">
        <v>0.37</v>
      </c>
      <c r="ET93" s="9" t="n">
        <v>18.64</v>
      </c>
      <c r="EU93" s="9" t="n">
        <v>0.17</v>
      </c>
      <c r="EV93" s="9" t="n">
        <v>0.17</v>
      </c>
      <c r="EW93" s="9" t="n">
        <v>100</v>
      </c>
      <c r="EX93" s="9" t="n">
        <v>12.67</v>
      </c>
      <c r="EY93" s="9" t="n">
        <v>4.27</v>
      </c>
      <c r="EZ93" s="9" t="n">
        <v>33.68</v>
      </c>
      <c r="FA93" s="9" t="n">
        <v>4.13</v>
      </c>
      <c r="FB93" s="9" t="n">
        <v>5.87</v>
      </c>
      <c r="FC93" s="9" t="n">
        <v>19.53</v>
      </c>
      <c r="FD93" s="9" t="n">
        <v>3.27</v>
      </c>
      <c r="FE93" s="9" t="n">
        <v>7.67</v>
      </c>
      <c r="FF93" s="9" t="n">
        <v>14.37</v>
      </c>
      <c r="FG93" s="9" t="n">
        <v>54.63</v>
      </c>
      <c r="FH93" s="9" t="n">
        <v>21.53</v>
      </c>
      <c r="FI93" s="9" t="n">
        <v>39.41</v>
      </c>
      <c r="FJ93" s="9" t="n">
        <v>1.5</v>
      </c>
      <c r="FK93" s="9" t="n">
        <v>1.03</v>
      </c>
      <c r="FL93" s="9" t="n">
        <v>10.2</v>
      </c>
      <c r="FM93" s="9" t="n">
        <v>3.43</v>
      </c>
      <c r="FN93" s="9" t="n">
        <v>33.66</v>
      </c>
      <c r="FO93" s="9" t="n">
        <v>64.87</v>
      </c>
      <c r="FP93" s="9" t="n">
        <v>39.17</v>
      </c>
      <c r="FQ93" s="9" t="n">
        <v>60.38</v>
      </c>
      <c r="FR93" s="9" t="n">
        <v>33.4</v>
      </c>
      <c r="FS93" s="9" t="n">
        <v>15.47</v>
      </c>
      <c r="FT93" s="9" t="n">
        <v>46.31</v>
      </c>
      <c r="FU93" s="9" t="n">
        <v>3</v>
      </c>
      <c r="FV93" s="9" t="n">
        <v>1.53</v>
      </c>
      <c r="FW93" s="9" t="n">
        <v>51.11</v>
      </c>
      <c r="FX93" s="9" t="n">
        <v>34.77</v>
      </c>
      <c r="FY93" s="9" t="n">
        <v>15.27</v>
      </c>
      <c r="FZ93" s="9" t="n">
        <v>12.27</v>
      </c>
      <c r="GA93" s="9" t="n">
        <v>2.03</v>
      </c>
      <c r="GB93" s="9" t="n">
        <v>0.07000000000000001</v>
      </c>
      <c r="GC93" s="9" t="n">
        <v>127.03</v>
      </c>
      <c r="GD93" s="9" t="n">
        <v>92.56999999999999</v>
      </c>
      <c r="GE93" s="9" t="n">
        <v>72.87</v>
      </c>
      <c r="GF93" s="9" t="n">
        <v>61.33</v>
      </c>
      <c r="GG93" s="9" t="n">
        <v>58</v>
      </c>
      <c r="GH93" s="9" t="n">
        <v>94.56999999999999</v>
      </c>
      <c r="GI93" s="9" t="n">
        <v>156.67</v>
      </c>
      <c r="GJ93" s="9" t="n">
        <v>141.43</v>
      </c>
      <c r="GK93" s="9" t="n">
        <v>90.28</v>
      </c>
      <c r="GL93" s="9" t="n">
        <v>43.33</v>
      </c>
      <c r="GM93" s="9" t="n">
        <v>21.7</v>
      </c>
      <c r="GN93" s="9" t="n">
        <v>50.08</v>
      </c>
      <c r="GO93" s="9" t="n">
        <v>46.3</v>
      </c>
      <c r="GP93" s="9" t="n">
        <v>29.87</v>
      </c>
      <c r="GQ93" s="9" t="n">
        <v>64.51000000000001</v>
      </c>
      <c r="GR93" s="9" t="n">
        <v>60.73</v>
      </c>
      <c r="GS93" s="9" t="n">
        <v>43.07</v>
      </c>
      <c r="GT93" s="9" t="n">
        <v>70.91</v>
      </c>
      <c r="GU93" s="9" t="n">
        <v>0.73</v>
      </c>
      <c r="GV93" s="9" t="n">
        <v>0.33</v>
      </c>
      <c r="GW93" s="9" t="n">
        <v>45.45</v>
      </c>
      <c r="GX93" s="9" t="n">
        <v>17.13</v>
      </c>
      <c r="GY93" s="9" t="n">
        <v>15.33</v>
      </c>
      <c r="GZ93" s="9" t="n">
        <v>89.48999999999999</v>
      </c>
      <c r="HA93" s="9" t="n">
        <v>7.67</v>
      </c>
      <c r="HB93" s="9" t="n">
        <v>16.06</v>
      </c>
      <c r="HC93" s="9" t="n">
        <v>4.29</v>
      </c>
      <c r="HD93" s="9" t="n">
        <v>11.68</v>
      </c>
      <c r="HE93" s="9" t="n">
        <v>18.54</v>
      </c>
      <c r="HF93" s="9" t="n">
        <v>20.42</v>
      </c>
      <c r="HG93" s="9" t="n">
        <v>12.56</v>
      </c>
    </row>
    <row r="94">
      <c r="A94" s="12" t="n">
        <v>2025</v>
      </c>
      <c r="B94" s="12" t="n">
        <v>35</v>
      </c>
      <c r="C94" s="5">
        <f>(B94-AVERAGE($B$2:$B$100))/_xlfn.STDEV.P($B$2:$B$100)</f>
        <v/>
      </c>
      <c r="D94" s="12" t="n">
        <v>9</v>
      </c>
      <c r="E94" s="6">
        <f>-D94</f>
        <v/>
      </c>
      <c r="F94" s="7">
        <f>(E94-AVERAGE($E$2:$E$100))/_xlfn.STDEV.P($E$2:$E$100)</f>
        <v/>
      </c>
      <c r="G94" s="7">
        <f>sum(0.5*C94)+(0.5*F94)</f>
        <v/>
      </c>
      <c r="H94" s="12" t="inlineStr">
        <is>
          <t>East</t>
        </is>
      </c>
      <c r="I94" s="8" t="inlineStr">
        <is>
          <t>Indy Eleven</t>
        </is>
      </c>
      <c r="J94" s="9" t="n">
        <v>1.47</v>
      </c>
      <c r="K94" s="9" t="n">
        <v>1.18</v>
      </c>
      <c r="L94" s="9" t="n">
        <v>9.869999999999999</v>
      </c>
      <c r="M94" s="9" t="n">
        <v>3.5</v>
      </c>
      <c r="N94" s="9" t="n">
        <v>35.47</v>
      </c>
      <c r="O94" s="9" t="n">
        <v>322.9</v>
      </c>
      <c r="P94" s="9" t="n">
        <v>248</v>
      </c>
      <c r="Q94" s="9" t="n">
        <v>76.8</v>
      </c>
      <c r="R94" s="9" t="n">
        <v>43</v>
      </c>
      <c r="S94" s="9" t="n">
        <v>112.37</v>
      </c>
      <c r="T94" s="9" t="n">
        <v>19.73</v>
      </c>
      <c r="U94" s="9" t="n">
        <v>37.43</v>
      </c>
      <c r="V94" s="9" t="n">
        <v>55.2</v>
      </c>
      <c r="W94" s="9" t="n">
        <v>80.2</v>
      </c>
      <c r="X94" s="9" t="n">
        <v>38.13</v>
      </c>
      <c r="Y94" s="9" t="n">
        <v>29.3</v>
      </c>
      <c r="Z94" s="9" t="n">
        <v>12.77</v>
      </c>
      <c r="AA94" s="9" t="n">
        <v>176.43</v>
      </c>
      <c r="AB94" s="9" t="n">
        <v>84.59999999999999</v>
      </c>
      <c r="AC94" s="9" t="n">
        <v>47.95</v>
      </c>
      <c r="AD94" s="9" t="n">
        <v>3.83</v>
      </c>
      <c r="AE94" s="9" t="n">
        <v>0.97</v>
      </c>
      <c r="AF94" s="9" t="n">
        <v>25.22</v>
      </c>
      <c r="AG94" s="9" t="n">
        <v>26.47</v>
      </c>
      <c r="AH94" s="9" t="n">
        <v>5.13</v>
      </c>
      <c r="AI94" s="9" t="n">
        <v>19.4</v>
      </c>
      <c r="AJ94" s="9" t="n">
        <v>0.77</v>
      </c>
      <c r="AK94" s="9" t="n">
        <v>0.4</v>
      </c>
      <c r="AL94" s="9" t="n">
        <v>52.17</v>
      </c>
      <c r="AM94" s="9" t="n">
        <v>24.63</v>
      </c>
      <c r="AN94" s="9" t="n">
        <v>3.5</v>
      </c>
      <c r="AO94" s="9" t="n">
        <v>14.21</v>
      </c>
      <c r="AP94" s="9" t="n">
        <v>4.7</v>
      </c>
      <c r="AQ94" s="9" t="n">
        <v>1.57</v>
      </c>
      <c r="AR94" s="9" t="n">
        <v>33.33</v>
      </c>
      <c r="AS94" s="9" t="n">
        <v>2.83</v>
      </c>
      <c r="AT94" s="9" t="n">
        <v>0.9</v>
      </c>
      <c r="AU94" s="9" t="n">
        <v>31.76</v>
      </c>
      <c r="AV94" s="9" t="n">
        <v>0.13</v>
      </c>
      <c r="AW94" s="9" t="n">
        <v>0.13</v>
      </c>
      <c r="AX94" s="9" t="n">
        <v>100</v>
      </c>
      <c r="AY94" s="9" t="n">
        <v>15.7</v>
      </c>
      <c r="AZ94" s="9" t="n">
        <v>4.4</v>
      </c>
      <c r="BA94" s="9" t="n">
        <v>28.03</v>
      </c>
      <c r="BB94" s="9" t="n">
        <v>4.27</v>
      </c>
      <c r="BC94" s="9" t="n">
        <v>6.33</v>
      </c>
      <c r="BD94" s="9" t="n">
        <v>22.6</v>
      </c>
      <c r="BE94" s="9" t="n">
        <v>2.27</v>
      </c>
      <c r="BF94" s="9" t="n">
        <v>10.23</v>
      </c>
      <c r="BG94" s="9" t="n">
        <v>14.83</v>
      </c>
      <c r="BH94" s="9" t="n">
        <v>45.03</v>
      </c>
      <c r="BI94" s="9" t="n">
        <v>17.47</v>
      </c>
      <c r="BJ94" s="9" t="n">
        <v>38.79</v>
      </c>
      <c r="BK94" s="9" t="n">
        <v>2.3</v>
      </c>
      <c r="BL94" s="9" t="n">
        <v>1.73</v>
      </c>
      <c r="BM94" s="9" t="n">
        <v>12</v>
      </c>
      <c r="BN94" s="9" t="n">
        <v>4.4</v>
      </c>
      <c r="BO94" s="9" t="n">
        <v>36.67</v>
      </c>
      <c r="BP94" s="9" t="n">
        <v>57.6</v>
      </c>
      <c r="BQ94" s="9" t="n">
        <v>35.03</v>
      </c>
      <c r="BR94" s="9" t="n">
        <v>60.82</v>
      </c>
      <c r="BS94" s="9" t="n">
        <v>47.67</v>
      </c>
      <c r="BT94" s="9" t="n">
        <v>21.57</v>
      </c>
      <c r="BU94" s="9" t="n">
        <v>45.24</v>
      </c>
      <c r="BV94" s="9" t="n">
        <v>1.9</v>
      </c>
      <c r="BW94" s="9" t="n">
        <v>0.73</v>
      </c>
      <c r="BX94" s="9" t="n">
        <v>38.6</v>
      </c>
      <c r="BY94" s="9" t="n">
        <v>36.83</v>
      </c>
      <c r="BZ94" s="9" t="n">
        <v>19.33</v>
      </c>
      <c r="CA94" s="9" t="n">
        <v>14.37</v>
      </c>
      <c r="CB94" s="9" t="n">
        <v>1.93</v>
      </c>
      <c r="CC94" s="9" t="n">
        <v>0.1</v>
      </c>
      <c r="CD94" s="9" t="n">
        <v>124.8</v>
      </c>
      <c r="CE94" s="9" t="n">
        <v>82.56999999999999</v>
      </c>
      <c r="CF94" s="9" t="n">
        <v>66.16</v>
      </c>
      <c r="CG94" s="9" t="n">
        <v>47.87</v>
      </c>
      <c r="CH94" s="9" t="n">
        <v>44.03</v>
      </c>
      <c r="CI94" s="9" t="n">
        <v>91.98999999999999</v>
      </c>
      <c r="CJ94" s="9" t="n">
        <v>105.8</v>
      </c>
      <c r="CK94" s="9" t="n">
        <v>88.63</v>
      </c>
      <c r="CL94" s="9" t="n">
        <v>83.77</v>
      </c>
      <c r="CM94" s="9" t="n">
        <v>52.43</v>
      </c>
      <c r="CN94" s="9" t="n">
        <v>26.57</v>
      </c>
      <c r="CO94" s="9" t="n">
        <v>50.67</v>
      </c>
      <c r="CP94" s="9" t="n">
        <v>52.67</v>
      </c>
      <c r="CQ94" s="9" t="n">
        <v>32.2</v>
      </c>
      <c r="CR94" s="9" t="n">
        <v>61.14</v>
      </c>
      <c r="CS94" s="9" t="n">
        <v>68.37</v>
      </c>
      <c r="CT94" s="9" t="n">
        <v>47.8</v>
      </c>
      <c r="CU94" s="9" t="n">
        <v>69.92</v>
      </c>
      <c r="CV94" s="9" t="n">
        <v>0.47</v>
      </c>
      <c r="CW94" s="9" t="n">
        <v>0.23</v>
      </c>
      <c r="CX94" s="9" t="n">
        <v>50</v>
      </c>
      <c r="CY94" s="9" t="n">
        <v>20.23</v>
      </c>
      <c r="CZ94" s="9" t="n">
        <v>16.5</v>
      </c>
      <c r="DA94" s="9" t="n">
        <v>81.55</v>
      </c>
      <c r="DB94" s="9" t="n">
        <v>8.83</v>
      </c>
      <c r="DC94" s="9" t="n">
        <v>16.01</v>
      </c>
      <c r="DD94" s="9" t="n">
        <v>3.18</v>
      </c>
      <c r="DE94" s="9" t="n">
        <v>16.98</v>
      </c>
      <c r="DF94" s="9" t="n">
        <v>17.9</v>
      </c>
      <c r="DG94" s="9" t="n">
        <v>21.18</v>
      </c>
      <c r="DH94" s="9" t="n">
        <v>12.31</v>
      </c>
      <c r="DI94" s="9" t="n">
        <v>1.73</v>
      </c>
      <c r="DJ94" s="9" t="n">
        <v>1.33</v>
      </c>
      <c r="DK94" s="9" t="n">
        <v>12</v>
      </c>
      <c r="DL94" s="9" t="n">
        <v>4.2</v>
      </c>
      <c r="DM94" s="9" t="n">
        <v>35</v>
      </c>
      <c r="DN94" s="9" t="n">
        <v>431.3</v>
      </c>
      <c r="DO94" s="9" t="n">
        <v>353.7</v>
      </c>
      <c r="DP94" s="9" t="n">
        <v>82.01000000000001</v>
      </c>
      <c r="DQ94" s="9" t="n">
        <v>57</v>
      </c>
      <c r="DR94" s="9" t="n">
        <v>114.97</v>
      </c>
      <c r="DS94" s="9" t="n">
        <v>21.07</v>
      </c>
      <c r="DT94" s="9" t="n">
        <v>38.07</v>
      </c>
      <c r="DU94" s="9" t="n">
        <v>55.83</v>
      </c>
      <c r="DV94" s="9" t="n">
        <v>78.73</v>
      </c>
      <c r="DW94" s="9" t="n">
        <v>38.13</v>
      </c>
      <c r="DX94" s="9" t="n">
        <v>30.1</v>
      </c>
      <c r="DY94" s="9" t="n">
        <v>10.5</v>
      </c>
      <c r="DZ94" s="9" t="n">
        <v>176.43</v>
      </c>
      <c r="EA94" s="9" t="n">
        <v>84.17</v>
      </c>
      <c r="EB94" s="9" t="n">
        <v>47.7</v>
      </c>
      <c r="EC94" s="9" t="n">
        <v>5.5</v>
      </c>
      <c r="ED94" s="9" t="n">
        <v>1.57</v>
      </c>
      <c r="EE94" s="9" t="n">
        <v>28.48</v>
      </c>
      <c r="EF94" s="9" t="n">
        <v>28.37</v>
      </c>
      <c r="EG94" s="9" t="n">
        <v>7.6</v>
      </c>
      <c r="EH94" s="9" t="n">
        <v>26.79</v>
      </c>
      <c r="EI94" s="9" t="n">
        <v>0.57</v>
      </c>
      <c r="EJ94" s="9" t="n">
        <v>0.4</v>
      </c>
      <c r="EK94" s="9" t="n">
        <v>70.59</v>
      </c>
      <c r="EL94" s="9" t="n">
        <v>28.67</v>
      </c>
      <c r="EM94" s="9" t="n">
        <v>3.4</v>
      </c>
      <c r="EN94" s="9" t="n">
        <v>11.86</v>
      </c>
      <c r="EO94" s="9" t="n">
        <v>5.23</v>
      </c>
      <c r="EP94" s="9" t="n">
        <v>1.33</v>
      </c>
      <c r="EQ94" s="9" t="n">
        <v>25.48</v>
      </c>
      <c r="ER94" s="9" t="n">
        <v>2.73</v>
      </c>
      <c r="ES94" s="9" t="n">
        <v>0.4</v>
      </c>
      <c r="ET94" s="9" t="n">
        <v>14.63</v>
      </c>
      <c r="EU94" s="9" t="n">
        <v>0.13</v>
      </c>
      <c r="EV94" s="9" t="n">
        <v>0.1</v>
      </c>
      <c r="EW94" s="9" t="n">
        <v>75</v>
      </c>
      <c r="EX94" s="9" t="n">
        <v>14.37</v>
      </c>
      <c r="EY94" s="9" t="n">
        <v>4.6</v>
      </c>
      <c r="EZ94" s="9" t="n">
        <v>32.02</v>
      </c>
      <c r="FA94" s="9" t="n">
        <v>4.5</v>
      </c>
      <c r="FB94" s="9" t="n">
        <v>6.57</v>
      </c>
      <c r="FC94" s="9" t="n">
        <v>25.3</v>
      </c>
      <c r="FD94" s="9" t="n">
        <v>3.07</v>
      </c>
      <c r="FE94" s="9" t="n">
        <v>9.869999999999999</v>
      </c>
      <c r="FF94" s="9" t="n">
        <v>14.5</v>
      </c>
      <c r="FG94" s="9" t="n">
        <v>57.6</v>
      </c>
      <c r="FH94" s="9" t="n">
        <v>22.57</v>
      </c>
      <c r="FI94" s="9" t="n">
        <v>39.18</v>
      </c>
      <c r="FJ94" s="9" t="n">
        <v>1.47</v>
      </c>
      <c r="FK94" s="9" t="n">
        <v>1.47</v>
      </c>
      <c r="FL94" s="9" t="n">
        <v>9.869999999999999</v>
      </c>
      <c r="FM94" s="9" t="n">
        <v>3.83</v>
      </c>
      <c r="FN94" s="9" t="n">
        <v>38.85</v>
      </c>
      <c r="FO94" s="9" t="n">
        <v>45.07</v>
      </c>
      <c r="FP94" s="9" t="n">
        <v>27.57</v>
      </c>
      <c r="FQ94" s="9" t="n">
        <v>61.17</v>
      </c>
      <c r="FR94" s="9" t="n">
        <v>47.67</v>
      </c>
      <c r="FS94" s="9" t="n">
        <v>22.2</v>
      </c>
      <c r="FT94" s="9" t="n">
        <v>46.57</v>
      </c>
      <c r="FU94" s="9" t="n">
        <v>1.97</v>
      </c>
      <c r="FV94" s="9" t="n">
        <v>1.07</v>
      </c>
      <c r="FW94" s="9" t="n">
        <v>54.24</v>
      </c>
      <c r="FX94" s="9" t="n">
        <v>34.23</v>
      </c>
      <c r="FY94" s="9" t="n">
        <v>16.43</v>
      </c>
      <c r="FZ94" s="9" t="n">
        <v>12.17</v>
      </c>
      <c r="GA94" s="9" t="n">
        <v>2.07</v>
      </c>
      <c r="GB94" s="9" t="n">
        <v>0.07000000000000001</v>
      </c>
      <c r="GC94" s="9" t="n">
        <v>154.37</v>
      </c>
      <c r="GD94" s="9" t="n">
        <v>109.07</v>
      </c>
      <c r="GE94" s="9" t="n">
        <v>70.65000000000001</v>
      </c>
      <c r="GF94" s="9" t="n">
        <v>63.73</v>
      </c>
      <c r="GG94" s="9" t="n">
        <v>60.37</v>
      </c>
      <c r="GH94" s="9" t="n">
        <v>94.72</v>
      </c>
      <c r="GI94" s="9" t="n">
        <v>148.93</v>
      </c>
      <c r="GJ94" s="9" t="n">
        <v>130.43</v>
      </c>
      <c r="GK94" s="9" t="n">
        <v>87.58</v>
      </c>
      <c r="GL94" s="9" t="n">
        <v>51.7</v>
      </c>
      <c r="GM94" s="9" t="n">
        <v>24.8</v>
      </c>
      <c r="GN94" s="9" t="n">
        <v>47.97</v>
      </c>
      <c r="GO94" s="9" t="n">
        <v>59.9</v>
      </c>
      <c r="GP94" s="9" t="n">
        <v>38.37</v>
      </c>
      <c r="GQ94" s="9" t="n">
        <v>64.05</v>
      </c>
      <c r="GR94" s="9" t="n">
        <v>74.43000000000001</v>
      </c>
      <c r="GS94" s="9" t="n">
        <v>53.3</v>
      </c>
      <c r="GT94" s="9" t="n">
        <v>71.61</v>
      </c>
      <c r="GU94" s="9" t="n">
        <v>0.93</v>
      </c>
      <c r="GV94" s="9" t="n">
        <v>0.43</v>
      </c>
      <c r="GW94" s="9" t="n">
        <v>46.43</v>
      </c>
      <c r="GX94" s="9" t="n">
        <v>20.9</v>
      </c>
      <c r="GY94" s="9" t="n">
        <v>18.83</v>
      </c>
      <c r="GZ94" s="9" t="n">
        <v>90.11</v>
      </c>
      <c r="HA94" s="9" t="n">
        <v>7.83</v>
      </c>
      <c r="HB94" s="9" t="n">
        <v>15.96</v>
      </c>
      <c r="HC94" s="9" t="n">
        <v>4.2</v>
      </c>
      <c r="HD94" s="9" t="n">
        <v>12.76</v>
      </c>
      <c r="HE94" s="9" t="n">
        <v>18.74</v>
      </c>
      <c r="HF94" s="9" t="n">
        <v>19.74</v>
      </c>
      <c r="HG94" s="9" t="n">
        <v>10.38</v>
      </c>
    </row>
    <row r="95">
      <c r="A95" s="12" t="n">
        <v>2025</v>
      </c>
      <c r="B95" s="12" t="n">
        <v>34</v>
      </c>
      <c r="C95" s="5">
        <f>(B95-AVERAGE($B$2:$B$100))/_xlfn.STDEV.P($B$2:$B$100)</f>
        <v/>
      </c>
      <c r="D95" s="12" t="n">
        <v>10</v>
      </c>
      <c r="E95" s="6">
        <f>-D95</f>
        <v/>
      </c>
      <c r="F95" s="7">
        <f>(E95-AVERAGE($E$2:$E$100))/_xlfn.STDEV.P($E$2:$E$100)</f>
        <v/>
      </c>
      <c r="G95" s="7">
        <f>sum(0.5*C95)+(0.5*F95)</f>
        <v/>
      </c>
      <c r="H95" s="12" t="inlineStr">
        <is>
          <t>East</t>
        </is>
      </c>
      <c r="I95" s="8" t="inlineStr">
        <is>
          <t>Tampa Bay Rowdies</t>
        </is>
      </c>
      <c r="J95" s="9" t="n">
        <v>1.43</v>
      </c>
      <c r="K95" s="9" t="n">
        <v>1.14</v>
      </c>
      <c r="L95" s="9" t="n">
        <v>10.23</v>
      </c>
      <c r="M95" s="9" t="n">
        <v>3.63</v>
      </c>
      <c r="N95" s="9" t="n">
        <v>35.5</v>
      </c>
      <c r="O95" s="9" t="n">
        <v>403.03</v>
      </c>
      <c r="P95" s="9" t="n">
        <v>335.67</v>
      </c>
      <c r="Q95" s="9" t="n">
        <v>83.29000000000001</v>
      </c>
      <c r="R95" s="9" t="n">
        <v>49.62</v>
      </c>
      <c r="S95" s="9" t="n">
        <v>103.3</v>
      </c>
      <c r="T95" s="9" t="n">
        <v>21.43</v>
      </c>
      <c r="U95" s="9" t="n">
        <v>37.87</v>
      </c>
      <c r="V95" s="9" t="n">
        <v>44</v>
      </c>
      <c r="W95" s="9" t="n">
        <v>72.77</v>
      </c>
      <c r="X95" s="9" t="n">
        <v>35.6</v>
      </c>
      <c r="Y95" s="9" t="n">
        <v>26.43</v>
      </c>
      <c r="Z95" s="9" t="n">
        <v>10.73</v>
      </c>
      <c r="AA95" s="9" t="n">
        <v>172.07</v>
      </c>
      <c r="AB95" s="9" t="n">
        <v>79.33</v>
      </c>
      <c r="AC95" s="9" t="n">
        <v>46.11</v>
      </c>
      <c r="AD95" s="9" t="n">
        <v>4.33</v>
      </c>
      <c r="AE95" s="9" t="n">
        <v>1.23</v>
      </c>
      <c r="AF95" s="9" t="n">
        <v>28.46</v>
      </c>
      <c r="AG95" s="9" t="n">
        <v>24.57</v>
      </c>
      <c r="AH95" s="9" t="n">
        <v>6.63</v>
      </c>
      <c r="AI95" s="9" t="n">
        <v>27</v>
      </c>
      <c r="AJ95" s="9" t="n">
        <v>0.6</v>
      </c>
      <c r="AK95" s="9" t="n">
        <v>0.27</v>
      </c>
      <c r="AL95" s="9" t="n">
        <v>44.44</v>
      </c>
      <c r="AM95" s="9" t="n">
        <v>25.8</v>
      </c>
      <c r="AN95" s="9" t="n">
        <v>2.87</v>
      </c>
      <c r="AO95" s="9" t="n">
        <v>11.11</v>
      </c>
      <c r="AP95" s="9" t="n">
        <v>4.03</v>
      </c>
      <c r="AQ95" s="9" t="n">
        <v>1</v>
      </c>
      <c r="AR95" s="9" t="n">
        <v>24.79</v>
      </c>
      <c r="AS95" s="9" t="n">
        <v>2.07</v>
      </c>
      <c r="AT95" s="9" t="n">
        <v>0.5</v>
      </c>
      <c r="AU95" s="9" t="n">
        <v>24.19</v>
      </c>
      <c r="AV95" s="9" t="n">
        <v>0.1</v>
      </c>
      <c r="AW95" s="9" t="n">
        <v>0.07000000000000001</v>
      </c>
      <c r="AX95" s="9" t="n">
        <v>66.67</v>
      </c>
      <c r="AY95" s="9" t="n">
        <v>12.67</v>
      </c>
      <c r="AZ95" s="9" t="n">
        <v>4.1</v>
      </c>
      <c r="BA95" s="9" t="n">
        <v>32.37</v>
      </c>
      <c r="BB95" s="9" t="n">
        <v>4.07</v>
      </c>
      <c r="BC95" s="9" t="n">
        <v>5.9</v>
      </c>
      <c r="BD95" s="9" t="n">
        <v>19.63</v>
      </c>
      <c r="BE95" s="9" t="n">
        <v>2.67</v>
      </c>
      <c r="BF95" s="9" t="n">
        <v>7.8</v>
      </c>
      <c r="BG95" s="9" t="n">
        <v>13.37</v>
      </c>
      <c r="BH95" s="9" t="n">
        <v>57.77</v>
      </c>
      <c r="BI95" s="9" t="n">
        <v>21.13</v>
      </c>
      <c r="BJ95" s="9" t="n">
        <v>36.58</v>
      </c>
      <c r="BK95" s="9" t="n">
        <v>0.97</v>
      </c>
      <c r="BL95" s="9" t="n">
        <v>1.67</v>
      </c>
      <c r="BM95" s="9" t="n">
        <v>10.7</v>
      </c>
      <c r="BN95" s="9" t="n">
        <v>3.87</v>
      </c>
      <c r="BO95" s="9" t="n">
        <v>36.14</v>
      </c>
      <c r="BP95" s="9" t="n">
        <v>56.1</v>
      </c>
      <c r="BQ95" s="9" t="n">
        <v>33</v>
      </c>
      <c r="BR95" s="9" t="n">
        <v>58.82</v>
      </c>
      <c r="BS95" s="9" t="n">
        <v>35.97</v>
      </c>
      <c r="BT95" s="9" t="n">
        <v>16.47</v>
      </c>
      <c r="BU95" s="9" t="n">
        <v>45.78</v>
      </c>
      <c r="BV95" s="9" t="n">
        <v>2.9</v>
      </c>
      <c r="BW95" s="9" t="n">
        <v>1.43</v>
      </c>
      <c r="BX95" s="9" t="n">
        <v>49.43</v>
      </c>
      <c r="BY95" s="9" t="n">
        <v>36.23</v>
      </c>
      <c r="BZ95" s="9" t="n">
        <v>13.53</v>
      </c>
      <c r="CA95" s="9" t="n">
        <v>14.33</v>
      </c>
      <c r="CB95" s="9" t="n">
        <v>2.3</v>
      </c>
      <c r="CC95" s="9" t="n">
        <v>0.07000000000000001</v>
      </c>
      <c r="CD95" s="9" t="n">
        <v>138.53</v>
      </c>
      <c r="CE95" s="9" t="n">
        <v>101.1</v>
      </c>
      <c r="CF95" s="9" t="n">
        <v>72.98</v>
      </c>
      <c r="CG95" s="9" t="n">
        <v>61.23</v>
      </c>
      <c r="CH95" s="9" t="n">
        <v>57.07</v>
      </c>
      <c r="CI95" s="9" t="n">
        <v>93.2</v>
      </c>
      <c r="CJ95" s="9" t="n">
        <v>146.27</v>
      </c>
      <c r="CK95" s="9" t="n">
        <v>130.57</v>
      </c>
      <c r="CL95" s="9" t="n">
        <v>89.27</v>
      </c>
      <c r="CM95" s="9" t="n">
        <v>45.1</v>
      </c>
      <c r="CN95" s="9" t="n">
        <v>23.4</v>
      </c>
      <c r="CO95" s="9" t="n">
        <v>51.88</v>
      </c>
      <c r="CP95" s="9" t="n">
        <v>50.2</v>
      </c>
      <c r="CQ95" s="9" t="n">
        <v>34</v>
      </c>
      <c r="CR95" s="9" t="n">
        <v>67.73</v>
      </c>
      <c r="CS95" s="9" t="n">
        <v>69.56999999999999</v>
      </c>
      <c r="CT95" s="9" t="n">
        <v>48</v>
      </c>
      <c r="CU95" s="9" t="n">
        <v>69</v>
      </c>
      <c r="CV95" s="9" t="n">
        <v>0.63</v>
      </c>
      <c r="CW95" s="9" t="n">
        <v>0.17</v>
      </c>
      <c r="CX95" s="9" t="n">
        <v>26.32</v>
      </c>
      <c r="CY95" s="9" t="n">
        <v>18.5</v>
      </c>
      <c r="CZ95" s="9" t="n">
        <v>16.67</v>
      </c>
      <c r="DA95" s="9" t="n">
        <v>90.09</v>
      </c>
      <c r="DB95" s="9" t="n">
        <v>8.5</v>
      </c>
      <c r="DC95" s="9" t="n">
        <v>16.33</v>
      </c>
      <c r="DD95" s="9" t="n">
        <v>4.2</v>
      </c>
      <c r="DE95" s="9" t="n">
        <v>11.54</v>
      </c>
      <c r="DF95" s="9" t="n">
        <v>18.23</v>
      </c>
      <c r="DG95" s="9" t="n">
        <v>19.61</v>
      </c>
      <c r="DH95" s="9" t="n">
        <v>10.96</v>
      </c>
      <c r="DI95" s="9" t="n">
        <v>1.67</v>
      </c>
      <c r="DJ95" s="9" t="n">
        <v>1.32</v>
      </c>
      <c r="DK95" s="9" t="n">
        <v>10.7</v>
      </c>
      <c r="DL95" s="9" t="n">
        <v>3.73</v>
      </c>
      <c r="DM95" s="9" t="n">
        <v>34.89</v>
      </c>
      <c r="DN95" s="9" t="n">
        <v>404.27</v>
      </c>
      <c r="DO95" s="9" t="n">
        <v>333.27</v>
      </c>
      <c r="DP95" s="9" t="n">
        <v>82.44</v>
      </c>
      <c r="DQ95" s="9" t="n">
        <v>50.38</v>
      </c>
      <c r="DR95" s="9" t="n">
        <v>103.03</v>
      </c>
      <c r="DS95" s="9" t="n">
        <v>18.77</v>
      </c>
      <c r="DT95" s="9" t="n">
        <v>36.7</v>
      </c>
      <c r="DU95" s="9" t="n">
        <v>47.57</v>
      </c>
      <c r="DV95" s="9" t="n">
        <v>73.53</v>
      </c>
      <c r="DW95" s="9" t="n">
        <v>30.17</v>
      </c>
      <c r="DX95" s="9" t="n">
        <v>30.7</v>
      </c>
      <c r="DY95" s="9" t="n">
        <v>12.67</v>
      </c>
      <c r="DZ95" s="9" t="n">
        <v>172.07</v>
      </c>
      <c r="EA95" s="9" t="n">
        <v>85.97</v>
      </c>
      <c r="EB95" s="9" t="n">
        <v>49.96</v>
      </c>
      <c r="EC95" s="9" t="n">
        <v>4.5</v>
      </c>
      <c r="ED95" s="9" t="n">
        <v>1.37</v>
      </c>
      <c r="EE95" s="9" t="n">
        <v>30.37</v>
      </c>
      <c r="EF95" s="9" t="n">
        <v>27.47</v>
      </c>
      <c r="EG95" s="9" t="n">
        <v>6.03</v>
      </c>
      <c r="EH95" s="9" t="n">
        <v>21.97</v>
      </c>
      <c r="EI95" s="9" t="n">
        <v>0.77</v>
      </c>
      <c r="EJ95" s="9" t="n">
        <v>0.4</v>
      </c>
      <c r="EK95" s="9" t="n">
        <v>52.17</v>
      </c>
      <c r="EL95" s="9" t="n">
        <v>26.87</v>
      </c>
      <c r="EM95" s="9" t="n">
        <v>3.67</v>
      </c>
      <c r="EN95" s="9" t="n">
        <v>13.65</v>
      </c>
      <c r="EO95" s="9" t="n">
        <v>5.43</v>
      </c>
      <c r="EP95" s="9" t="n">
        <v>1.47</v>
      </c>
      <c r="EQ95" s="9" t="n">
        <v>26.99</v>
      </c>
      <c r="ER95" s="9" t="n">
        <v>2.7</v>
      </c>
      <c r="ES95" s="9" t="n">
        <v>0.67</v>
      </c>
      <c r="ET95" s="9" t="n">
        <v>24.69</v>
      </c>
      <c r="EU95" s="9" t="n">
        <v>0.23</v>
      </c>
      <c r="EV95" s="9" t="n">
        <v>0.2</v>
      </c>
      <c r="EW95" s="9" t="n">
        <v>85.70999999999999</v>
      </c>
      <c r="EX95" s="9" t="n">
        <v>13.4</v>
      </c>
      <c r="EY95" s="9" t="n">
        <v>4.03</v>
      </c>
      <c r="EZ95" s="9" t="n">
        <v>30.1</v>
      </c>
      <c r="FA95" s="9" t="n">
        <v>3.83</v>
      </c>
      <c r="FB95" s="9" t="n">
        <v>5.97</v>
      </c>
      <c r="FC95" s="9" t="n">
        <v>22.83</v>
      </c>
      <c r="FD95" s="9" t="n">
        <v>3.47</v>
      </c>
      <c r="FE95" s="9" t="n">
        <v>8.43</v>
      </c>
      <c r="FF95" s="9" t="n">
        <v>14.4</v>
      </c>
      <c r="FG95" s="9" t="n">
        <v>56.07</v>
      </c>
      <c r="FH95" s="9" t="n">
        <v>23.07</v>
      </c>
      <c r="FI95" s="9" t="n">
        <v>41.14</v>
      </c>
      <c r="FJ95" s="9" t="n">
        <v>2.1</v>
      </c>
      <c r="FK95" s="9" t="n">
        <v>1.43</v>
      </c>
      <c r="FL95" s="9" t="n">
        <v>10.23</v>
      </c>
      <c r="FM95" s="9" t="n">
        <v>3.77</v>
      </c>
      <c r="FN95" s="9" t="n">
        <v>36.81</v>
      </c>
      <c r="FO95" s="9" t="n">
        <v>57.77</v>
      </c>
      <c r="FP95" s="9" t="n">
        <v>36.63</v>
      </c>
      <c r="FQ95" s="9" t="n">
        <v>63.42</v>
      </c>
      <c r="FR95" s="9" t="n">
        <v>35.97</v>
      </c>
      <c r="FS95" s="9" t="n">
        <v>16.33</v>
      </c>
      <c r="FT95" s="9" t="n">
        <v>45.41</v>
      </c>
      <c r="FU95" s="9" t="n">
        <v>2.07</v>
      </c>
      <c r="FV95" s="9" t="n">
        <v>1.07</v>
      </c>
      <c r="FW95" s="9" t="n">
        <v>51.61</v>
      </c>
      <c r="FX95" s="9" t="n">
        <v>32.17</v>
      </c>
      <c r="FY95" s="9" t="n">
        <v>13</v>
      </c>
      <c r="FZ95" s="9" t="n">
        <v>12.3</v>
      </c>
      <c r="GA95" s="9" t="n">
        <v>2.07</v>
      </c>
      <c r="GB95" s="9" t="n">
        <v>0.03</v>
      </c>
      <c r="GC95" s="9" t="n">
        <v>139.33</v>
      </c>
      <c r="GD95" s="9" t="n">
        <v>100.73</v>
      </c>
      <c r="GE95" s="9" t="n">
        <v>72.3</v>
      </c>
      <c r="GF95" s="9" t="n">
        <v>66.7</v>
      </c>
      <c r="GG95" s="9" t="n">
        <v>62.8</v>
      </c>
      <c r="GH95" s="9" t="n">
        <v>94.15000000000001</v>
      </c>
      <c r="GI95" s="9" t="n">
        <v>144.1</v>
      </c>
      <c r="GJ95" s="9" t="n">
        <v>127.3</v>
      </c>
      <c r="GK95" s="9" t="n">
        <v>88.34</v>
      </c>
      <c r="GL95" s="9" t="n">
        <v>45.57</v>
      </c>
      <c r="GM95" s="9" t="n">
        <v>23.83</v>
      </c>
      <c r="GN95" s="9" t="n">
        <v>52.3</v>
      </c>
      <c r="GO95" s="9" t="n">
        <v>53.9</v>
      </c>
      <c r="GP95" s="9" t="n">
        <v>35.67</v>
      </c>
      <c r="GQ95" s="9" t="n">
        <v>66.17</v>
      </c>
      <c r="GR95" s="9" t="n">
        <v>69.53</v>
      </c>
      <c r="GS95" s="9" t="n">
        <v>49.67</v>
      </c>
      <c r="GT95" s="9" t="n">
        <v>71.43000000000001</v>
      </c>
      <c r="GU95" s="9" t="n">
        <v>0.93</v>
      </c>
      <c r="GV95" s="9" t="n">
        <v>0.43</v>
      </c>
      <c r="GW95" s="9" t="n">
        <v>46.43</v>
      </c>
      <c r="GX95" s="9" t="n">
        <v>20.07</v>
      </c>
      <c r="GY95" s="9" t="n">
        <v>17.6</v>
      </c>
      <c r="GZ95" s="9" t="n">
        <v>87.70999999999999</v>
      </c>
      <c r="HA95" s="9" t="n">
        <v>7.37</v>
      </c>
      <c r="HB95" s="9" t="n">
        <v>16.12</v>
      </c>
      <c r="HC95" s="9" t="n">
        <v>4.12</v>
      </c>
      <c r="HD95" s="9" t="n">
        <v>11.67</v>
      </c>
      <c r="HE95" s="9" t="n">
        <v>18.26</v>
      </c>
      <c r="HF95" s="9" t="n">
        <v>20.19</v>
      </c>
      <c r="HG95" s="9" t="n">
        <v>11.3</v>
      </c>
    </row>
    <row r="96">
      <c r="A96" s="12" t="n">
        <v>2025</v>
      </c>
      <c r="B96" s="12" t="n">
        <v>32</v>
      </c>
      <c r="C96" s="5">
        <f>(B96-AVERAGE($B$2:$B$100))/_xlfn.STDEV.P($B$2:$B$100)</f>
        <v/>
      </c>
      <c r="D96" s="12" t="n">
        <v>10</v>
      </c>
      <c r="E96" s="6">
        <f>-D96</f>
        <v/>
      </c>
      <c r="F96" s="7">
        <f>(E96-AVERAGE($E$2:$E$100))/_xlfn.STDEV.P($E$2:$E$100)</f>
        <v/>
      </c>
      <c r="G96" s="7">
        <f>sum(0.5*C96)+(0.5*F96)</f>
        <v/>
      </c>
      <c r="H96" s="12" t="inlineStr">
        <is>
          <t>West</t>
        </is>
      </c>
      <c r="I96" s="8" t="inlineStr">
        <is>
          <t>Oakland Roots</t>
        </is>
      </c>
      <c r="J96" s="9" t="n">
        <v>1.4</v>
      </c>
      <c r="K96" s="9" t="n">
        <v>1.09</v>
      </c>
      <c r="L96" s="9" t="n">
        <v>8.9</v>
      </c>
      <c r="M96" s="9" t="n">
        <v>3.03</v>
      </c>
      <c r="N96" s="9" t="n">
        <v>34.08</v>
      </c>
      <c r="O96" s="9" t="n">
        <v>401.33</v>
      </c>
      <c r="P96" s="9" t="n">
        <v>328.77</v>
      </c>
      <c r="Q96" s="9" t="n">
        <v>81.92</v>
      </c>
      <c r="R96" s="9" t="n">
        <v>48.97</v>
      </c>
      <c r="S96" s="9" t="n">
        <v>108.5</v>
      </c>
      <c r="T96" s="9" t="n">
        <v>21.47</v>
      </c>
      <c r="U96" s="9" t="n">
        <v>40.83</v>
      </c>
      <c r="V96" s="9" t="n">
        <v>46.2</v>
      </c>
      <c r="W96" s="9" t="n">
        <v>77.17</v>
      </c>
      <c r="X96" s="9" t="n">
        <v>34.63</v>
      </c>
      <c r="Y96" s="9" t="n">
        <v>32.33</v>
      </c>
      <c r="Z96" s="9" t="n">
        <v>10.2</v>
      </c>
      <c r="AA96" s="9" t="n">
        <v>181.13</v>
      </c>
      <c r="AB96" s="9" t="n">
        <v>85</v>
      </c>
      <c r="AC96" s="9" t="n">
        <v>46.93</v>
      </c>
      <c r="AD96" s="9" t="n">
        <v>3.8</v>
      </c>
      <c r="AE96" s="9" t="n">
        <v>0.73</v>
      </c>
      <c r="AF96" s="9" t="n">
        <v>19.3</v>
      </c>
      <c r="AG96" s="9" t="n">
        <v>23.93</v>
      </c>
      <c r="AH96" s="9" t="n">
        <v>5.37</v>
      </c>
      <c r="AI96" s="9" t="n">
        <v>22.42</v>
      </c>
      <c r="AJ96" s="9" t="n">
        <v>0.47</v>
      </c>
      <c r="AK96" s="9" t="n">
        <v>0.2</v>
      </c>
      <c r="AL96" s="9" t="n">
        <v>42.86</v>
      </c>
      <c r="AM96" s="9" t="n">
        <v>26.3</v>
      </c>
      <c r="AN96" s="9" t="n">
        <v>2.7</v>
      </c>
      <c r="AO96" s="9" t="n">
        <v>10.27</v>
      </c>
      <c r="AP96" s="9" t="n">
        <v>3.57</v>
      </c>
      <c r="AQ96" s="9" t="n">
        <v>0.9</v>
      </c>
      <c r="AR96" s="9" t="n">
        <v>25.23</v>
      </c>
      <c r="AS96" s="9" t="n">
        <v>3</v>
      </c>
      <c r="AT96" s="9" t="n">
        <v>0.63</v>
      </c>
      <c r="AU96" s="9" t="n">
        <v>21.11</v>
      </c>
      <c r="AV96" s="9" t="n">
        <v>0.2</v>
      </c>
      <c r="AW96" s="9" t="n">
        <v>0.2</v>
      </c>
      <c r="AX96" s="9" t="n">
        <v>100</v>
      </c>
      <c r="AY96" s="9" t="n">
        <v>13.53</v>
      </c>
      <c r="AZ96" s="9" t="n">
        <v>3.8</v>
      </c>
      <c r="BA96" s="9" t="n">
        <v>28.08</v>
      </c>
      <c r="BB96" s="9" t="n">
        <v>3.93</v>
      </c>
      <c r="BC96" s="9" t="n">
        <v>5.9</v>
      </c>
      <c r="BD96" s="9" t="n">
        <v>21.3</v>
      </c>
      <c r="BE96" s="9" t="n">
        <v>2.63</v>
      </c>
      <c r="BF96" s="9" t="n">
        <v>8.27</v>
      </c>
      <c r="BG96" s="9" t="n">
        <v>13.83</v>
      </c>
      <c r="BH96" s="9" t="n">
        <v>58.7</v>
      </c>
      <c r="BI96" s="9" t="n">
        <v>22.27</v>
      </c>
      <c r="BJ96" s="9" t="n">
        <v>37.93</v>
      </c>
      <c r="BK96" s="9" t="n">
        <v>1.77</v>
      </c>
      <c r="BL96" s="9" t="n">
        <v>1.73</v>
      </c>
      <c r="BM96" s="9" t="n">
        <v>11.07</v>
      </c>
      <c r="BN96" s="9" t="n">
        <v>4.47</v>
      </c>
      <c r="BO96" s="9" t="n">
        <v>40.36</v>
      </c>
      <c r="BP96" s="9" t="n">
        <v>61.83</v>
      </c>
      <c r="BQ96" s="9" t="n">
        <v>35.77</v>
      </c>
      <c r="BR96" s="9" t="n">
        <v>57.84</v>
      </c>
      <c r="BS96" s="9" t="n">
        <v>35.4</v>
      </c>
      <c r="BT96" s="9" t="n">
        <v>16.13</v>
      </c>
      <c r="BU96" s="9" t="n">
        <v>45.57</v>
      </c>
      <c r="BV96" s="9" t="n">
        <v>3.17</v>
      </c>
      <c r="BW96" s="9" t="n">
        <v>1.4</v>
      </c>
      <c r="BX96" s="9" t="n">
        <v>44.21</v>
      </c>
      <c r="BY96" s="9" t="n">
        <v>38.73</v>
      </c>
      <c r="BZ96" s="9" t="n">
        <v>16.47</v>
      </c>
      <c r="CA96" s="9" t="n">
        <v>15.63</v>
      </c>
      <c r="CB96" s="9" t="n">
        <v>2.37</v>
      </c>
      <c r="CC96" s="9" t="n">
        <v>0.03</v>
      </c>
      <c r="CD96" s="9" t="n">
        <v>138.77</v>
      </c>
      <c r="CE96" s="9" t="n">
        <v>98.59999999999999</v>
      </c>
      <c r="CF96" s="9" t="n">
        <v>71.05</v>
      </c>
      <c r="CG96" s="9" t="n">
        <v>62.43</v>
      </c>
      <c r="CH96" s="9" t="n">
        <v>59.23</v>
      </c>
      <c r="CI96" s="9" t="n">
        <v>94.87</v>
      </c>
      <c r="CJ96" s="9" t="n">
        <v>139.23</v>
      </c>
      <c r="CK96" s="9" t="n">
        <v>120.67</v>
      </c>
      <c r="CL96" s="9" t="n">
        <v>86.67</v>
      </c>
      <c r="CM96" s="9" t="n">
        <v>45.73</v>
      </c>
      <c r="CN96" s="9" t="n">
        <v>21.6</v>
      </c>
      <c r="CO96" s="9" t="n">
        <v>47.23</v>
      </c>
      <c r="CP96" s="9" t="n">
        <v>51.43</v>
      </c>
      <c r="CQ96" s="9" t="n">
        <v>32.6</v>
      </c>
      <c r="CR96" s="9" t="n">
        <v>63.38</v>
      </c>
      <c r="CS96" s="9" t="n">
        <v>66.23</v>
      </c>
      <c r="CT96" s="9" t="n">
        <v>45.33</v>
      </c>
      <c r="CU96" s="9" t="n">
        <v>68.44</v>
      </c>
      <c r="CV96" s="9" t="n">
        <v>0.73</v>
      </c>
      <c r="CW96" s="9" t="n">
        <v>0.43</v>
      </c>
      <c r="CX96" s="9" t="n">
        <v>59.09</v>
      </c>
      <c r="CY96" s="9" t="n">
        <v>19.97</v>
      </c>
      <c r="CZ96" s="9" t="n">
        <v>17.57</v>
      </c>
      <c r="DA96" s="9" t="n">
        <v>87.98</v>
      </c>
      <c r="DB96" s="9" t="n">
        <v>7.8</v>
      </c>
      <c r="DC96" s="9" t="n">
        <v>16.6</v>
      </c>
      <c r="DD96" s="9" t="n">
        <v>3.99</v>
      </c>
      <c r="DE96" s="9" t="n">
        <v>11.81</v>
      </c>
      <c r="DF96" s="9" t="n">
        <v>18.54</v>
      </c>
      <c r="DG96" s="9" t="n">
        <v>19.61</v>
      </c>
      <c r="DH96" s="9" t="n">
        <v>10.68</v>
      </c>
      <c r="DI96" s="9" t="n">
        <v>1.73</v>
      </c>
      <c r="DJ96" s="9" t="n">
        <v>1.33</v>
      </c>
      <c r="DK96" s="9" t="n">
        <v>11.07</v>
      </c>
      <c r="DL96" s="9" t="n">
        <v>4.3</v>
      </c>
      <c r="DM96" s="9" t="n">
        <v>38.86</v>
      </c>
      <c r="DN96" s="9" t="n">
        <v>409.27</v>
      </c>
      <c r="DO96" s="9" t="n">
        <v>336.4</v>
      </c>
      <c r="DP96" s="9" t="n">
        <v>82.2</v>
      </c>
      <c r="DQ96" s="9" t="n">
        <v>51.03</v>
      </c>
      <c r="DR96" s="9" t="n">
        <v>107.03</v>
      </c>
      <c r="DS96" s="9" t="n">
        <v>16.87</v>
      </c>
      <c r="DT96" s="9" t="n">
        <v>40.33</v>
      </c>
      <c r="DU96" s="9" t="n">
        <v>49.83</v>
      </c>
      <c r="DV96" s="9" t="n">
        <v>77.93000000000001</v>
      </c>
      <c r="DW96" s="9" t="n">
        <v>32.57</v>
      </c>
      <c r="DX96" s="9" t="n">
        <v>34</v>
      </c>
      <c r="DY96" s="9" t="n">
        <v>11.37</v>
      </c>
      <c r="DZ96" s="9" t="n">
        <v>181.13</v>
      </c>
      <c r="EA96" s="9" t="n">
        <v>88.87</v>
      </c>
      <c r="EB96" s="9" t="n">
        <v>49.06</v>
      </c>
      <c r="EC96" s="9" t="n">
        <v>3.97</v>
      </c>
      <c r="ED96" s="9" t="n">
        <v>1.13</v>
      </c>
      <c r="EE96" s="9" t="n">
        <v>28.57</v>
      </c>
      <c r="EF96" s="9" t="n">
        <v>26.67</v>
      </c>
      <c r="EG96" s="9" t="n">
        <v>6.57</v>
      </c>
      <c r="EH96" s="9" t="n">
        <v>24.63</v>
      </c>
      <c r="EI96" s="9" t="n">
        <v>0.47</v>
      </c>
      <c r="EJ96" s="9" t="n">
        <v>0.3</v>
      </c>
      <c r="EK96" s="9" t="n">
        <v>64.29000000000001</v>
      </c>
      <c r="EL96" s="9" t="n">
        <v>28.27</v>
      </c>
      <c r="EM96" s="9" t="n">
        <v>3.5</v>
      </c>
      <c r="EN96" s="9" t="n">
        <v>12.38</v>
      </c>
      <c r="EO96" s="9" t="n">
        <v>4.93</v>
      </c>
      <c r="EP96" s="9" t="n">
        <v>1.67</v>
      </c>
      <c r="EQ96" s="9" t="n">
        <v>33.78</v>
      </c>
      <c r="ER96" s="9" t="n">
        <v>2.77</v>
      </c>
      <c r="ES96" s="9" t="n">
        <v>0.77</v>
      </c>
      <c r="ET96" s="9" t="n">
        <v>27.71</v>
      </c>
      <c r="EU96" s="9" t="n">
        <v>0.17</v>
      </c>
      <c r="EV96" s="9" t="n">
        <v>0.17</v>
      </c>
      <c r="EW96" s="9" t="n">
        <v>100</v>
      </c>
      <c r="EX96" s="9" t="n">
        <v>15.67</v>
      </c>
      <c r="EY96" s="9" t="n">
        <v>5.4</v>
      </c>
      <c r="EZ96" s="9" t="n">
        <v>34.47</v>
      </c>
      <c r="FA96" s="9" t="n">
        <v>5.27</v>
      </c>
      <c r="FB96" s="9" t="n">
        <v>5.8</v>
      </c>
      <c r="FC96" s="9" t="n">
        <v>24.4</v>
      </c>
      <c r="FD96" s="9" t="n">
        <v>4.2</v>
      </c>
      <c r="FE96" s="9" t="n">
        <v>10.03</v>
      </c>
      <c r="FF96" s="9" t="n">
        <v>16.67</v>
      </c>
      <c r="FG96" s="9" t="n">
        <v>61.83</v>
      </c>
      <c r="FH96" s="9" t="n">
        <v>26.07</v>
      </c>
      <c r="FI96" s="9" t="n">
        <v>42.16</v>
      </c>
      <c r="FJ96" s="9" t="n">
        <v>1.8</v>
      </c>
      <c r="FK96" s="9" t="n">
        <v>1.4</v>
      </c>
      <c r="FL96" s="9" t="n">
        <v>8.9</v>
      </c>
      <c r="FM96" s="9" t="n">
        <v>3.27</v>
      </c>
      <c r="FN96" s="9" t="n">
        <v>36.7</v>
      </c>
      <c r="FO96" s="9" t="n">
        <v>58.7</v>
      </c>
      <c r="FP96" s="9" t="n">
        <v>36.43</v>
      </c>
      <c r="FQ96" s="9" t="n">
        <v>62.07</v>
      </c>
      <c r="FR96" s="9" t="n">
        <v>35.4</v>
      </c>
      <c r="FS96" s="9" t="n">
        <v>16.27</v>
      </c>
      <c r="FT96" s="9" t="n">
        <v>45.95</v>
      </c>
      <c r="FU96" s="9" t="n">
        <v>3.67</v>
      </c>
      <c r="FV96" s="9" t="n">
        <v>1.8</v>
      </c>
      <c r="FW96" s="9" t="n">
        <v>49.09</v>
      </c>
      <c r="FX96" s="9" t="n">
        <v>36.93</v>
      </c>
      <c r="FY96" s="9" t="n">
        <v>13.57</v>
      </c>
      <c r="FZ96" s="9" t="n">
        <v>14.47</v>
      </c>
      <c r="GA96" s="9" t="n">
        <v>2.83</v>
      </c>
      <c r="GB96" s="9" t="n">
        <v>0.13</v>
      </c>
      <c r="GC96" s="9" t="n">
        <v>143.03</v>
      </c>
      <c r="GD96" s="9" t="n">
        <v>103.33</v>
      </c>
      <c r="GE96" s="9" t="n">
        <v>72.23999999999999</v>
      </c>
      <c r="GF96" s="9" t="n">
        <v>65.5</v>
      </c>
      <c r="GG96" s="9" t="n">
        <v>61.53</v>
      </c>
      <c r="GH96" s="9" t="n">
        <v>93.94</v>
      </c>
      <c r="GI96" s="9" t="n">
        <v>144.5</v>
      </c>
      <c r="GJ96" s="9" t="n">
        <v>126.63</v>
      </c>
      <c r="GK96" s="9" t="n">
        <v>87.64</v>
      </c>
      <c r="GL96" s="9" t="n">
        <v>48.2</v>
      </c>
      <c r="GM96" s="9" t="n">
        <v>25.67</v>
      </c>
      <c r="GN96" s="9" t="n">
        <v>53.25</v>
      </c>
      <c r="GO96" s="9" t="n">
        <v>53.2</v>
      </c>
      <c r="GP96" s="9" t="n">
        <v>35.47</v>
      </c>
      <c r="GQ96" s="9" t="n">
        <v>66.67</v>
      </c>
      <c r="GR96" s="9" t="n">
        <v>74.63</v>
      </c>
      <c r="GS96" s="9" t="n">
        <v>54.13</v>
      </c>
      <c r="GT96" s="9" t="n">
        <v>72.53</v>
      </c>
      <c r="GU96" s="9" t="n">
        <v>1</v>
      </c>
      <c r="GV96" s="9" t="n">
        <v>0.37</v>
      </c>
      <c r="GW96" s="9" t="n">
        <v>36.67</v>
      </c>
      <c r="GX96" s="9" t="n">
        <v>20.17</v>
      </c>
      <c r="GY96" s="9" t="n">
        <v>17.97</v>
      </c>
      <c r="GZ96" s="9" t="n">
        <v>89.09</v>
      </c>
      <c r="HA96" s="9" t="n">
        <v>7.17</v>
      </c>
      <c r="HB96" s="9" t="n">
        <v>16.19</v>
      </c>
      <c r="HC96" s="9" t="n">
        <v>3.97</v>
      </c>
      <c r="HD96" s="9" t="n">
        <v>12.43</v>
      </c>
      <c r="HE96" s="9" t="n">
        <v>17.69</v>
      </c>
      <c r="HF96" s="9" t="n">
        <v>20.43</v>
      </c>
      <c r="HG96" s="9" t="n">
        <v>10.42</v>
      </c>
    </row>
    <row r="97">
      <c r="A97" s="12" t="n">
        <v>2025</v>
      </c>
      <c r="B97" s="12" t="n">
        <v>30</v>
      </c>
      <c r="C97" s="5">
        <f>(B97-AVERAGE($B$2:$B$100))/_xlfn.STDEV.P($B$2:$B$100)</f>
        <v/>
      </c>
      <c r="D97" s="12" t="n">
        <v>11</v>
      </c>
      <c r="E97" s="6">
        <f>-D97</f>
        <v/>
      </c>
      <c r="F97" s="7">
        <f>(E97-AVERAGE($E$2:$E$100))/_xlfn.STDEV.P($E$2:$E$100)</f>
        <v/>
      </c>
      <c r="G97" s="7">
        <f>sum(0.5*C97)+(0.5*F97)</f>
        <v/>
      </c>
      <c r="H97" s="12" t="inlineStr">
        <is>
          <t>East</t>
        </is>
      </c>
      <c r="I97" s="8" t="inlineStr">
        <is>
          <t>Miami</t>
        </is>
      </c>
      <c r="J97" s="9" t="n">
        <v>0.97</v>
      </c>
      <c r="K97" s="9" t="n">
        <v>1.2</v>
      </c>
      <c r="L97" s="9" t="n">
        <v>10.57</v>
      </c>
      <c r="M97" s="9" t="n">
        <v>3.73</v>
      </c>
      <c r="N97" s="9" t="n">
        <v>35.33</v>
      </c>
      <c r="O97" s="9" t="n">
        <v>369.3</v>
      </c>
      <c r="P97" s="9" t="n">
        <v>299.93</v>
      </c>
      <c r="Q97" s="9" t="n">
        <v>81.22</v>
      </c>
      <c r="R97" s="9" t="n">
        <v>48.65</v>
      </c>
      <c r="S97" s="9" t="n">
        <v>106.17</v>
      </c>
      <c r="T97" s="9" t="n">
        <v>21.87</v>
      </c>
      <c r="U97" s="9" t="n">
        <v>39.13</v>
      </c>
      <c r="V97" s="9" t="n">
        <v>45.17</v>
      </c>
      <c r="W97" s="9" t="n">
        <v>75.47</v>
      </c>
      <c r="X97" s="9" t="n">
        <v>36.6</v>
      </c>
      <c r="Y97" s="9" t="n">
        <v>28.4</v>
      </c>
      <c r="Z97" s="9" t="n">
        <v>10.47</v>
      </c>
      <c r="AA97" s="9" t="n">
        <v>185.07</v>
      </c>
      <c r="AB97" s="9" t="n">
        <v>90.3</v>
      </c>
      <c r="AC97" s="9" t="n">
        <v>48.79</v>
      </c>
      <c r="AD97" s="9" t="n">
        <v>4.5</v>
      </c>
      <c r="AE97" s="9" t="n">
        <v>1.43</v>
      </c>
      <c r="AF97" s="9" t="n">
        <v>31.85</v>
      </c>
      <c r="AG97" s="9" t="n">
        <v>24.83</v>
      </c>
      <c r="AH97" s="9" t="n">
        <v>6.57</v>
      </c>
      <c r="AI97" s="9" t="n">
        <v>26.44</v>
      </c>
      <c r="AJ97" s="9" t="n">
        <v>0.37</v>
      </c>
      <c r="AK97" s="9" t="n">
        <v>0.17</v>
      </c>
      <c r="AL97" s="9" t="n">
        <v>45.45</v>
      </c>
      <c r="AM97" s="9" t="n">
        <v>25</v>
      </c>
      <c r="AN97" s="9" t="n">
        <v>3.5</v>
      </c>
      <c r="AO97" s="9" t="n">
        <v>14</v>
      </c>
      <c r="AP97" s="9" t="n">
        <v>3.43</v>
      </c>
      <c r="AQ97" s="9" t="n">
        <v>1.3</v>
      </c>
      <c r="AR97" s="9" t="n">
        <v>37.86</v>
      </c>
      <c r="AS97" s="9" t="n">
        <v>2.23</v>
      </c>
      <c r="AT97" s="9" t="n">
        <v>0.6</v>
      </c>
      <c r="AU97" s="9" t="n">
        <v>26.87</v>
      </c>
      <c r="AV97" s="9" t="n">
        <v>0.1</v>
      </c>
      <c r="AW97" s="9" t="n">
        <v>0.03</v>
      </c>
      <c r="AX97" s="9" t="n">
        <v>33.33</v>
      </c>
      <c r="AY97" s="9" t="n">
        <v>12.3</v>
      </c>
      <c r="AZ97" s="9" t="n">
        <v>4.9</v>
      </c>
      <c r="BA97" s="9" t="n">
        <v>39.84</v>
      </c>
      <c r="BB97" s="9" t="n">
        <v>4.5</v>
      </c>
      <c r="BC97" s="9" t="n">
        <v>4.73</v>
      </c>
      <c r="BD97" s="9" t="n">
        <v>20.8</v>
      </c>
      <c r="BE97" s="9" t="n">
        <v>2.47</v>
      </c>
      <c r="BF97" s="9" t="n">
        <v>8.07</v>
      </c>
      <c r="BG97" s="9" t="n">
        <v>13.6</v>
      </c>
      <c r="BH97" s="9" t="n">
        <v>58.33</v>
      </c>
      <c r="BI97" s="9" t="n">
        <v>21.5</v>
      </c>
      <c r="BJ97" s="9" t="n">
        <v>36.86</v>
      </c>
      <c r="BK97" s="9" t="n">
        <v>1.17</v>
      </c>
      <c r="BL97" s="9" t="n">
        <v>1.47</v>
      </c>
      <c r="BM97" s="9" t="n">
        <v>10.4</v>
      </c>
      <c r="BN97" s="9" t="n">
        <v>4.57</v>
      </c>
      <c r="BO97" s="9" t="n">
        <v>43.91</v>
      </c>
      <c r="BP97" s="9" t="n">
        <v>61.9</v>
      </c>
      <c r="BQ97" s="9" t="n">
        <v>38.6</v>
      </c>
      <c r="BR97" s="9" t="n">
        <v>62.36</v>
      </c>
      <c r="BS97" s="9" t="n">
        <v>40.93</v>
      </c>
      <c r="BT97" s="9" t="n">
        <v>20.27</v>
      </c>
      <c r="BU97" s="9" t="n">
        <v>49.51</v>
      </c>
      <c r="BV97" s="9" t="n">
        <v>3.4</v>
      </c>
      <c r="BW97" s="9" t="n">
        <v>1.63</v>
      </c>
      <c r="BX97" s="9" t="n">
        <v>48.04</v>
      </c>
      <c r="BY97" s="9" t="n">
        <v>38.07</v>
      </c>
      <c r="BZ97" s="9" t="n">
        <v>18.27</v>
      </c>
      <c r="CA97" s="9" t="n">
        <v>15.17</v>
      </c>
      <c r="CB97" s="9" t="n">
        <v>2.9</v>
      </c>
      <c r="CC97" s="9" t="n">
        <v>0.27</v>
      </c>
      <c r="CD97" s="9" t="n">
        <v>129.47</v>
      </c>
      <c r="CE97" s="9" t="n">
        <v>88.23</v>
      </c>
      <c r="CF97" s="9" t="n">
        <v>68.15000000000001</v>
      </c>
      <c r="CG97" s="9" t="n">
        <v>59.57</v>
      </c>
      <c r="CH97" s="9" t="n">
        <v>56.27</v>
      </c>
      <c r="CI97" s="9" t="n">
        <v>94.45999999999999</v>
      </c>
      <c r="CJ97" s="9" t="n">
        <v>126.33</v>
      </c>
      <c r="CK97" s="9" t="n">
        <v>110.6</v>
      </c>
      <c r="CL97" s="9" t="n">
        <v>87.55</v>
      </c>
      <c r="CM97" s="9" t="n">
        <v>50.77</v>
      </c>
      <c r="CN97" s="9" t="n">
        <v>25.4</v>
      </c>
      <c r="CO97" s="9" t="n">
        <v>50.03</v>
      </c>
      <c r="CP97" s="9" t="n">
        <v>48.4</v>
      </c>
      <c r="CQ97" s="9" t="n">
        <v>29.03</v>
      </c>
      <c r="CR97" s="9" t="n">
        <v>59.99</v>
      </c>
      <c r="CS97" s="9" t="n">
        <v>63.9</v>
      </c>
      <c r="CT97" s="9" t="n">
        <v>43.7</v>
      </c>
      <c r="CU97" s="9" t="n">
        <v>68.39</v>
      </c>
      <c r="CV97" s="9" t="n">
        <v>0.53</v>
      </c>
      <c r="CW97" s="9" t="n">
        <v>0.2</v>
      </c>
      <c r="CX97" s="9" t="n">
        <v>37.5</v>
      </c>
      <c r="CY97" s="9" t="n">
        <v>19.67</v>
      </c>
      <c r="CZ97" s="9" t="n">
        <v>16.47</v>
      </c>
      <c r="DA97" s="9" t="n">
        <v>83.73</v>
      </c>
      <c r="DB97" s="9" t="n">
        <v>8.33</v>
      </c>
      <c r="DC97" s="9" t="n">
        <v>15.65</v>
      </c>
      <c r="DD97" s="9" t="n">
        <v>3.62</v>
      </c>
      <c r="DE97" s="9" t="n">
        <v>14.03</v>
      </c>
      <c r="DF97" s="9" t="n">
        <v>18.63</v>
      </c>
      <c r="DG97" s="9" t="n">
        <v>20.19</v>
      </c>
      <c r="DH97" s="9" t="n">
        <v>10.56</v>
      </c>
      <c r="DI97" s="9" t="n">
        <v>1.47</v>
      </c>
      <c r="DJ97" s="9" t="n">
        <v>1.47</v>
      </c>
      <c r="DK97" s="9" t="n">
        <v>10.4</v>
      </c>
      <c r="DL97" s="9" t="n">
        <v>4.3</v>
      </c>
      <c r="DM97" s="9" t="n">
        <v>41.35</v>
      </c>
      <c r="DN97" s="9" t="n">
        <v>401.63</v>
      </c>
      <c r="DO97" s="9" t="n">
        <v>328.73</v>
      </c>
      <c r="DP97" s="9" t="n">
        <v>81.84999999999999</v>
      </c>
      <c r="DQ97" s="9" t="n">
        <v>51.35</v>
      </c>
      <c r="DR97" s="9" t="n">
        <v>108.27</v>
      </c>
      <c r="DS97" s="9" t="n">
        <v>16.3</v>
      </c>
      <c r="DT97" s="9" t="n">
        <v>36.97</v>
      </c>
      <c r="DU97" s="9" t="n">
        <v>55</v>
      </c>
      <c r="DV97" s="9" t="n">
        <v>78</v>
      </c>
      <c r="DW97" s="9" t="n">
        <v>33.77</v>
      </c>
      <c r="DX97" s="9" t="n">
        <v>32.07</v>
      </c>
      <c r="DY97" s="9" t="n">
        <v>12.17</v>
      </c>
      <c r="DZ97" s="9" t="n">
        <v>185.07</v>
      </c>
      <c r="EA97" s="9" t="n">
        <v>87.03</v>
      </c>
      <c r="EB97" s="9" t="n">
        <v>47.03</v>
      </c>
      <c r="EC97" s="9" t="n">
        <v>3.63</v>
      </c>
      <c r="ED97" s="9" t="n">
        <v>1.07</v>
      </c>
      <c r="EE97" s="9" t="n">
        <v>29.36</v>
      </c>
      <c r="EF97" s="9" t="n">
        <v>28.63</v>
      </c>
      <c r="EG97" s="9" t="n">
        <v>6.3</v>
      </c>
      <c r="EH97" s="9" t="n">
        <v>22</v>
      </c>
      <c r="EI97" s="9" t="n">
        <v>0.63</v>
      </c>
      <c r="EJ97" s="9" t="n">
        <v>0.33</v>
      </c>
      <c r="EK97" s="9" t="n">
        <v>52.63</v>
      </c>
      <c r="EL97" s="9" t="n">
        <v>28.6</v>
      </c>
      <c r="EM97" s="9" t="n">
        <v>2.77</v>
      </c>
      <c r="EN97" s="9" t="n">
        <v>9.67</v>
      </c>
      <c r="EO97" s="9" t="n">
        <v>5.77</v>
      </c>
      <c r="EP97" s="9" t="n">
        <v>1.1</v>
      </c>
      <c r="EQ97" s="9" t="n">
        <v>19.08</v>
      </c>
      <c r="ER97" s="9" t="n">
        <v>3</v>
      </c>
      <c r="ES97" s="9" t="n">
        <v>0.63</v>
      </c>
      <c r="ET97" s="9" t="n">
        <v>21.11</v>
      </c>
      <c r="EU97" s="9" t="n">
        <v>0.23</v>
      </c>
      <c r="EV97" s="9" t="n">
        <v>0.2</v>
      </c>
      <c r="EW97" s="9" t="n">
        <v>85.70999999999999</v>
      </c>
      <c r="EX97" s="9" t="n">
        <v>14.8</v>
      </c>
      <c r="EY97" s="9" t="n">
        <v>4.67</v>
      </c>
      <c r="EZ97" s="9" t="n">
        <v>31.53</v>
      </c>
      <c r="FA97" s="9" t="n">
        <v>4.5</v>
      </c>
      <c r="FB97" s="9" t="n">
        <v>8.17</v>
      </c>
      <c r="FC97" s="9" t="n">
        <v>25.7</v>
      </c>
      <c r="FD97" s="9" t="n">
        <v>3.53</v>
      </c>
      <c r="FE97" s="9" t="n">
        <v>9.300000000000001</v>
      </c>
      <c r="FF97" s="9" t="n">
        <v>17.4</v>
      </c>
      <c r="FG97" s="9" t="n">
        <v>61.9</v>
      </c>
      <c r="FH97" s="9" t="n">
        <v>23.3</v>
      </c>
      <c r="FI97" s="9" t="n">
        <v>37.64</v>
      </c>
      <c r="FJ97" s="9" t="n">
        <v>2.17</v>
      </c>
      <c r="FK97" s="9" t="n">
        <v>0.97</v>
      </c>
      <c r="FL97" s="9" t="n">
        <v>10.57</v>
      </c>
      <c r="FM97" s="9" t="n">
        <v>3.97</v>
      </c>
      <c r="FN97" s="9" t="n">
        <v>37.54</v>
      </c>
      <c r="FO97" s="9" t="n">
        <v>58.33</v>
      </c>
      <c r="FP97" s="9" t="n">
        <v>36.83</v>
      </c>
      <c r="FQ97" s="9" t="n">
        <v>63.14</v>
      </c>
      <c r="FR97" s="9" t="n">
        <v>40.93</v>
      </c>
      <c r="FS97" s="9" t="n">
        <v>17.07</v>
      </c>
      <c r="FT97" s="9" t="n">
        <v>41.69</v>
      </c>
      <c r="FU97" s="9" t="n">
        <v>2.23</v>
      </c>
      <c r="FV97" s="9" t="n">
        <v>1.3</v>
      </c>
      <c r="FW97" s="9" t="n">
        <v>58.21</v>
      </c>
      <c r="FX97" s="9" t="n">
        <v>32.83</v>
      </c>
      <c r="FY97" s="9" t="n">
        <v>11.4</v>
      </c>
      <c r="FZ97" s="9" t="n">
        <v>12.73</v>
      </c>
      <c r="GA97" s="9" t="n">
        <v>1.63</v>
      </c>
      <c r="GB97" s="9" t="n">
        <v>0</v>
      </c>
      <c r="GC97" s="9" t="n">
        <v>144.9</v>
      </c>
      <c r="GD97" s="9" t="n">
        <v>104.47</v>
      </c>
      <c r="GE97" s="9" t="n">
        <v>72.09999999999999</v>
      </c>
      <c r="GF97" s="9" t="n">
        <v>58.4</v>
      </c>
      <c r="GG97" s="9" t="n">
        <v>54.63</v>
      </c>
      <c r="GH97" s="9" t="n">
        <v>93.55</v>
      </c>
      <c r="GI97" s="9" t="n">
        <v>142.73</v>
      </c>
      <c r="GJ97" s="9" t="n">
        <v>125.9</v>
      </c>
      <c r="GK97" s="9" t="n">
        <v>88.20999999999999</v>
      </c>
      <c r="GL97" s="9" t="n">
        <v>47.97</v>
      </c>
      <c r="GM97" s="9" t="n">
        <v>26.83</v>
      </c>
      <c r="GN97" s="9" t="n">
        <v>55.94</v>
      </c>
      <c r="GO97" s="9" t="n">
        <v>55.57</v>
      </c>
      <c r="GP97" s="9" t="n">
        <v>37.5</v>
      </c>
      <c r="GQ97" s="9" t="n">
        <v>67.48999999999999</v>
      </c>
      <c r="GR97" s="9" t="n">
        <v>74.03</v>
      </c>
      <c r="GS97" s="9" t="n">
        <v>53.7</v>
      </c>
      <c r="GT97" s="9" t="n">
        <v>72.53</v>
      </c>
      <c r="GU97" s="9" t="n">
        <v>1.03</v>
      </c>
      <c r="GV97" s="9" t="n">
        <v>0.47</v>
      </c>
      <c r="GW97" s="9" t="n">
        <v>45.16</v>
      </c>
      <c r="GX97" s="9" t="n">
        <v>21.53</v>
      </c>
      <c r="GY97" s="9" t="n">
        <v>18.77</v>
      </c>
      <c r="GZ97" s="9" t="n">
        <v>87.15000000000001</v>
      </c>
      <c r="HA97" s="9" t="n">
        <v>7.53</v>
      </c>
      <c r="HB97" s="9" t="n">
        <v>15.98</v>
      </c>
      <c r="HC97" s="9" t="n">
        <v>3.83</v>
      </c>
      <c r="HD97" s="9" t="n">
        <v>12.8</v>
      </c>
      <c r="HE97" s="9" t="n">
        <v>16.84</v>
      </c>
      <c r="HF97" s="9" t="n">
        <v>20.22</v>
      </c>
      <c r="HG97" s="9" t="n">
        <v>10.2</v>
      </c>
    </row>
    <row r="98">
      <c r="A98" s="12" t="n">
        <v>2025</v>
      </c>
      <c r="B98" s="12" t="n">
        <v>29</v>
      </c>
      <c r="C98" s="5">
        <f>(B98-AVERAGE($B$2:$B$100))/_xlfn.STDEV.P($B$2:$B$100)</f>
        <v/>
      </c>
      <c r="D98" s="12" t="n">
        <v>11</v>
      </c>
      <c r="E98" s="6">
        <f>-D98</f>
        <v/>
      </c>
      <c r="F98" s="7">
        <f>(E98-AVERAGE($E$2:$E$100))/_xlfn.STDEV.P($E$2:$E$100)</f>
        <v/>
      </c>
      <c r="G98" s="7">
        <f>sum(0.5*C98)+(0.5*F98)</f>
        <v/>
      </c>
      <c r="H98" s="12" t="inlineStr">
        <is>
          <t>West</t>
        </is>
      </c>
      <c r="I98" s="8" t="inlineStr">
        <is>
          <t>Monterey Bay FC</t>
        </is>
      </c>
      <c r="J98" s="9" t="n">
        <v>0.9</v>
      </c>
      <c r="K98" s="9" t="n">
        <v>1.21</v>
      </c>
      <c r="L98" s="9" t="n">
        <v>9.5</v>
      </c>
      <c r="M98" s="9" t="n">
        <v>3.33</v>
      </c>
      <c r="N98" s="9" t="n">
        <v>35.09</v>
      </c>
      <c r="O98" s="9" t="n">
        <v>363.3</v>
      </c>
      <c r="P98" s="9" t="n">
        <v>297.13</v>
      </c>
      <c r="Q98" s="9" t="n">
        <v>81.79000000000001</v>
      </c>
      <c r="R98" s="9" t="n">
        <v>47.09</v>
      </c>
      <c r="S98" s="9" t="n">
        <v>101.17</v>
      </c>
      <c r="T98" s="9" t="n">
        <v>19.93</v>
      </c>
      <c r="U98" s="9" t="n">
        <v>37.4</v>
      </c>
      <c r="V98" s="9" t="n">
        <v>43.83</v>
      </c>
      <c r="W98" s="9" t="n">
        <v>73.13</v>
      </c>
      <c r="X98" s="9" t="n">
        <v>36.73</v>
      </c>
      <c r="Y98" s="9" t="n">
        <v>27.2</v>
      </c>
      <c r="Z98" s="9" t="n">
        <v>9.199999999999999</v>
      </c>
      <c r="AA98" s="9" t="n">
        <v>185.03</v>
      </c>
      <c r="AB98" s="9" t="n">
        <v>88.93000000000001</v>
      </c>
      <c r="AC98" s="9" t="n">
        <v>48.06</v>
      </c>
      <c r="AD98" s="9" t="n">
        <v>3.73</v>
      </c>
      <c r="AE98" s="9" t="n">
        <v>1.1</v>
      </c>
      <c r="AF98" s="9" t="n">
        <v>29.46</v>
      </c>
      <c r="AG98" s="9" t="n">
        <v>23.93</v>
      </c>
      <c r="AH98" s="9" t="n">
        <v>5.8</v>
      </c>
      <c r="AI98" s="9" t="n">
        <v>24.23</v>
      </c>
      <c r="AJ98" s="9" t="n">
        <v>0.5</v>
      </c>
      <c r="AK98" s="9" t="n">
        <v>0.4</v>
      </c>
      <c r="AL98" s="9" t="n">
        <v>80</v>
      </c>
      <c r="AM98" s="9" t="n">
        <v>26.27</v>
      </c>
      <c r="AN98" s="9" t="n">
        <v>2.83</v>
      </c>
      <c r="AO98" s="9" t="n">
        <v>10.79</v>
      </c>
      <c r="AP98" s="9" t="n">
        <v>4.5</v>
      </c>
      <c r="AQ98" s="9" t="n">
        <v>0.97</v>
      </c>
      <c r="AR98" s="9" t="n">
        <v>21.48</v>
      </c>
      <c r="AS98" s="9" t="n">
        <v>2.97</v>
      </c>
      <c r="AT98" s="9" t="n">
        <v>0.67</v>
      </c>
      <c r="AU98" s="9" t="n">
        <v>22.47</v>
      </c>
      <c r="AV98" s="9" t="n">
        <v>0.1</v>
      </c>
      <c r="AW98" s="9" t="n">
        <v>0.07000000000000001</v>
      </c>
      <c r="AX98" s="9" t="n">
        <v>66.67</v>
      </c>
      <c r="AY98" s="9" t="n">
        <v>14.43</v>
      </c>
      <c r="AZ98" s="9" t="n">
        <v>4.97</v>
      </c>
      <c r="BA98" s="9" t="n">
        <v>34.41</v>
      </c>
      <c r="BB98" s="9" t="n">
        <v>4.97</v>
      </c>
      <c r="BC98" s="9" t="n">
        <v>6.03</v>
      </c>
      <c r="BD98" s="9" t="n">
        <v>20.97</v>
      </c>
      <c r="BE98" s="9" t="n">
        <v>3.43</v>
      </c>
      <c r="BF98" s="9" t="n">
        <v>8.699999999999999</v>
      </c>
      <c r="BG98" s="9" t="n">
        <v>15.67</v>
      </c>
      <c r="BH98" s="9" t="n">
        <v>59.27</v>
      </c>
      <c r="BI98" s="9" t="n">
        <v>23.13</v>
      </c>
      <c r="BJ98" s="9" t="n">
        <v>39.03</v>
      </c>
      <c r="BK98" s="9" t="n">
        <v>1.9</v>
      </c>
      <c r="BL98" s="9" t="n">
        <v>1.5</v>
      </c>
      <c r="BM98" s="9" t="n">
        <v>10.17</v>
      </c>
      <c r="BN98" s="9" t="n">
        <v>4.5</v>
      </c>
      <c r="BO98" s="9" t="n">
        <v>44.26</v>
      </c>
      <c r="BP98" s="9" t="n">
        <v>61.83</v>
      </c>
      <c r="BQ98" s="9" t="n">
        <v>37.97</v>
      </c>
      <c r="BR98" s="9" t="n">
        <v>61.4</v>
      </c>
      <c r="BS98" s="9" t="n">
        <v>37.87</v>
      </c>
      <c r="BT98" s="9" t="n">
        <v>16.3</v>
      </c>
      <c r="BU98" s="9" t="n">
        <v>43.05</v>
      </c>
      <c r="BV98" s="9" t="n">
        <v>3.13</v>
      </c>
      <c r="BW98" s="9" t="n">
        <v>1.67</v>
      </c>
      <c r="BX98" s="9" t="n">
        <v>53.19</v>
      </c>
      <c r="BY98" s="9" t="n">
        <v>36.97</v>
      </c>
      <c r="BZ98" s="9" t="n">
        <v>16.13</v>
      </c>
      <c r="CA98" s="9" t="n">
        <v>15.23</v>
      </c>
      <c r="CB98" s="9" t="n">
        <v>2.3</v>
      </c>
      <c r="CC98" s="9" t="n">
        <v>0.03</v>
      </c>
      <c r="CD98" s="9" t="n">
        <v>137.17</v>
      </c>
      <c r="CE98" s="9" t="n">
        <v>99.06999999999999</v>
      </c>
      <c r="CF98" s="9" t="n">
        <v>72.22</v>
      </c>
      <c r="CG98" s="9" t="n">
        <v>58.27</v>
      </c>
      <c r="CH98" s="9" t="n">
        <v>54.63</v>
      </c>
      <c r="CI98" s="9" t="n">
        <v>93.76000000000001</v>
      </c>
      <c r="CJ98" s="9" t="n">
        <v>119.47</v>
      </c>
      <c r="CK98" s="9" t="n">
        <v>104.13</v>
      </c>
      <c r="CL98" s="9" t="n">
        <v>87.17</v>
      </c>
      <c r="CM98" s="9" t="n">
        <v>48.53</v>
      </c>
      <c r="CN98" s="9" t="n">
        <v>26.6</v>
      </c>
      <c r="CO98" s="9" t="n">
        <v>54.81</v>
      </c>
      <c r="CP98" s="9" t="n">
        <v>46.33</v>
      </c>
      <c r="CQ98" s="9" t="n">
        <v>30.33</v>
      </c>
      <c r="CR98" s="9" t="n">
        <v>65.47</v>
      </c>
      <c r="CS98" s="9" t="n">
        <v>68.77</v>
      </c>
      <c r="CT98" s="9" t="n">
        <v>48.07</v>
      </c>
      <c r="CU98" s="9" t="n">
        <v>69.90000000000001</v>
      </c>
      <c r="CV98" s="9" t="n">
        <v>0.33</v>
      </c>
      <c r="CW98" s="9" t="n">
        <v>0.13</v>
      </c>
      <c r="CX98" s="9" t="n">
        <v>40</v>
      </c>
      <c r="CY98" s="9" t="n">
        <v>19.63</v>
      </c>
      <c r="CZ98" s="9" t="n">
        <v>17.4</v>
      </c>
      <c r="DA98" s="9" t="n">
        <v>88.62</v>
      </c>
      <c r="DB98" s="9" t="n">
        <v>7.5</v>
      </c>
      <c r="DC98" s="9" t="n">
        <v>16.01</v>
      </c>
      <c r="DD98" s="9" t="n">
        <v>3.67</v>
      </c>
      <c r="DE98" s="9" t="n">
        <v>13.58</v>
      </c>
      <c r="DF98" s="9" t="n">
        <v>18.24</v>
      </c>
      <c r="DG98" s="9" t="n">
        <v>20.53</v>
      </c>
      <c r="DH98" s="9" t="n">
        <v>11</v>
      </c>
      <c r="DI98" s="9" t="n">
        <v>1.5</v>
      </c>
      <c r="DJ98" s="9" t="n">
        <v>1.34</v>
      </c>
      <c r="DK98" s="9" t="n">
        <v>10.17</v>
      </c>
      <c r="DL98" s="9" t="n">
        <v>4.33</v>
      </c>
      <c r="DM98" s="9" t="n">
        <v>42.62</v>
      </c>
      <c r="DN98" s="9" t="n">
        <v>392.7</v>
      </c>
      <c r="DO98" s="9" t="n">
        <v>325.4</v>
      </c>
      <c r="DP98" s="9" t="n">
        <v>82.86</v>
      </c>
      <c r="DQ98" s="9" t="n">
        <v>52.91</v>
      </c>
      <c r="DR98" s="9" t="n">
        <v>102.1</v>
      </c>
      <c r="DS98" s="9" t="n">
        <v>17.13</v>
      </c>
      <c r="DT98" s="9" t="n">
        <v>33.37</v>
      </c>
      <c r="DU98" s="9" t="n">
        <v>51.6</v>
      </c>
      <c r="DV98" s="9" t="n">
        <v>70.59999999999999</v>
      </c>
      <c r="DW98" s="9" t="n">
        <v>30.8</v>
      </c>
      <c r="DX98" s="9" t="n">
        <v>29.07</v>
      </c>
      <c r="DY98" s="9" t="n">
        <v>10.73</v>
      </c>
      <c r="DZ98" s="9" t="n">
        <v>185.03</v>
      </c>
      <c r="EA98" s="9" t="n">
        <v>88.90000000000001</v>
      </c>
      <c r="EB98" s="9" t="n">
        <v>48.05</v>
      </c>
      <c r="EC98" s="9" t="n">
        <v>4.07</v>
      </c>
      <c r="ED98" s="9" t="n">
        <v>1.37</v>
      </c>
      <c r="EE98" s="9" t="n">
        <v>33.61</v>
      </c>
      <c r="EF98" s="9" t="n">
        <v>27</v>
      </c>
      <c r="EG98" s="9" t="n">
        <v>6.17</v>
      </c>
      <c r="EH98" s="9" t="n">
        <v>22.84</v>
      </c>
      <c r="EI98" s="9" t="n">
        <v>0.33</v>
      </c>
      <c r="EJ98" s="9" t="n">
        <v>0.13</v>
      </c>
      <c r="EK98" s="9" t="n">
        <v>40</v>
      </c>
      <c r="EL98" s="9" t="n">
        <v>28.97</v>
      </c>
      <c r="EM98" s="9" t="n">
        <v>3.3</v>
      </c>
      <c r="EN98" s="9" t="n">
        <v>11.39</v>
      </c>
      <c r="EO98" s="9" t="n">
        <v>5.1</v>
      </c>
      <c r="EP98" s="9" t="n">
        <v>1.43</v>
      </c>
      <c r="EQ98" s="9" t="n">
        <v>28.1</v>
      </c>
      <c r="ER98" s="9" t="n">
        <v>2.3</v>
      </c>
      <c r="ES98" s="9" t="n">
        <v>0.6</v>
      </c>
      <c r="ET98" s="9" t="n">
        <v>26.09</v>
      </c>
      <c r="EU98" s="9" t="n">
        <v>0.1</v>
      </c>
      <c r="EV98" s="9" t="n">
        <v>0.1</v>
      </c>
      <c r="EW98" s="9" t="n">
        <v>100</v>
      </c>
      <c r="EX98" s="9" t="n">
        <v>13.63</v>
      </c>
      <c r="EY98" s="9" t="n">
        <v>4.57</v>
      </c>
      <c r="EZ98" s="9" t="n">
        <v>33.5</v>
      </c>
      <c r="FA98" s="9" t="n">
        <v>4.57</v>
      </c>
      <c r="FB98" s="9" t="n">
        <v>7.1</v>
      </c>
      <c r="FC98" s="9" t="n">
        <v>22.63</v>
      </c>
      <c r="FD98" s="9" t="n">
        <v>3.37</v>
      </c>
      <c r="FE98" s="9" t="n">
        <v>7.9</v>
      </c>
      <c r="FF98" s="9" t="n">
        <v>16.27</v>
      </c>
      <c r="FG98" s="9" t="n">
        <v>61.87</v>
      </c>
      <c r="FH98" s="9" t="n">
        <v>23.87</v>
      </c>
      <c r="FI98" s="9" t="n">
        <v>38.58</v>
      </c>
      <c r="FJ98" s="9" t="n">
        <v>1.23</v>
      </c>
      <c r="FK98" s="9" t="n">
        <v>0.9</v>
      </c>
      <c r="FL98" s="9" t="n">
        <v>9.5</v>
      </c>
      <c r="FM98" s="9" t="n">
        <v>3.43</v>
      </c>
      <c r="FN98" s="9" t="n">
        <v>36.14</v>
      </c>
      <c r="FO98" s="9" t="n">
        <v>59.3</v>
      </c>
      <c r="FP98" s="9" t="n">
        <v>36.13</v>
      </c>
      <c r="FQ98" s="9" t="n">
        <v>60.93</v>
      </c>
      <c r="FR98" s="9" t="n">
        <v>37.8</v>
      </c>
      <c r="FS98" s="9" t="n">
        <v>18.33</v>
      </c>
      <c r="FT98" s="9" t="n">
        <v>48.5</v>
      </c>
      <c r="FU98" s="9" t="n">
        <v>2.4</v>
      </c>
      <c r="FV98" s="9" t="n">
        <v>1.23</v>
      </c>
      <c r="FW98" s="9" t="n">
        <v>51.39</v>
      </c>
      <c r="FX98" s="9" t="n">
        <v>31.57</v>
      </c>
      <c r="FY98" s="9" t="n">
        <v>14.87</v>
      </c>
      <c r="FZ98" s="9" t="n">
        <v>14.27</v>
      </c>
      <c r="GA98" s="9" t="n">
        <v>2.27</v>
      </c>
      <c r="GB98" s="9" t="n">
        <v>0.17</v>
      </c>
      <c r="GC98" s="9" t="n">
        <v>132.1</v>
      </c>
      <c r="GD98" s="9" t="n">
        <v>94.56999999999999</v>
      </c>
      <c r="GE98" s="9" t="n">
        <v>71.59</v>
      </c>
      <c r="GF98" s="9" t="n">
        <v>61.2</v>
      </c>
      <c r="GG98" s="9" t="n">
        <v>58.07</v>
      </c>
      <c r="GH98" s="9" t="n">
        <v>94.88</v>
      </c>
      <c r="GI98" s="9" t="n">
        <v>144.33</v>
      </c>
      <c r="GJ98" s="9" t="n">
        <v>129.2</v>
      </c>
      <c r="GK98" s="9" t="n">
        <v>89.52</v>
      </c>
      <c r="GL98" s="9" t="n">
        <v>43.43</v>
      </c>
      <c r="GM98" s="9" t="n">
        <v>22.97</v>
      </c>
      <c r="GN98" s="9" t="n">
        <v>52.88</v>
      </c>
      <c r="GO98" s="9" t="n">
        <v>53.17</v>
      </c>
      <c r="GP98" s="9" t="n">
        <v>34.73</v>
      </c>
      <c r="GQ98" s="9" t="n">
        <v>65.33</v>
      </c>
      <c r="GR98" s="9" t="n">
        <v>68.73</v>
      </c>
      <c r="GS98" s="9" t="n">
        <v>51.77</v>
      </c>
      <c r="GT98" s="9" t="n">
        <v>75.31999999999999</v>
      </c>
      <c r="GU98" s="9" t="n">
        <v>0.83</v>
      </c>
      <c r="GV98" s="9" t="n">
        <v>0.3</v>
      </c>
      <c r="GW98" s="9" t="n">
        <v>36</v>
      </c>
      <c r="GX98" s="9" t="n">
        <v>21.87</v>
      </c>
      <c r="GY98" s="9" t="n">
        <v>19.57</v>
      </c>
      <c r="GZ98" s="9" t="n">
        <v>89.48</v>
      </c>
      <c r="HA98" s="9" t="n">
        <v>8.17</v>
      </c>
      <c r="HB98" s="9" t="n">
        <v>15.22</v>
      </c>
      <c r="HC98" s="9" t="n">
        <v>3.92</v>
      </c>
      <c r="HD98" s="9" t="n">
        <v>11.44</v>
      </c>
      <c r="HE98" s="9" t="n">
        <v>17.63</v>
      </c>
      <c r="HF98" s="9" t="n">
        <v>20.03</v>
      </c>
      <c r="HG98" s="9" t="n">
        <v>10.44</v>
      </c>
    </row>
    <row r="99">
      <c r="A99" s="12" t="n">
        <v>2025</v>
      </c>
      <c r="B99" s="12" t="n">
        <v>27</v>
      </c>
      <c r="C99" s="5">
        <f>(B99-AVERAGE($B$2:$B$100))/_xlfn.STDEV.P($B$2:$B$100)</f>
        <v/>
      </c>
      <c r="D99" s="12" t="n">
        <v>12</v>
      </c>
      <c r="E99" s="6">
        <f>-D99</f>
        <v/>
      </c>
      <c r="F99" s="7">
        <f>(E99-AVERAGE($E$2:$E$100))/_xlfn.STDEV.P($E$2:$E$100)</f>
        <v/>
      </c>
      <c r="G99" s="7">
        <f>sum(0.5*C99)+(0.5*F99)</f>
        <v/>
      </c>
      <c r="H99" s="12" t="inlineStr">
        <is>
          <t>East</t>
        </is>
      </c>
      <c r="I99" s="8" t="inlineStr">
        <is>
          <t>Birmingham Legion</t>
        </is>
      </c>
      <c r="J99" s="9" t="n">
        <v>1.2</v>
      </c>
      <c r="K99" s="9" t="n">
        <v>1.16</v>
      </c>
      <c r="L99" s="9" t="n">
        <v>9.4</v>
      </c>
      <c r="M99" s="9" t="n">
        <v>3.23</v>
      </c>
      <c r="N99" s="9" t="n">
        <v>34.4</v>
      </c>
      <c r="O99" s="9" t="n">
        <v>386.07</v>
      </c>
      <c r="P99" s="9" t="n">
        <v>317</v>
      </c>
      <c r="Q99" s="9" t="n">
        <v>82.11</v>
      </c>
      <c r="R99" s="9" t="n">
        <v>49.44</v>
      </c>
      <c r="S99" s="9" t="n">
        <v>102.6</v>
      </c>
      <c r="T99" s="9" t="n">
        <v>20.43</v>
      </c>
      <c r="U99" s="9" t="n">
        <v>35.83</v>
      </c>
      <c r="V99" s="9" t="n">
        <v>46.33</v>
      </c>
      <c r="W99" s="9" t="n">
        <v>73.67</v>
      </c>
      <c r="X99" s="9" t="n">
        <v>35.9</v>
      </c>
      <c r="Y99" s="9" t="n">
        <v>28.03</v>
      </c>
      <c r="Z99" s="9" t="n">
        <v>9.73</v>
      </c>
      <c r="AA99" s="9" t="n">
        <v>174.7</v>
      </c>
      <c r="AB99" s="9" t="n">
        <v>83.17</v>
      </c>
      <c r="AC99" s="9" t="n">
        <v>47.61</v>
      </c>
      <c r="AD99" s="9" t="n">
        <v>4.27</v>
      </c>
      <c r="AE99" s="9" t="n">
        <v>1.13</v>
      </c>
      <c r="AF99" s="9" t="n">
        <v>26.56</v>
      </c>
      <c r="AG99" s="9" t="n">
        <v>25.03</v>
      </c>
      <c r="AH99" s="9" t="n">
        <v>5.57</v>
      </c>
      <c r="AI99" s="9" t="n">
        <v>22.24</v>
      </c>
      <c r="AJ99" s="9" t="n">
        <v>0.7</v>
      </c>
      <c r="AK99" s="9" t="n">
        <v>0.27</v>
      </c>
      <c r="AL99" s="9" t="n">
        <v>38.1</v>
      </c>
      <c r="AM99" s="9" t="n">
        <v>26.03</v>
      </c>
      <c r="AN99" s="9" t="n">
        <v>3.07</v>
      </c>
      <c r="AO99" s="9" t="n">
        <v>11.78</v>
      </c>
      <c r="AP99" s="9" t="n">
        <v>3.8</v>
      </c>
      <c r="AQ99" s="9" t="n">
        <v>1.17</v>
      </c>
      <c r="AR99" s="9" t="n">
        <v>30.7</v>
      </c>
      <c r="AS99" s="9" t="n">
        <v>2.7</v>
      </c>
      <c r="AT99" s="9" t="n">
        <v>0.63</v>
      </c>
      <c r="AU99" s="9" t="n">
        <v>23.46</v>
      </c>
      <c r="AV99" s="9" t="n">
        <v>0.1</v>
      </c>
      <c r="AW99" s="9" t="n">
        <v>0.07000000000000001</v>
      </c>
      <c r="AX99" s="9" t="n">
        <v>66.67</v>
      </c>
      <c r="AY99" s="9" t="n">
        <v>11.17</v>
      </c>
      <c r="AZ99" s="9" t="n">
        <v>2.73</v>
      </c>
      <c r="BA99" s="9" t="n">
        <v>24.48</v>
      </c>
      <c r="BB99" s="9" t="n">
        <v>2.83</v>
      </c>
      <c r="BC99" s="9" t="n">
        <v>5.03</v>
      </c>
      <c r="BD99" s="9" t="n">
        <v>20.13</v>
      </c>
      <c r="BE99" s="9" t="n">
        <v>3.43</v>
      </c>
      <c r="BF99" s="9" t="n">
        <v>6.5</v>
      </c>
      <c r="BG99" s="9" t="n">
        <v>12.63</v>
      </c>
      <c r="BH99" s="9" t="n">
        <v>59.33</v>
      </c>
      <c r="BI99" s="9" t="n">
        <v>22.87</v>
      </c>
      <c r="BJ99" s="9" t="n">
        <v>38.54</v>
      </c>
      <c r="BK99" s="9" t="n">
        <v>2.1</v>
      </c>
      <c r="BL99" s="9" t="n">
        <v>1.67</v>
      </c>
      <c r="BM99" s="9" t="n">
        <v>10.47</v>
      </c>
      <c r="BN99" s="9" t="n">
        <v>4.47</v>
      </c>
      <c r="BO99" s="9" t="n">
        <v>42.68</v>
      </c>
      <c r="BP99" s="9" t="n">
        <v>57.4</v>
      </c>
      <c r="BQ99" s="9" t="n">
        <v>35.43</v>
      </c>
      <c r="BR99" s="9" t="n">
        <v>61.73</v>
      </c>
      <c r="BS99" s="9" t="n">
        <v>35.37</v>
      </c>
      <c r="BT99" s="9" t="n">
        <v>15.03</v>
      </c>
      <c r="BU99" s="9" t="n">
        <v>42.51</v>
      </c>
      <c r="BV99" s="9" t="n">
        <v>2.43</v>
      </c>
      <c r="BW99" s="9" t="n">
        <v>1.23</v>
      </c>
      <c r="BX99" s="9" t="n">
        <v>50.68</v>
      </c>
      <c r="BY99" s="9" t="n">
        <v>32.23</v>
      </c>
      <c r="BZ99" s="9" t="n">
        <v>13</v>
      </c>
      <c r="CA99" s="9" t="n">
        <v>13.07</v>
      </c>
      <c r="CB99" s="9" t="n">
        <v>2.6</v>
      </c>
      <c r="CC99" s="9" t="n">
        <v>0.07000000000000001</v>
      </c>
      <c r="CD99" s="9" t="n">
        <v>131.33</v>
      </c>
      <c r="CE99" s="9" t="n">
        <v>92.09999999999999</v>
      </c>
      <c r="CF99" s="9" t="n">
        <v>70.13</v>
      </c>
      <c r="CG99" s="9" t="n">
        <v>57.03</v>
      </c>
      <c r="CH99" s="9" t="n">
        <v>53.63</v>
      </c>
      <c r="CI99" s="9" t="n">
        <v>94.04000000000001</v>
      </c>
      <c r="CJ99" s="9" t="n">
        <v>146.97</v>
      </c>
      <c r="CK99" s="9" t="n">
        <v>130.8</v>
      </c>
      <c r="CL99" s="9" t="n">
        <v>89</v>
      </c>
      <c r="CM99" s="9" t="n">
        <v>49.37</v>
      </c>
      <c r="CN99" s="9" t="n">
        <v>25.1</v>
      </c>
      <c r="CO99" s="9" t="n">
        <v>50.84</v>
      </c>
      <c r="CP99" s="9" t="n">
        <v>51.7</v>
      </c>
      <c r="CQ99" s="9" t="n">
        <v>32.23</v>
      </c>
      <c r="CR99" s="9" t="n">
        <v>62.35</v>
      </c>
      <c r="CS99" s="9" t="n">
        <v>64.37</v>
      </c>
      <c r="CT99" s="9" t="n">
        <v>43.63</v>
      </c>
      <c r="CU99" s="9" t="n">
        <v>67.79000000000001</v>
      </c>
      <c r="CV99" s="9" t="n">
        <v>0.83</v>
      </c>
      <c r="CW99" s="9" t="n">
        <v>0.47</v>
      </c>
      <c r="CX99" s="9" t="n">
        <v>56</v>
      </c>
      <c r="CY99" s="9" t="n">
        <v>20.13</v>
      </c>
      <c r="CZ99" s="9" t="n">
        <v>17.83</v>
      </c>
      <c r="DA99" s="9" t="n">
        <v>88.58</v>
      </c>
      <c r="DB99" s="9" t="n">
        <v>8.33</v>
      </c>
      <c r="DC99" s="9" t="n">
        <v>15.56</v>
      </c>
      <c r="DD99" s="9" t="n">
        <v>4</v>
      </c>
      <c r="DE99" s="9" t="n">
        <v>13.33</v>
      </c>
      <c r="DF99" s="9" t="n">
        <v>19.1</v>
      </c>
      <c r="DG99" s="9" t="n">
        <v>20.84</v>
      </c>
      <c r="DH99" s="9" t="n">
        <v>13.43</v>
      </c>
      <c r="DI99" s="9" t="n">
        <v>1.67</v>
      </c>
      <c r="DJ99" s="9" t="n">
        <v>1.42</v>
      </c>
      <c r="DK99" s="9" t="n">
        <v>10.47</v>
      </c>
      <c r="DL99" s="9" t="n">
        <v>4.27</v>
      </c>
      <c r="DM99" s="9" t="n">
        <v>40.76</v>
      </c>
      <c r="DN99" s="9" t="n">
        <v>418</v>
      </c>
      <c r="DO99" s="9" t="n">
        <v>350.43</v>
      </c>
      <c r="DP99" s="9" t="n">
        <v>83.84</v>
      </c>
      <c r="DQ99" s="9" t="n">
        <v>50.56</v>
      </c>
      <c r="DR99" s="9" t="n">
        <v>100.97</v>
      </c>
      <c r="DS99" s="9" t="n">
        <v>16.5</v>
      </c>
      <c r="DT99" s="9" t="n">
        <v>34.83</v>
      </c>
      <c r="DU99" s="9" t="n">
        <v>49.63</v>
      </c>
      <c r="DV99" s="9" t="n">
        <v>72.5</v>
      </c>
      <c r="DW99" s="9" t="n">
        <v>31.97</v>
      </c>
      <c r="DX99" s="9" t="n">
        <v>29.47</v>
      </c>
      <c r="DY99" s="9" t="n">
        <v>11.07</v>
      </c>
      <c r="DZ99" s="9" t="n">
        <v>174.7</v>
      </c>
      <c r="EA99" s="9" t="n">
        <v>85.09999999999999</v>
      </c>
      <c r="EB99" s="9" t="n">
        <v>48.71</v>
      </c>
      <c r="EC99" s="9" t="n">
        <v>3.93</v>
      </c>
      <c r="ED99" s="9" t="n">
        <v>1.1</v>
      </c>
      <c r="EE99" s="9" t="n">
        <v>27.97</v>
      </c>
      <c r="EF99" s="9" t="n">
        <v>26.5</v>
      </c>
      <c r="EG99" s="9" t="n">
        <v>6.37</v>
      </c>
      <c r="EH99" s="9" t="n">
        <v>24.03</v>
      </c>
      <c r="EI99" s="9" t="n">
        <v>0.4</v>
      </c>
      <c r="EJ99" s="9" t="n">
        <v>0.13</v>
      </c>
      <c r="EK99" s="9" t="n">
        <v>33.33</v>
      </c>
      <c r="EL99" s="9" t="n">
        <v>26.13</v>
      </c>
      <c r="EM99" s="9" t="n">
        <v>3.37</v>
      </c>
      <c r="EN99" s="9" t="n">
        <v>12.88</v>
      </c>
      <c r="EO99" s="9" t="n">
        <v>4.67</v>
      </c>
      <c r="EP99" s="9" t="n">
        <v>1.6</v>
      </c>
      <c r="EQ99" s="9" t="n">
        <v>34.29</v>
      </c>
      <c r="ER99" s="9" t="n">
        <v>2.57</v>
      </c>
      <c r="ES99" s="9" t="n">
        <v>0.63</v>
      </c>
      <c r="ET99" s="9" t="n">
        <v>24.68</v>
      </c>
      <c r="EU99" s="9" t="n">
        <v>0.2</v>
      </c>
      <c r="EV99" s="9" t="n">
        <v>0.2</v>
      </c>
      <c r="EW99" s="9" t="n">
        <v>100</v>
      </c>
      <c r="EX99" s="9" t="n">
        <v>13</v>
      </c>
      <c r="EY99" s="9" t="n">
        <v>4.3</v>
      </c>
      <c r="EZ99" s="9" t="n">
        <v>33.08</v>
      </c>
      <c r="FA99" s="9" t="n">
        <v>4.23</v>
      </c>
      <c r="FB99" s="9" t="n">
        <v>7.07</v>
      </c>
      <c r="FC99" s="9" t="n">
        <v>21.77</v>
      </c>
      <c r="FD99" s="9" t="n">
        <v>2.97</v>
      </c>
      <c r="FE99" s="9" t="n">
        <v>7.97</v>
      </c>
      <c r="FF99" s="9" t="n">
        <v>16.7</v>
      </c>
      <c r="FG99" s="9" t="n">
        <v>57.4</v>
      </c>
      <c r="FH99" s="9" t="n">
        <v>21.97</v>
      </c>
      <c r="FI99" s="9" t="n">
        <v>38.27</v>
      </c>
      <c r="FJ99" s="9" t="n">
        <v>1.63</v>
      </c>
      <c r="FK99" s="9" t="n">
        <v>1.2</v>
      </c>
      <c r="FL99" s="9" t="n">
        <v>9.4</v>
      </c>
      <c r="FM99" s="9" t="n">
        <v>3.43</v>
      </c>
      <c r="FN99" s="9" t="n">
        <v>36.52</v>
      </c>
      <c r="FO99" s="9" t="n">
        <v>59.33</v>
      </c>
      <c r="FP99" s="9" t="n">
        <v>36.47</v>
      </c>
      <c r="FQ99" s="9" t="n">
        <v>61.46</v>
      </c>
      <c r="FR99" s="9" t="n">
        <v>35.37</v>
      </c>
      <c r="FS99" s="9" t="n">
        <v>17.27</v>
      </c>
      <c r="FT99" s="9" t="n">
        <v>48.82</v>
      </c>
      <c r="FU99" s="9" t="n">
        <v>1.97</v>
      </c>
      <c r="FV99" s="9" t="n">
        <v>1.1</v>
      </c>
      <c r="FW99" s="9" t="n">
        <v>55.93</v>
      </c>
      <c r="FX99" s="9" t="n">
        <v>34.23</v>
      </c>
      <c r="FY99" s="9" t="n">
        <v>13.27</v>
      </c>
      <c r="FZ99" s="9" t="n">
        <v>13.77</v>
      </c>
      <c r="GA99" s="9" t="n">
        <v>1.83</v>
      </c>
      <c r="GB99" s="9" t="n">
        <v>0.07000000000000001</v>
      </c>
      <c r="GC99" s="9" t="n">
        <v>137.3</v>
      </c>
      <c r="GD99" s="9" t="n">
        <v>101.57</v>
      </c>
      <c r="GE99" s="9" t="n">
        <v>73.97</v>
      </c>
      <c r="GF99" s="9" t="n">
        <v>64.7</v>
      </c>
      <c r="GG99" s="9" t="n">
        <v>60.37</v>
      </c>
      <c r="GH99" s="9" t="n">
        <v>93.3</v>
      </c>
      <c r="GI99" s="9" t="n">
        <v>158.3</v>
      </c>
      <c r="GJ99" s="9" t="n">
        <v>142.6</v>
      </c>
      <c r="GK99" s="9" t="n">
        <v>90.08</v>
      </c>
      <c r="GL99" s="9" t="n">
        <v>43.93</v>
      </c>
      <c r="GM99" s="9" t="n">
        <v>23.9</v>
      </c>
      <c r="GN99" s="9" t="n">
        <v>54.4</v>
      </c>
      <c r="GO99" s="9" t="n">
        <v>56.03</v>
      </c>
      <c r="GP99" s="9" t="n">
        <v>38.13</v>
      </c>
      <c r="GQ99" s="9" t="n">
        <v>68.05</v>
      </c>
      <c r="GR99" s="9" t="n">
        <v>68.93000000000001</v>
      </c>
      <c r="GS99" s="9" t="n">
        <v>51.73</v>
      </c>
      <c r="GT99" s="9" t="n">
        <v>75.05</v>
      </c>
      <c r="GU99" s="9" t="n">
        <v>1.03</v>
      </c>
      <c r="GV99" s="9" t="n">
        <v>0.4</v>
      </c>
      <c r="GW99" s="9" t="n">
        <v>38.71</v>
      </c>
      <c r="GX99" s="9" t="n">
        <v>18.47</v>
      </c>
      <c r="GY99" s="9" t="n">
        <v>16.47</v>
      </c>
      <c r="GZ99" s="9" t="n">
        <v>89.17</v>
      </c>
      <c r="HA99" s="9" t="n">
        <v>8.300000000000001</v>
      </c>
      <c r="HB99" s="9" t="n">
        <v>16.4</v>
      </c>
      <c r="HC99" s="9" t="n">
        <v>4.35</v>
      </c>
      <c r="HD99" s="9" t="n">
        <v>10.76</v>
      </c>
      <c r="HE99" s="9" t="n">
        <v>17.79</v>
      </c>
      <c r="HF99" s="9" t="n">
        <v>19.8</v>
      </c>
      <c r="HG99" s="9" t="n">
        <v>10.83</v>
      </c>
    </row>
    <row r="100">
      <c r="A100" s="12" t="n">
        <v>2025</v>
      </c>
      <c r="B100" s="12" t="n">
        <v>27</v>
      </c>
      <c r="C100" s="5">
        <f>(B100-AVERAGE($B$2:$B$100))/_xlfn.STDEV.P($B$2:$B$100)</f>
        <v/>
      </c>
      <c r="D100" s="12" t="n">
        <v>12</v>
      </c>
      <c r="E100" s="6">
        <f>-D100</f>
        <v/>
      </c>
      <c r="F100" s="7">
        <f>(E100-AVERAGE($E$2:$E$100))/_xlfn.STDEV.P($E$2:$E$100)</f>
        <v/>
      </c>
      <c r="G100" s="7">
        <f>sum(0.5*C100)+(0.5*F100)</f>
        <v/>
      </c>
      <c r="H100" s="12" t="inlineStr">
        <is>
          <t>West</t>
        </is>
      </c>
      <c r="I100" s="8" t="inlineStr">
        <is>
          <t>Las Vegas Lights</t>
        </is>
      </c>
      <c r="J100" s="9" t="n">
        <v>0.77</v>
      </c>
      <c r="K100" s="9" t="n">
        <v>0.82</v>
      </c>
      <c r="L100" s="9" t="n">
        <v>8.77</v>
      </c>
      <c r="M100" s="9" t="n">
        <v>2.97</v>
      </c>
      <c r="N100" s="9" t="n">
        <v>33.84</v>
      </c>
      <c r="O100" s="9" t="n">
        <v>365.23</v>
      </c>
      <c r="P100" s="9" t="n">
        <v>301.83</v>
      </c>
      <c r="Q100" s="9" t="n">
        <v>82.64</v>
      </c>
      <c r="R100" s="9" t="n">
        <v>47.75</v>
      </c>
      <c r="S100" s="9" t="n">
        <v>91.06999999999999</v>
      </c>
      <c r="T100" s="9" t="n">
        <v>18.5</v>
      </c>
      <c r="U100" s="9" t="n">
        <v>34.63</v>
      </c>
      <c r="V100" s="9" t="n">
        <v>37.93</v>
      </c>
      <c r="W100" s="9" t="n">
        <v>65.27</v>
      </c>
      <c r="X100" s="9" t="n">
        <v>32.97</v>
      </c>
      <c r="Y100" s="9" t="n">
        <v>25.33</v>
      </c>
      <c r="Z100" s="9" t="n">
        <v>6.97</v>
      </c>
      <c r="AA100" s="9" t="n">
        <v>170.97</v>
      </c>
      <c r="AB100" s="9" t="n">
        <v>81.63</v>
      </c>
      <c r="AC100" s="9" t="n">
        <v>47.75</v>
      </c>
      <c r="AD100" s="9" t="n">
        <v>4.4</v>
      </c>
      <c r="AE100" s="9" t="n">
        <v>1.17</v>
      </c>
      <c r="AF100" s="9" t="n">
        <v>26.52</v>
      </c>
      <c r="AG100" s="9" t="n">
        <v>21.8</v>
      </c>
      <c r="AH100" s="9" t="n">
        <v>5.3</v>
      </c>
      <c r="AI100" s="9" t="n">
        <v>24.31</v>
      </c>
      <c r="AJ100" s="9" t="n">
        <v>0.63</v>
      </c>
      <c r="AK100" s="9" t="n">
        <v>0.4</v>
      </c>
      <c r="AL100" s="9" t="n">
        <v>63.16</v>
      </c>
      <c r="AM100" s="9" t="n">
        <v>24.4</v>
      </c>
      <c r="AN100" s="9" t="n">
        <v>2.73</v>
      </c>
      <c r="AO100" s="9" t="n">
        <v>11.2</v>
      </c>
      <c r="AP100" s="9" t="n">
        <v>3.73</v>
      </c>
      <c r="AQ100" s="9" t="n">
        <v>1.17</v>
      </c>
      <c r="AR100" s="9" t="n">
        <v>31.25</v>
      </c>
      <c r="AS100" s="9" t="n">
        <v>2.53</v>
      </c>
      <c r="AT100" s="9" t="n">
        <v>0.53</v>
      </c>
      <c r="AU100" s="9" t="n">
        <v>21.05</v>
      </c>
      <c r="AV100" s="9" t="n">
        <v>0.1</v>
      </c>
      <c r="AW100" s="9" t="n">
        <v>0.07000000000000001</v>
      </c>
      <c r="AX100" s="9" t="n">
        <v>66.67</v>
      </c>
      <c r="AY100" s="9" t="n">
        <v>11.13</v>
      </c>
      <c r="AZ100" s="9" t="n">
        <v>3.33</v>
      </c>
      <c r="BA100" s="9" t="n">
        <v>29.94</v>
      </c>
      <c r="BB100" s="9" t="n">
        <v>3.83</v>
      </c>
      <c r="BC100" s="9" t="n">
        <v>3.23</v>
      </c>
      <c r="BD100" s="9" t="n">
        <v>18.17</v>
      </c>
      <c r="BE100" s="9" t="n">
        <v>2.3</v>
      </c>
      <c r="BF100" s="9" t="n">
        <v>7.53</v>
      </c>
      <c r="BG100" s="9" t="n">
        <v>10.23</v>
      </c>
      <c r="BH100" s="9" t="n">
        <v>56.93</v>
      </c>
      <c r="BI100" s="9" t="n">
        <v>23.03</v>
      </c>
      <c r="BJ100" s="9" t="n">
        <v>40.46</v>
      </c>
      <c r="BK100" s="9" t="n">
        <v>2.27</v>
      </c>
      <c r="BL100" s="9" t="n">
        <v>1.67</v>
      </c>
      <c r="BM100" s="9" t="n">
        <v>12.37</v>
      </c>
      <c r="BN100" s="9" t="n">
        <v>4.63</v>
      </c>
      <c r="BO100" s="9" t="n">
        <v>37.47</v>
      </c>
      <c r="BP100" s="9" t="n">
        <v>63.83</v>
      </c>
      <c r="BQ100" s="9" t="n">
        <v>36.87</v>
      </c>
      <c r="BR100" s="9" t="n">
        <v>57.75</v>
      </c>
      <c r="BS100" s="9" t="n">
        <v>27.73</v>
      </c>
      <c r="BT100" s="9" t="n">
        <v>11.97</v>
      </c>
      <c r="BU100" s="9" t="n">
        <v>43.15</v>
      </c>
      <c r="BV100" s="9" t="n">
        <v>2.23</v>
      </c>
      <c r="BW100" s="9" t="n">
        <v>1.1</v>
      </c>
      <c r="BX100" s="9" t="n">
        <v>49.25</v>
      </c>
      <c r="BY100" s="9" t="n">
        <v>34.97</v>
      </c>
      <c r="BZ100" s="9" t="n">
        <v>13.63</v>
      </c>
      <c r="CA100" s="9" t="n">
        <v>14.37</v>
      </c>
      <c r="CB100" s="9" t="n">
        <v>2.7</v>
      </c>
      <c r="CC100" s="9" t="n">
        <v>0.1</v>
      </c>
      <c r="CD100" s="9" t="n">
        <v>122.83</v>
      </c>
      <c r="CE100" s="9" t="n">
        <v>86.73</v>
      </c>
      <c r="CF100" s="9" t="n">
        <v>70.61</v>
      </c>
      <c r="CG100" s="9" t="n">
        <v>59.3</v>
      </c>
      <c r="CH100" s="9" t="n">
        <v>55.1</v>
      </c>
      <c r="CI100" s="9" t="n">
        <v>92.92</v>
      </c>
      <c r="CJ100" s="9" t="n">
        <v>136.93</v>
      </c>
      <c r="CK100" s="9" t="n">
        <v>122.17</v>
      </c>
      <c r="CL100" s="9" t="n">
        <v>89.22</v>
      </c>
      <c r="CM100" s="9" t="n">
        <v>46.1</v>
      </c>
      <c r="CN100" s="9" t="n">
        <v>24.2</v>
      </c>
      <c r="CO100" s="9" t="n">
        <v>52.49</v>
      </c>
      <c r="CP100" s="9" t="n">
        <v>45.27</v>
      </c>
      <c r="CQ100" s="9" t="n">
        <v>28.63</v>
      </c>
      <c r="CR100" s="9" t="n">
        <v>63.25</v>
      </c>
      <c r="CS100" s="9" t="n">
        <v>65.5</v>
      </c>
      <c r="CT100" s="9" t="n">
        <v>43.77</v>
      </c>
      <c r="CU100" s="9" t="n">
        <v>66.81999999999999</v>
      </c>
      <c r="CV100" s="9" t="n">
        <v>0.97</v>
      </c>
      <c r="CW100" s="9" t="n">
        <v>0.27</v>
      </c>
      <c r="CX100" s="9" t="n">
        <v>27.59</v>
      </c>
      <c r="CY100" s="9" t="n">
        <v>18.4</v>
      </c>
      <c r="CZ100" s="9" t="n">
        <v>17</v>
      </c>
      <c r="DA100" s="9" t="n">
        <v>92.39</v>
      </c>
      <c r="DB100" s="9" t="n">
        <v>8.07</v>
      </c>
      <c r="DC100" s="9" t="n">
        <v>15.53</v>
      </c>
      <c r="DD100" s="9" t="n">
        <v>3.89</v>
      </c>
      <c r="DE100" s="9" t="n">
        <v>12.81</v>
      </c>
      <c r="DF100" s="9" t="n">
        <v>20.8</v>
      </c>
      <c r="DG100" s="9" t="n">
        <v>20.91</v>
      </c>
      <c r="DH100" s="9" t="n">
        <v>12.65</v>
      </c>
      <c r="DI100" s="9" t="n">
        <v>1.67</v>
      </c>
      <c r="DJ100" s="9" t="n">
        <v>1.63</v>
      </c>
      <c r="DK100" s="9" t="n">
        <v>12.37</v>
      </c>
      <c r="DL100" s="9" t="n">
        <v>4.37</v>
      </c>
      <c r="DM100" s="9" t="n">
        <v>35.31</v>
      </c>
      <c r="DN100" s="9" t="n">
        <v>417.57</v>
      </c>
      <c r="DO100" s="9" t="n">
        <v>355.83</v>
      </c>
      <c r="DP100" s="9" t="n">
        <v>85.22</v>
      </c>
      <c r="DQ100" s="9" t="n">
        <v>52.25</v>
      </c>
      <c r="DR100" s="9" t="n">
        <v>93.83</v>
      </c>
      <c r="DS100" s="9" t="n">
        <v>13.73</v>
      </c>
      <c r="DT100" s="9" t="n">
        <v>31.57</v>
      </c>
      <c r="DU100" s="9" t="n">
        <v>48.53</v>
      </c>
      <c r="DV100" s="9" t="n">
        <v>66.47</v>
      </c>
      <c r="DW100" s="9" t="n">
        <v>26.37</v>
      </c>
      <c r="DX100" s="9" t="n">
        <v>27.83</v>
      </c>
      <c r="DY100" s="9" t="n">
        <v>12.27</v>
      </c>
      <c r="DZ100" s="9" t="n">
        <v>170.97</v>
      </c>
      <c r="EA100" s="9" t="n">
        <v>83.23</v>
      </c>
      <c r="EB100" s="9" t="n">
        <v>48.68</v>
      </c>
      <c r="EC100" s="9" t="n">
        <v>4.83</v>
      </c>
      <c r="ED100" s="9" t="n">
        <v>1.3</v>
      </c>
      <c r="EE100" s="9" t="n">
        <v>26.9</v>
      </c>
      <c r="EF100" s="9" t="n">
        <v>27.93</v>
      </c>
      <c r="EG100" s="9" t="n">
        <v>6.73</v>
      </c>
      <c r="EH100" s="9" t="n">
        <v>24.11</v>
      </c>
      <c r="EI100" s="9" t="n">
        <v>0.7</v>
      </c>
      <c r="EJ100" s="9" t="n">
        <v>0.47</v>
      </c>
      <c r="EK100" s="9" t="n">
        <v>66.67</v>
      </c>
      <c r="EL100" s="9" t="n">
        <v>27.7</v>
      </c>
      <c r="EM100" s="9" t="n">
        <v>4.3</v>
      </c>
      <c r="EN100" s="9" t="n">
        <v>15.52</v>
      </c>
      <c r="EO100" s="9" t="n">
        <v>5</v>
      </c>
      <c r="EP100" s="9" t="n">
        <v>1.33</v>
      </c>
      <c r="EQ100" s="9" t="n">
        <v>26.67</v>
      </c>
      <c r="ER100" s="9" t="n">
        <v>2.7</v>
      </c>
      <c r="ES100" s="9" t="n">
        <v>1</v>
      </c>
      <c r="ET100" s="9" t="n">
        <v>37.04</v>
      </c>
      <c r="EU100" s="9" t="n">
        <v>0.23</v>
      </c>
      <c r="EV100" s="9" t="n">
        <v>0.13</v>
      </c>
      <c r="EW100" s="9" t="n">
        <v>57.14</v>
      </c>
      <c r="EX100" s="9" t="n">
        <v>14.8</v>
      </c>
      <c r="EY100" s="9" t="n">
        <v>5.07</v>
      </c>
      <c r="EZ100" s="9" t="n">
        <v>34.23</v>
      </c>
      <c r="FA100" s="9" t="n">
        <v>4.33</v>
      </c>
      <c r="FB100" s="9" t="n">
        <v>8.43</v>
      </c>
      <c r="FC100" s="9" t="n">
        <v>24.43</v>
      </c>
      <c r="FD100" s="9" t="n">
        <v>3.6</v>
      </c>
      <c r="FE100" s="9" t="n">
        <v>9.029999999999999</v>
      </c>
      <c r="FF100" s="9" t="n">
        <v>18.9</v>
      </c>
      <c r="FG100" s="9" t="n">
        <v>63.83</v>
      </c>
      <c r="FH100" s="9" t="n">
        <v>26.97</v>
      </c>
      <c r="FI100" s="9" t="n">
        <v>42.25</v>
      </c>
      <c r="FJ100" s="9" t="n">
        <v>0.83</v>
      </c>
      <c r="FK100" s="9" t="n">
        <v>0.77</v>
      </c>
      <c r="FL100" s="9" t="n">
        <v>8.77</v>
      </c>
      <c r="FM100" s="9" t="n">
        <v>3.1</v>
      </c>
      <c r="FN100" s="9" t="n">
        <v>35.36</v>
      </c>
      <c r="FO100" s="9" t="n">
        <v>56.93</v>
      </c>
      <c r="FP100" s="9" t="n">
        <v>33.9</v>
      </c>
      <c r="FQ100" s="9" t="n">
        <v>59.54</v>
      </c>
      <c r="FR100" s="9" t="n">
        <v>27.73</v>
      </c>
      <c r="FS100" s="9" t="n">
        <v>13.6</v>
      </c>
      <c r="FT100" s="9" t="n">
        <v>49.04</v>
      </c>
      <c r="FU100" s="9" t="n">
        <v>2.63</v>
      </c>
      <c r="FV100" s="9" t="n">
        <v>1.13</v>
      </c>
      <c r="FW100" s="9" t="n">
        <v>43.04</v>
      </c>
      <c r="FX100" s="9" t="n">
        <v>33.17</v>
      </c>
      <c r="FY100" s="9" t="n">
        <v>12.33</v>
      </c>
      <c r="FZ100" s="9" t="n">
        <v>13.67</v>
      </c>
      <c r="GA100" s="9" t="n">
        <v>2.1</v>
      </c>
      <c r="GB100" s="9" t="n">
        <v>0.03</v>
      </c>
      <c r="GC100" s="9" t="n">
        <v>138.17</v>
      </c>
      <c r="GD100" s="9" t="n">
        <v>105.9</v>
      </c>
      <c r="GE100" s="9" t="n">
        <v>76.65000000000001</v>
      </c>
      <c r="GF100" s="9" t="n">
        <v>69.43000000000001</v>
      </c>
      <c r="GG100" s="9" t="n">
        <v>65.09999999999999</v>
      </c>
      <c r="GH100" s="9" t="n">
        <v>93.76000000000001</v>
      </c>
      <c r="GI100" s="9" t="n">
        <v>149.47</v>
      </c>
      <c r="GJ100" s="9" t="n">
        <v>134.6</v>
      </c>
      <c r="GK100" s="9" t="n">
        <v>90.05</v>
      </c>
      <c r="GL100" s="9" t="n">
        <v>38.3</v>
      </c>
      <c r="GM100" s="9" t="n">
        <v>20.87</v>
      </c>
      <c r="GN100" s="9" t="n">
        <v>54.48</v>
      </c>
      <c r="GO100" s="9" t="n">
        <v>51.8</v>
      </c>
      <c r="GP100" s="9" t="n">
        <v>36.8</v>
      </c>
      <c r="GQ100" s="9" t="n">
        <v>71.04000000000001</v>
      </c>
      <c r="GR100" s="9" t="n">
        <v>66.37</v>
      </c>
      <c r="GS100" s="9" t="n">
        <v>52.63</v>
      </c>
      <c r="GT100" s="9" t="n">
        <v>79.31</v>
      </c>
      <c r="GU100" s="9" t="n">
        <v>0.8</v>
      </c>
      <c r="GV100" s="9" t="n">
        <v>0.4</v>
      </c>
      <c r="GW100" s="9" t="n">
        <v>50</v>
      </c>
      <c r="GX100" s="9" t="n">
        <v>19.87</v>
      </c>
      <c r="GY100" s="9" t="n">
        <v>18.17</v>
      </c>
      <c r="GZ100" s="9" t="n">
        <v>91.44</v>
      </c>
      <c r="HA100" s="9" t="n">
        <v>7.47</v>
      </c>
      <c r="HB100" s="9" t="n">
        <v>16.01</v>
      </c>
      <c r="HC100" s="9" t="n">
        <v>4.32</v>
      </c>
      <c r="HD100" s="9" t="n">
        <v>9.710000000000001</v>
      </c>
      <c r="HE100" s="9" t="n">
        <v>18.07</v>
      </c>
      <c r="HF100" s="9" t="n">
        <v>19.82</v>
      </c>
      <c r="HG100" s="9" t="n">
        <v>10.01</v>
      </c>
    </row>
    <row r="101">
      <c r="A101" s="19" t="n"/>
      <c r="B101" s="12" t="n"/>
      <c r="C101" s="12" t="n"/>
      <c r="D101" s="12" t="n"/>
      <c r="E101" s="12" t="n"/>
      <c r="F101" s="12" t="n"/>
      <c r="G101" s="12" t="n"/>
      <c r="H101" s="12" t="n"/>
      <c r="I101" s="8" t="n"/>
    </row>
    <row r="102">
      <c r="A102" s="19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3" t="inlineStr">
        <is>
          <t>Correlation to Points</t>
        </is>
      </c>
      <c r="B103" s="12" t="n"/>
      <c r="C103" s="12" t="n"/>
      <c r="D103" s="12" t="n"/>
      <c r="E103" s="12" t="n"/>
      <c r="F103" s="12" t="n"/>
      <c r="G103" s="12" t="n"/>
      <c r="H103" s="12" t="n"/>
      <c r="J103" s="14">
        <f>CORREL($B2:$B100,J2:J100)</f>
        <v/>
      </c>
      <c r="K103" s="14">
        <f>CORREL($B2:$B100,K2:K100)</f>
        <v/>
      </c>
      <c r="L103" s="14">
        <f>CORREL($B2:$B100,L2:L100)</f>
        <v/>
      </c>
      <c r="M103" s="14">
        <f>CORREL($B2:$B100,M2:M100)</f>
        <v/>
      </c>
      <c r="N103" s="14">
        <f>CORREL($B2:$B100,N2:N100)</f>
        <v/>
      </c>
      <c r="O103" s="14">
        <f>CORREL($B2:$B100,O2:O100)</f>
        <v/>
      </c>
      <c r="P103" s="14">
        <f>CORREL($B2:$B100,P2:P100)</f>
        <v/>
      </c>
      <c r="Q103" s="14">
        <f>CORREL($B2:$B100,Q2:Q100)</f>
        <v/>
      </c>
      <c r="R103" s="14">
        <f>CORREL($B2:$B100,R2:R100)</f>
        <v/>
      </c>
      <c r="S103" s="14">
        <f>CORREL($B2:$B100,S2:S100)</f>
        <v/>
      </c>
      <c r="T103" s="14">
        <f>CORREL($B2:$B100,T2:T100)</f>
        <v/>
      </c>
      <c r="U103" s="14">
        <f>CORREL($B2:$B100,U2:U100)</f>
        <v/>
      </c>
      <c r="V103" s="14">
        <f>CORREL($B2:$B100,V2:V100)</f>
        <v/>
      </c>
      <c r="W103" s="14">
        <f>CORREL($B2:$B100,W2:W100)</f>
        <v/>
      </c>
      <c r="X103" s="14">
        <f>CORREL($B2:$B100,X2:X100)</f>
        <v/>
      </c>
      <c r="Y103" s="14">
        <f>CORREL($B2:$B100,Y2:Y100)</f>
        <v/>
      </c>
      <c r="Z103" s="14">
        <f>CORREL($B2:$B100,Z2:Z100)</f>
        <v/>
      </c>
      <c r="AA103" s="14">
        <f>CORREL($B2:$B100,AA2:AA100)</f>
        <v/>
      </c>
      <c r="AB103" s="14">
        <f>CORREL($B2:$B100,AB2:AB100)</f>
        <v/>
      </c>
      <c r="AC103" s="14">
        <f>CORREL($B2:$B100,AC2:AC100)</f>
        <v/>
      </c>
      <c r="AD103" s="14">
        <f>CORREL($B2:$B100,AD2:AD100)</f>
        <v/>
      </c>
      <c r="AE103" s="14">
        <f>CORREL($B2:$B100,AE2:AE100)</f>
        <v/>
      </c>
      <c r="AF103" s="14">
        <f>CORREL($B2:$B100,AF2:AF100)</f>
        <v/>
      </c>
      <c r="AG103" s="14">
        <f>CORREL($B2:$B100,AG2:AG100)</f>
        <v/>
      </c>
      <c r="AH103" s="14">
        <f>CORREL($B2:$B100,AH2:AH100)</f>
        <v/>
      </c>
      <c r="AI103" s="14">
        <f>CORREL($B2:$B100,AI2:AI100)</f>
        <v/>
      </c>
      <c r="AJ103" s="14">
        <f>CORREL($B2:$B100,AJ2:AJ100)</f>
        <v/>
      </c>
      <c r="AK103" s="14">
        <f>CORREL($B2:$B100,AK2:AK100)</f>
        <v/>
      </c>
      <c r="AL103" s="14">
        <f>CORREL($B2:$B100,AL2:AL100)</f>
        <v/>
      </c>
      <c r="AM103" s="14">
        <f>CORREL($B2:$B100,AM2:AM100)</f>
        <v/>
      </c>
      <c r="AN103" s="14">
        <f>CORREL($B2:$B100,AN2:AN100)</f>
        <v/>
      </c>
      <c r="AO103" s="14">
        <f>CORREL($B2:$B100,AO2:AO100)</f>
        <v/>
      </c>
      <c r="AP103" s="14">
        <f>CORREL($B2:$B100,AP2:AP100)</f>
        <v/>
      </c>
      <c r="AQ103" s="14">
        <f>CORREL($B2:$B100,AQ2:AQ100)</f>
        <v/>
      </c>
      <c r="AR103" s="14">
        <f>CORREL($B2:$B100,AR2:AR100)</f>
        <v/>
      </c>
      <c r="AS103" s="14">
        <f>CORREL($B2:$B100,AS2:AS100)</f>
        <v/>
      </c>
      <c r="AT103" s="14">
        <f>CORREL($B2:$B100,AT2:AT100)</f>
        <v/>
      </c>
      <c r="AU103" s="14">
        <f>CORREL($B2:$B100,AU2:AU100)</f>
        <v/>
      </c>
      <c r="AV103" s="14">
        <f>CORREL($B2:$B100,AV2:AV100)</f>
        <v/>
      </c>
      <c r="AW103" s="14">
        <f>CORREL($B2:$B100,AW2:AW100)</f>
        <v/>
      </c>
      <c r="AX103" s="14">
        <f>CORREL($B2:$B100,AX2:AX100)</f>
        <v/>
      </c>
      <c r="AY103" s="14">
        <f>CORREL($B2:$B100,AY2:AY100)</f>
        <v/>
      </c>
      <c r="AZ103" s="14">
        <f>CORREL($B2:$B100,AZ2:AZ100)</f>
        <v/>
      </c>
      <c r="BA103" s="14">
        <f>CORREL($B2:$B100,BA2:BA100)</f>
        <v/>
      </c>
      <c r="BB103" s="14">
        <f>CORREL($B2:$B100,BB2:BB100)</f>
        <v/>
      </c>
      <c r="BC103" s="14">
        <f>CORREL($B2:$B100,BC2:BC100)</f>
        <v/>
      </c>
      <c r="BD103" s="14">
        <f>CORREL($B2:$B100,BD2:BD100)</f>
        <v/>
      </c>
      <c r="BE103" s="14">
        <f>CORREL($B2:$B100,BE2:BE100)</f>
        <v/>
      </c>
      <c r="BF103" s="14">
        <f>CORREL($B2:$B100,BF2:BF100)</f>
        <v/>
      </c>
      <c r="BG103" s="14">
        <f>CORREL($B2:$B100,BG2:BG100)</f>
        <v/>
      </c>
      <c r="BH103" s="14">
        <f>CORREL($B2:$B100,BH2:BH100)</f>
        <v/>
      </c>
      <c r="BI103" s="14">
        <f>CORREL($B2:$B100,BI2:BI100)</f>
        <v/>
      </c>
      <c r="BJ103" s="14">
        <f>CORREL($B2:$B100,BJ2:BJ100)</f>
        <v/>
      </c>
      <c r="BK103" s="14">
        <f>CORREL($B2:$B100,BK2:BK100)</f>
        <v/>
      </c>
      <c r="BL103" s="14">
        <f>CORREL($B2:$B100,BL2:BL100)</f>
        <v/>
      </c>
      <c r="BM103" s="14">
        <f>CORREL($B2:$B100,BM2:BM100)</f>
        <v/>
      </c>
      <c r="BN103" s="14">
        <f>CORREL($B2:$B100,BN2:BN100)</f>
        <v/>
      </c>
      <c r="BO103" s="14">
        <f>CORREL($B2:$B100,BO2:BO100)</f>
        <v/>
      </c>
      <c r="BP103" s="14">
        <f>CORREL($B2:$B100,BP2:BP100)</f>
        <v/>
      </c>
      <c r="BQ103" s="14">
        <f>CORREL($B2:$B100,BQ2:BQ100)</f>
        <v/>
      </c>
      <c r="BR103" s="14">
        <f>CORREL($B2:$B100,BR2:BR100)</f>
        <v/>
      </c>
      <c r="BS103" s="14">
        <f>CORREL($B2:$B100,BS2:BS100)</f>
        <v/>
      </c>
      <c r="BT103" s="14">
        <f>CORREL($B2:$B100,BT2:BT100)</f>
        <v/>
      </c>
      <c r="BU103" s="14">
        <f>CORREL($B2:$B100,BU2:BU100)</f>
        <v/>
      </c>
      <c r="BV103" s="14">
        <f>CORREL($B2:$B100,BV2:BV100)</f>
        <v/>
      </c>
      <c r="BW103" s="14">
        <f>CORREL($B2:$B100,BW2:BW100)</f>
        <v/>
      </c>
      <c r="BX103" s="14">
        <f>CORREL($B2:$B100,BX2:BX100)</f>
        <v/>
      </c>
      <c r="BY103" s="14">
        <f>CORREL($B2:$B100,BY2:BY100)</f>
        <v/>
      </c>
      <c r="BZ103" s="14">
        <f>CORREL($B2:$B100,BZ2:BZ100)</f>
        <v/>
      </c>
      <c r="CA103" s="14">
        <f>CORREL($B2:$B100,CA2:CA100)</f>
        <v/>
      </c>
      <c r="CB103" s="14">
        <f>CORREL($B2:$B100,CB2:CB100)</f>
        <v/>
      </c>
      <c r="CC103" s="14">
        <f>CORREL($B2:$B100,CC2:CC100)</f>
        <v/>
      </c>
      <c r="CD103" s="14">
        <f>CORREL($B2:$B100,CD2:CD100)</f>
        <v/>
      </c>
      <c r="CE103" s="14">
        <f>CORREL($B2:$B100,CE2:CE100)</f>
        <v/>
      </c>
      <c r="CF103" s="14">
        <f>CORREL($B2:$B100,CF2:CF100)</f>
        <v/>
      </c>
      <c r="CG103" s="14">
        <f>CORREL($B2:$B100,CG2:CG100)</f>
        <v/>
      </c>
      <c r="CH103" s="14">
        <f>CORREL($B2:$B100,CH2:CH100)</f>
        <v/>
      </c>
      <c r="CI103" s="14">
        <f>CORREL($B2:$B100,CI2:CI100)</f>
        <v/>
      </c>
      <c r="CJ103" s="14">
        <f>CORREL($B2:$B100,CJ2:CJ100)</f>
        <v/>
      </c>
      <c r="CK103" s="14">
        <f>CORREL($B2:$B100,CK2:CK100)</f>
        <v/>
      </c>
      <c r="CL103" s="14">
        <f>CORREL($B2:$B100,CL2:CL100)</f>
        <v/>
      </c>
      <c r="CM103" s="14">
        <f>CORREL($B2:$B100,CM2:CM100)</f>
        <v/>
      </c>
      <c r="CN103" s="14">
        <f>CORREL($B2:$B100,CN2:CN100)</f>
        <v/>
      </c>
      <c r="CO103" s="14">
        <f>CORREL($B2:$B100,CO2:CO100)</f>
        <v/>
      </c>
      <c r="CP103" s="14">
        <f>CORREL($B2:$B100,CP2:CP100)</f>
        <v/>
      </c>
      <c r="CQ103" s="14">
        <f>CORREL($B2:$B100,CQ2:CQ100)</f>
        <v/>
      </c>
      <c r="CR103" s="14">
        <f>CORREL($B2:$B100,CR2:CR100)</f>
        <v/>
      </c>
      <c r="CS103" s="14">
        <f>CORREL($B2:$B100,CS2:CS100)</f>
        <v/>
      </c>
      <c r="CT103" s="14">
        <f>CORREL($B2:$B100,CT2:CT100)</f>
        <v/>
      </c>
      <c r="CU103" s="14">
        <f>CORREL($B2:$B100,CU2:CU100)</f>
        <v/>
      </c>
      <c r="CV103" s="14">
        <f>CORREL($B2:$B100,CV2:CV100)</f>
        <v/>
      </c>
      <c r="CW103" s="14">
        <f>CORREL($B2:$B100,CW2:CW100)</f>
        <v/>
      </c>
      <c r="CX103" s="14">
        <f>CORREL($B2:$B100,CX2:CX100)</f>
        <v/>
      </c>
      <c r="CY103" s="14">
        <f>CORREL($B2:$B100,CY2:CY100)</f>
        <v/>
      </c>
      <c r="CZ103" s="14">
        <f>CORREL($B2:$B100,CZ2:CZ100)</f>
        <v/>
      </c>
      <c r="DA103" s="14">
        <f>CORREL($B2:$B100,DA2:DA100)</f>
        <v/>
      </c>
      <c r="DB103" s="14">
        <f>CORREL($B2:$B100,DB2:DB100)</f>
        <v/>
      </c>
      <c r="DC103" s="14">
        <f>CORREL($B2:$B100,DC2:DC100)</f>
        <v/>
      </c>
      <c r="DD103" s="14">
        <f>CORREL($B2:$B100,DD2:DD100)</f>
        <v/>
      </c>
      <c r="DE103" s="14">
        <f>CORREL($B2:$B100,DE2:DE100)</f>
        <v/>
      </c>
      <c r="DF103" s="14">
        <f>CORREL($B2:$B100,DF2:DF100)</f>
        <v/>
      </c>
      <c r="DG103" s="14">
        <f>CORREL($B2:$B100,DG2:DG100)</f>
        <v/>
      </c>
      <c r="DH103" s="14">
        <f>CORREL($B2:$B100,DH2:DH100)</f>
        <v/>
      </c>
      <c r="DI103" s="14">
        <f>CORREL($B2:$B100,DI2:DI100)</f>
        <v/>
      </c>
      <c r="DJ103" s="14">
        <f>CORREL($B2:$B100,DJ2:DJ100)</f>
        <v/>
      </c>
      <c r="DK103" s="14">
        <f>CORREL($B2:$B100,DK2:DK100)</f>
        <v/>
      </c>
      <c r="DL103" s="14">
        <f>CORREL($B2:$B100,DL2:DL100)</f>
        <v/>
      </c>
      <c r="DM103" s="14">
        <f>CORREL($B2:$B100,DM2:DM100)</f>
        <v/>
      </c>
      <c r="DN103" s="14">
        <f>CORREL($B2:$B100,DN2:DN100)</f>
        <v/>
      </c>
      <c r="DO103" s="14">
        <f>CORREL($B2:$B100,DO2:DO100)</f>
        <v/>
      </c>
      <c r="DP103" s="14">
        <f>CORREL($B2:$B100,DP2:DP100)</f>
        <v/>
      </c>
      <c r="DQ103" s="14">
        <f>CORREL($B2:$B100,DQ2:DQ100)</f>
        <v/>
      </c>
      <c r="DR103" s="14">
        <f>CORREL($B2:$B100,DR2:DR100)</f>
        <v/>
      </c>
      <c r="DS103" s="14">
        <f>CORREL($B2:$B100,DS2:DS100)</f>
        <v/>
      </c>
      <c r="DT103" s="14">
        <f>CORREL($B2:$B100,DT2:DT100)</f>
        <v/>
      </c>
      <c r="DU103" s="14">
        <f>CORREL($B2:$B100,DU2:DU100)</f>
        <v/>
      </c>
      <c r="DV103" s="14">
        <f>CORREL($B2:$B100,DV2:DV100)</f>
        <v/>
      </c>
      <c r="DW103" s="14">
        <f>CORREL($B2:$B100,DW2:DW100)</f>
        <v/>
      </c>
      <c r="DX103" s="14">
        <f>CORREL($B2:$B100,DX2:DX100)</f>
        <v/>
      </c>
      <c r="DY103" s="14">
        <f>CORREL($B2:$B100,DY2:DY100)</f>
        <v/>
      </c>
      <c r="DZ103" s="14">
        <f>CORREL($B2:$B100,DZ2:DZ100)</f>
        <v/>
      </c>
      <c r="EA103" s="14">
        <f>CORREL($B2:$B100,EA2:EA100)</f>
        <v/>
      </c>
      <c r="EB103" s="14">
        <f>CORREL($B2:$B100,EB2:EB100)</f>
        <v/>
      </c>
      <c r="EC103" s="14">
        <f>CORREL($B2:$B100,EC2:EC100)</f>
        <v/>
      </c>
      <c r="ED103" s="14">
        <f>CORREL($B2:$B100,ED2:ED100)</f>
        <v/>
      </c>
      <c r="EE103" s="14">
        <f>CORREL($B2:$B100,EE2:EE100)</f>
        <v/>
      </c>
      <c r="EF103" s="14">
        <f>CORREL($B2:$B100,EF2:EF100)</f>
        <v/>
      </c>
      <c r="EG103" s="14">
        <f>CORREL($B2:$B100,EG2:EG100)</f>
        <v/>
      </c>
      <c r="EH103" s="14">
        <f>CORREL($B2:$B100,EH2:EH100)</f>
        <v/>
      </c>
      <c r="EI103" s="14">
        <f>CORREL($B2:$B100,EI2:EI100)</f>
        <v/>
      </c>
      <c r="EJ103" s="14">
        <f>CORREL($B2:$B100,EJ2:EJ100)</f>
        <v/>
      </c>
      <c r="EK103" s="14">
        <f>CORREL($B2:$B100,EK2:EK100)</f>
        <v/>
      </c>
      <c r="EL103" s="14">
        <f>CORREL($B2:$B100,EL2:EL100)</f>
        <v/>
      </c>
      <c r="EM103" s="14">
        <f>CORREL($B2:$B100,EM2:EM100)</f>
        <v/>
      </c>
      <c r="EN103" s="14">
        <f>CORREL($B2:$B100,EN2:EN100)</f>
        <v/>
      </c>
      <c r="EO103" s="14">
        <f>CORREL($B2:$B100,EO2:EO100)</f>
        <v/>
      </c>
      <c r="EP103" s="14">
        <f>CORREL($B2:$B100,EP2:EP100)</f>
        <v/>
      </c>
      <c r="EQ103" s="14">
        <f>CORREL($B2:$B100,EQ2:EQ100)</f>
        <v/>
      </c>
      <c r="ER103" s="14">
        <f>CORREL($B2:$B100,ER2:ER100)</f>
        <v/>
      </c>
      <c r="ES103" s="14">
        <f>CORREL($B2:$B100,ES2:ES100)</f>
        <v/>
      </c>
      <c r="ET103" s="14">
        <f>CORREL($B2:$B100,ET2:ET100)</f>
        <v/>
      </c>
      <c r="EU103" s="14">
        <f>CORREL($B2:$B100,EU2:EU100)</f>
        <v/>
      </c>
      <c r="EV103" s="14">
        <f>CORREL($B2:$B100,EV2:EV100)</f>
        <v/>
      </c>
      <c r="EW103" s="14">
        <f>CORREL($B2:$B100,EW2:EW100)</f>
        <v/>
      </c>
      <c r="EX103" s="14">
        <f>CORREL($B2:$B100,EX2:EX100)</f>
        <v/>
      </c>
      <c r="EY103" s="14">
        <f>CORREL($B2:$B100,EY2:EY100)</f>
        <v/>
      </c>
      <c r="EZ103" s="14">
        <f>CORREL($B2:$B100,EZ2:EZ100)</f>
        <v/>
      </c>
      <c r="FA103" s="14">
        <f>CORREL($B2:$B100,FA2:FA100)</f>
        <v/>
      </c>
      <c r="FB103" s="14">
        <f>CORREL($B2:$B100,FB2:FB100)</f>
        <v/>
      </c>
      <c r="FC103" s="14">
        <f>CORREL($B2:$B100,FC2:FC100)</f>
        <v/>
      </c>
      <c r="FD103" s="14">
        <f>CORREL($B2:$B100,FD2:FD100)</f>
        <v/>
      </c>
      <c r="FE103" s="14">
        <f>CORREL($B2:$B100,FE2:FE100)</f>
        <v/>
      </c>
      <c r="FF103" s="14">
        <f>CORREL($B2:$B100,FF2:FF100)</f>
        <v/>
      </c>
      <c r="FG103" s="14">
        <f>CORREL($B2:$B100,FG2:FG100)</f>
        <v/>
      </c>
      <c r="FH103" s="14">
        <f>CORREL($B2:$B100,FH2:FH100)</f>
        <v/>
      </c>
      <c r="FI103" s="14">
        <f>CORREL($B2:$B100,FI2:FI100)</f>
        <v/>
      </c>
      <c r="FJ103" s="14">
        <f>CORREL($B2:$B100,FJ2:FJ100)</f>
        <v/>
      </c>
      <c r="FK103" s="14">
        <f>CORREL($B2:$B100,FK2:FK100)</f>
        <v/>
      </c>
      <c r="FL103" s="14">
        <f>CORREL($B2:$B100,FL2:FL100)</f>
        <v/>
      </c>
      <c r="FM103" s="14">
        <f>CORREL($B2:$B100,FM2:FM100)</f>
        <v/>
      </c>
      <c r="FN103" s="14">
        <f>CORREL($B2:$B100,FN2:FN100)</f>
        <v/>
      </c>
      <c r="FO103" s="14">
        <f>CORREL($B2:$B100,FO2:FO100)</f>
        <v/>
      </c>
      <c r="FP103" s="14">
        <f>CORREL($B2:$B100,FP2:FP100)</f>
        <v/>
      </c>
      <c r="FQ103" s="14">
        <f>CORREL($B2:$B100,FQ2:FQ100)</f>
        <v/>
      </c>
      <c r="FR103" s="14">
        <f>CORREL($B2:$B100,FR2:FR100)</f>
        <v/>
      </c>
      <c r="FS103" s="14">
        <f>CORREL($B2:$B100,FS2:FS100)</f>
        <v/>
      </c>
      <c r="FT103" s="14">
        <f>CORREL($B2:$B100,FT2:FT100)</f>
        <v/>
      </c>
      <c r="FU103" s="14">
        <f>CORREL($B2:$B100,FU2:FU100)</f>
        <v/>
      </c>
      <c r="FV103" s="14">
        <f>CORREL($B2:$B100,FV2:FV100)</f>
        <v/>
      </c>
      <c r="FW103" s="14">
        <f>CORREL($B2:$B100,FW2:FW100)</f>
        <v/>
      </c>
      <c r="FX103" s="14">
        <f>CORREL($B2:$B100,FX2:FX100)</f>
        <v/>
      </c>
      <c r="FY103" s="14">
        <f>CORREL($B2:$B100,FY2:FY100)</f>
        <v/>
      </c>
      <c r="FZ103" s="14">
        <f>CORREL($B2:$B100,FZ2:FZ100)</f>
        <v/>
      </c>
      <c r="GA103" s="14">
        <f>CORREL($B2:$B100,GA2:GA100)</f>
        <v/>
      </c>
      <c r="GB103" s="14">
        <f>CORREL($B2:$B100,GB2:GB100)</f>
        <v/>
      </c>
      <c r="GC103" s="14">
        <f>CORREL($B2:$B100,GC2:GC100)</f>
        <v/>
      </c>
      <c r="GD103" s="14">
        <f>CORREL($B2:$B100,GD2:GD100)</f>
        <v/>
      </c>
      <c r="GE103" s="14">
        <f>CORREL($B2:$B100,GE2:GE100)</f>
        <v/>
      </c>
      <c r="GF103" s="14">
        <f>CORREL($B2:$B100,GF2:GF100)</f>
        <v/>
      </c>
      <c r="GG103" s="14">
        <f>CORREL($B2:$B100,GG2:GG100)</f>
        <v/>
      </c>
      <c r="GH103" s="14">
        <f>CORREL($B2:$B100,GH2:GH100)</f>
        <v/>
      </c>
      <c r="GI103" s="14">
        <f>CORREL($B2:$B100,GI2:GI100)</f>
        <v/>
      </c>
      <c r="GJ103" s="14">
        <f>CORREL($B2:$B100,GJ2:GJ100)</f>
        <v/>
      </c>
      <c r="GK103" s="14">
        <f>CORREL($B2:$B100,GK2:GK100)</f>
        <v/>
      </c>
      <c r="GL103" s="14">
        <f>CORREL($B2:$B100,GL2:GL100)</f>
        <v/>
      </c>
      <c r="GM103" s="14">
        <f>CORREL($B2:$B100,GM2:GM100)</f>
        <v/>
      </c>
      <c r="GN103" s="14">
        <f>CORREL($B2:$B100,GN2:GN100)</f>
        <v/>
      </c>
      <c r="GO103" s="14">
        <f>CORREL($B2:$B100,GO2:GO100)</f>
        <v/>
      </c>
      <c r="GP103" s="14">
        <f>CORREL($B2:$B100,GP2:GP100)</f>
        <v/>
      </c>
      <c r="GQ103" s="14">
        <f>CORREL($B2:$B100,GQ2:GQ100)</f>
        <v/>
      </c>
      <c r="GR103" s="14">
        <f>CORREL($B2:$B100,GR2:GR100)</f>
        <v/>
      </c>
      <c r="GS103" s="14">
        <f>CORREL($B2:$B100,GS2:GS100)</f>
        <v/>
      </c>
      <c r="GT103" s="14">
        <f>CORREL($B2:$B100,GT2:GT100)</f>
        <v/>
      </c>
      <c r="GU103" s="14">
        <f>CORREL($B2:$B100,GU2:GU100)</f>
        <v/>
      </c>
      <c r="GV103" s="14">
        <f>CORREL($B2:$B100,GV2:GV100)</f>
        <v/>
      </c>
      <c r="GW103" s="14">
        <f>CORREL($B2:$B100,GW2:GW100)</f>
        <v/>
      </c>
      <c r="GX103" s="14">
        <f>CORREL($B2:$B100,GX2:GX100)</f>
        <v/>
      </c>
      <c r="GY103" s="14">
        <f>CORREL($B2:$B100,GY2:GY100)</f>
        <v/>
      </c>
      <c r="GZ103" s="14">
        <f>CORREL($B2:$B100,GZ2:GZ100)</f>
        <v/>
      </c>
      <c r="HA103" s="14">
        <f>CORREL($B2:$B100,HA2:HA100)</f>
        <v/>
      </c>
      <c r="HB103" s="14">
        <f>CORREL($B2:$B100,HB2:HB100)</f>
        <v/>
      </c>
      <c r="HC103" s="14">
        <f>CORREL($B2:$B100,HC2:HC100)</f>
        <v/>
      </c>
      <c r="HD103" s="14">
        <f>CORREL($B2:$B100,HD2:HD100)</f>
        <v/>
      </c>
      <c r="HE103" s="14">
        <f>CORREL($B2:$B100,HE2:HE100)</f>
        <v/>
      </c>
      <c r="HF103" s="14">
        <f>CORREL($B2:$B100,HF2:HF100)</f>
        <v/>
      </c>
      <c r="HG103" s="14">
        <f>CORREL($B2:$B100,HG2:HG100)</f>
        <v/>
      </c>
    </row>
    <row r="104">
      <c r="A104" s="13" t="inlineStr">
        <is>
          <t>Correlation to Position</t>
        </is>
      </c>
      <c r="B104" s="12" t="n"/>
      <c r="C104" s="12" t="n"/>
      <c r="D104" s="12" t="n"/>
      <c r="E104" s="12" t="n"/>
      <c r="F104" s="12" t="n"/>
      <c r="G104" s="12" t="n"/>
      <c r="H104" s="12" t="n"/>
      <c r="J104" s="15">
        <f>CORREL($D9:$D101,J9:J101)</f>
        <v/>
      </c>
      <c r="K104" s="15">
        <f>CORREL($D9:$D101,K9:K101)</f>
        <v/>
      </c>
      <c r="L104" s="15">
        <f>CORREL($D9:$D101,L9:L101)</f>
        <v/>
      </c>
      <c r="M104" s="15">
        <f>CORREL($D9:$D101,M9:M101)</f>
        <v/>
      </c>
      <c r="N104" s="15">
        <f>CORREL($D9:$D101,N9:N101)</f>
        <v/>
      </c>
      <c r="O104" s="15">
        <f>CORREL($D9:$D101,O9:O101)</f>
        <v/>
      </c>
      <c r="P104" s="15">
        <f>CORREL($D9:$D101,P9:P101)</f>
        <v/>
      </c>
      <c r="Q104" s="15">
        <f>CORREL($D9:$D101,Q9:Q101)</f>
        <v/>
      </c>
      <c r="R104" s="15">
        <f>CORREL($D9:$D101,R9:R101)</f>
        <v/>
      </c>
      <c r="S104" s="15">
        <f>CORREL($D9:$D101,S9:S101)</f>
        <v/>
      </c>
      <c r="T104" s="15">
        <f>CORREL($D9:$D101,T9:T101)</f>
        <v/>
      </c>
      <c r="U104" s="15">
        <f>CORREL($D9:$D101,U9:U101)</f>
        <v/>
      </c>
      <c r="V104" s="15">
        <f>CORREL($D9:$D101,V9:V101)</f>
        <v/>
      </c>
      <c r="W104" s="15">
        <f>CORREL($D9:$D101,W9:W101)</f>
        <v/>
      </c>
      <c r="X104" s="15">
        <f>CORREL($D9:$D101,X9:X101)</f>
        <v/>
      </c>
      <c r="Y104" s="15">
        <f>CORREL($D9:$D101,Y9:Y101)</f>
        <v/>
      </c>
      <c r="Z104" s="15">
        <f>CORREL($D9:$D101,Z9:Z101)</f>
        <v/>
      </c>
      <c r="AA104" s="15">
        <f>CORREL($D9:$D101,AA9:AA101)</f>
        <v/>
      </c>
      <c r="AB104" s="15">
        <f>CORREL($D9:$D101,AB9:AB101)</f>
        <v/>
      </c>
      <c r="AC104" s="15">
        <f>CORREL($D9:$D101,AC9:AC101)</f>
        <v/>
      </c>
      <c r="AD104" s="15">
        <f>CORREL($D9:$D101,AD9:AD101)</f>
        <v/>
      </c>
      <c r="AE104" s="15">
        <f>CORREL($D9:$D101,AE9:AE101)</f>
        <v/>
      </c>
      <c r="AF104" s="15">
        <f>CORREL($D9:$D101,AF9:AF101)</f>
        <v/>
      </c>
      <c r="AG104" s="15">
        <f>CORREL($D9:$D101,AG9:AG101)</f>
        <v/>
      </c>
      <c r="AH104" s="15">
        <f>CORREL($D9:$D101,AH9:AH101)</f>
        <v/>
      </c>
      <c r="AI104" s="15">
        <f>CORREL($D9:$D101,AI9:AI101)</f>
        <v/>
      </c>
      <c r="AJ104" s="15">
        <f>CORREL($D9:$D101,AJ9:AJ101)</f>
        <v/>
      </c>
      <c r="AK104" s="15">
        <f>CORREL($D9:$D101,AK9:AK101)</f>
        <v/>
      </c>
      <c r="AL104" s="15">
        <f>CORREL($D9:$D101,AL9:AL101)</f>
        <v/>
      </c>
      <c r="AM104" s="15">
        <f>CORREL($D9:$D101,AM9:AM101)</f>
        <v/>
      </c>
      <c r="AN104" s="15">
        <f>CORREL($D9:$D101,AN9:AN101)</f>
        <v/>
      </c>
      <c r="AO104" s="15">
        <f>CORREL($D9:$D101,AO9:AO101)</f>
        <v/>
      </c>
      <c r="AP104" s="15">
        <f>CORREL($D9:$D101,AP9:AP101)</f>
        <v/>
      </c>
      <c r="AQ104" s="15">
        <f>CORREL($D9:$D101,AQ9:AQ101)</f>
        <v/>
      </c>
      <c r="AR104" s="15">
        <f>CORREL($D9:$D101,AR9:AR101)</f>
        <v/>
      </c>
      <c r="AS104" s="15">
        <f>CORREL($D9:$D101,AS9:AS101)</f>
        <v/>
      </c>
      <c r="AT104" s="15">
        <f>CORREL($D9:$D101,AT9:AT101)</f>
        <v/>
      </c>
      <c r="AU104" s="15">
        <f>CORREL($D9:$D101,AU9:AU101)</f>
        <v/>
      </c>
      <c r="AV104" s="15">
        <f>CORREL($D9:$D101,AV9:AV101)</f>
        <v/>
      </c>
      <c r="AW104" s="15">
        <f>CORREL($D9:$D101,AW9:AW101)</f>
        <v/>
      </c>
      <c r="AX104" s="15">
        <f>CORREL($D9:$D101,AX9:AX101)</f>
        <v/>
      </c>
      <c r="AY104" s="15">
        <f>CORREL($D9:$D101,AY9:AY101)</f>
        <v/>
      </c>
      <c r="AZ104" s="15">
        <f>CORREL($D9:$D101,AZ9:AZ101)</f>
        <v/>
      </c>
      <c r="BA104" s="15">
        <f>CORREL($D9:$D101,BA9:BA101)</f>
        <v/>
      </c>
      <c r="BB104" s="15">
        <f>CORREL($D9:$D101,BB9:BB101)</f>
        <v/>
      </c>
      <c r="BC104" s="15">
        <f>CORREL($D9:$D101,BC9:BC101)</f>
        <v/>
      </c>
      <c r="BD104" s="15">
        <f>CORREL($D9:$D101,BD9:BD101)</f>
        <v/>
      </c>
      <c r="BE104" s="15">
        <f>CORREL($D9:$D101,BE9:BE101)</f>
        <v/>
      </c>
      <c r="BF104" s="15">
        <f>CORREL($D9:$D101,BF9:BF101)</f>
        <v/>
      </c>
      <c r="BG104" s="15">
        <f>CORREL($D9:$D101,BG9:BG101)</f>
        <v/>
      </c>
      <c r="BH104" s="15">
        <f>CORREL($D9:$D101,BH9:BH101)</f>
        <v/>
      </c>
      <c r="BI104" s="15">
        <f>CORREL($D9:$D101,BI9:BI101)</f>
        <v/>
      </c>
      <c r="BJ104" s="15">
        <f>CORREL($D9:$D101,BJ9:BJ101)</f>
        <v/>
      </c>
      <c r="BK104" s="15">
        <f>CORREL($D9:$D101,BK9:BK101)</f>
        <v/>
      </c>
      <c r="BL104" s="15">
        <f>CORREL($D9:$D101,BL9:BL101)</f>
        <v/>
      </c>
      <c r="BM104" s="15">
        <f>CORREL($D9:$D101,BM9:BM101)</f>
        <v/>
      </c>
      <c r="BN104" s="15">
        <f>CORREL($D9:$D101,BN9:BN101)</f>
        <v/>
      </c>
      <c r="BO104" s="15">
        <f>CORREL($D9:$D101,BO9:BO101)</f>
        <v/>
      </c>
      <c r="BP104" s="15">
        <f>CORREL($D9:$D101,BP9:BP101)</f>
        <v/>
      </c>
      <c r="BQ104" s="15">
        <f>CORREL($D9:$D101,BQ9:BQ101)</f>
        <v/>
      </c>
      <c r="BR104" s="15">
        <f>CORREL($D9:$D101,BR9:BR101)</f>
        <v/>
      </c>
      <c r="BS104" s="15">
        <f>CORREL($D9:$D101,BS9:BS101)</f>
        <v/>
      </c>
      <c r="BT104" s="15">
        <f>CORREL($D9:$D101,BT9:BT101)</f>
        <v/>
      </c>
      <c r="BU104" s="15">
        <f>CORREL($D9:$D101,BU9:BU101)</f>
        <v/>
      </c>
      <c r="BV104" s="15">
        <f>CORREL($D9:$D101,BV9:BV101)</f>
        <v/>
      </c>
      <c r="BW104" s="15">
        <f>CORREL($D9:$D101,BW9:BW101)</f>
        <v/>
      </c>
      <c r="BX104" s="15">
        <f>CORREL($D9:$D101,BX9:BX101)</f>
        <v/>
      </c>
      <c r="BY104" s="15">
        <f>CORREL($D9:$D101,BY9:BY101)</f>
        <v/>
      </c>
      <c r="BZ104" s="15">
        <f>CORREL($D9:$D101,BZ9:BZ101)</f>
        <v/>
      </c>
      <c r="CA104" s="15">
        <f>CORREL($D9:$D101,CA9:CA101)</f>
        <v/>
      </c>
      <c r="CB104" s="15">
        <f>CORREL($D9:$D101,CB9:CB101)</f>
        <v/>
      </c>
      <c r="CC104" s="15">
        <f>CORREL($D9:$D101,CC9:CC101)</f>
        <v/>
      </c>
      <c r="CD104" s="15">
        <f>CORREL($D9:$D101,CD9:CD101)</f>
        <v/>
      </c>
      <c r="CE104" s="15">
        <f>CORREL($D9:$D101,CE9:CE101)</f>
        <v/>
      </c>
      <c r="CF104" s="15">
        <f>CORREL($D9:$D101,CF9:CF101)</f>
        <v/>
      </c>
      <c r="CG104" s="15">
        <f>CORREL($D9:$D101,CG9:CG101)</f>
        <v/>
      </c>
      <c r="CH104" s="15">
        <f>CORREL($D9:$D101,CH9:CH101)</f>
        <v/>
      </c>
      <c r="CI104" s="15">
        <f>CORREL($D9:$D101,CI9:CI101)</f>
        <v/>
      </c>
      <c r="CJ104" s="15">
        <f>CORREL($D9:$D101,CJ9:CJ101)</f>
        <v/>
      </c>
      <c r="CK104" s="15">
        <f>CORREL($D9:$D101,CK9:CK101)</f>
        <v/>
      </c>
      <c r="CL104" s="15">
        <f>CORREL($D9:$D101,CL9:CL101)</f>
        <v/>
      </c>
      <c r="CM104" s="15">
        <f>CORREL($D9:$D101,CM9:CM101)</f>
        <v/>
      </c>
      <c r="CN104" s="15">
        <f>CORREL($D9:$D101,CN9:CN101)</f>
        <v/>
      </c>
      <c r="CO104" s="15">
        <f>CORREL($D9:$D101,CO9:CO101)</f>
        <v/>
      </c>
      <c r="CP104" s="15">
        <f>CORREL($D9:$D101,CP9:CP101)</f>
        <v/>
      </c>
      <c r="CQ104" s="15">
        <f>CORREL($D9:$D101,CQ9:CQ101)</f>
        <v/>
      </c>
      <c r="CR104" s="15">
        <f>CORREL($D9:$D101,CR9:CR101)</f>
        <v/>
      </c>
      <c r="CS104" s="15">
        <f>CORREL($D9:$D101,CS9:CS101)</f>
        <v/>
      </c>
      <c r="CT104" s="15">
        <f>CORREL($D9:$D101,CT9:CT101)</f>
        <v/>
      </c>
      <c r="CU104" s="15">
        <f>CORREL($D9:$D101,CU9:CU101)</f>
        <v/>
      </c>
      <c r="CV104" s="15">
        <f>CORREL($D9:$D101,CV9:CV101)</f>
        <v/>
      </c>
      <c r="CW104" s="15">
        <f>CORREL($D9:$D101,CW9:CW101)</f>
        <v/>
      </c>
      <c r="CX104" s="15">
        <f>CORREL($D9:$D101,CX9:CX101)</f>
        <v/>
      </c>
      <c r="CY104" s="15">
        <f>CORREL($D9:$D101,CY9:CY101)</f>
        <v/>
      </c>
      <c r="CZ104" s="15">
        <f>CORREL($D9:$D101,CZ9:CZ101)</f>
        <v/>
      </c>
      <c r="DA104" s="15">
        <f>CORREL($D9:$D101,DA9:DA101)</f>
        <v/>
      </c>
      <c r="DB104" s="15">
        <f>CORREL($D9:$D101,DB9:DB101)</f>
        <v/>
      </c>
      <c r="DC104" s="15">
        <f>CORREL($D9:$D101,DC9:DC101)</f>
        <v/>
      </c>
      <c r="DD104" s="15">
        <f>CORREL($D9:$D101,DD9:DD101)</f>
        <v/>
      </c>
      <c r="DE104" s="15">
        <f>CORREL($D9:$D101,DE9:DE101)</f>
        <v/>
      </c>
      <c r="DF104" s="15">
        <f>CORREL($D9:$D101,DF9:DF101)</f>
        <v/>
      </c>
      <c r="DG104" s="15">
        <f>CORREL($D9:$D101,DG9:DG101)</f>
        <v/>
      </c>
      <c r="DH104" s="15">
        <f>CORREL($D9:$D101,DH9:DH101)</f>
        <v/>
      </c>
      <c r="DI104" s="15">
        <f>CORREL($D9:$D101,DI9:DI101)</f>
        <v/>
      </c>
      <c r="DJ104" s="15">
        <f>CORREL($D9:$D101,DJ9:DJ101)</f>
        <v/>
      </c>
      <c r="DK104" s="15">
        <f>CORREL($D9:$D101,DK9:DK101)</f>
        <v/>
      </c>
      <c r="DL104" s="15">
        <f>CORREL($D9:$D101,DL9:DL101)</f>
        <v/>
      </c>
      <c r="DM104" s="15">
        <f>CORREL($D9:$D101,DM9:DM101)</f>
        <v/>
      </c>
      <c r="DN104" s="15">
        <f>CORREL($D9:$D101,DN9:DN101)</f>
        <v/>
      </c>
      <c r="DO104" s="15">
        <f>CORREL($D9:$D101,DO9:DO101)</f>
        <v/>
      </c>
      <c r="DP104" s="15">
        <f>CORREL($D9:$D101,DP9:DP101)</f>
        <v/>
      </c>
      <c r="DQ104" s="15">
        <f>CORREL($D9:$D101,DQ9:DQ101)</f>
        <v/>
      </c>
      <c r="DR104" s="15">
        <f>CORREL($D9:$D101,DR9:DR101)</f>
        <v/>
      </c>
      <c r="DS104" s="15">
        <f>CORREL($D9:$D101,DS9:DS101)</f>
        <v/>
      </c>
      <c r="DT104" s="15">
        <f>CORREL($D9:$D101,DT9:DT101)</f>
        <v/>
      </c>
      <c r="DU104" s="15">
        <f>CORREL($D9:$D101,DU9:DU101)</f>
        <v/>
      </c>
      <c r="DV104" s="15">
        <f>CORREL($D9:$D101,DV9:DV101)</f>
        <v/>
      </c>
      <c r="DW104" s="15">
        <f>CORREL($D9:$D101,DW9:DW101)</f>
        <v/>
      </c>
      <c r="DX104" s="15">
        <f>CORREL($D9:$D101,DX9:DX101)</f>
        <v/>
      </c>
      <c r="DY104" s="15">
        <f>CORREL($D9:$D101,DY9:DY101)</f>
        <v/>
      </c>
      <c r="DZ104" s="15">
        <f>CORREL($D9:$D101,DZ9:DZ101)</f>
        <v/>
      </c>
      <c r="EA104" s="15">
        <f>CORREL($D9:$D101,EA9:EA101)</f>
        <v/>
      </c>
      <c r="EB104" s="15">
        <f>CORREL($D9:$D101,EB9:EB101)</f>
        <v/>
      </c>
      <c r="EC104" s="15">
        <f>CORREL($D9:$D101,EC9:EC101)</f>
        <v/>
      </c>
      <c r="ED104" s="15">
        <f>CORREL($D9:$D101,ED9:ED101)</f>
        <v/>
      </c>
      <c r="EE104" s="15">
        <f>CORREL($D9:$D101,EE9:EE101)</f>
        <v/>
      </c>
      <c r="EF104" s="15">
        <f>CORREL($D9:$D101,EF9:EF101)</f>
        <v/>
      </c>
      <c r="EG104" s="15">
        <f>CORREL($D9:$D101,EG9:EG101)</f>
        <v/>
      </c>
      <c r="EH104" s="15">
        <f>CORREL($D9:$D101,EH9:EH101)</f>
        <v/>
      </c>
      <c r="EI104" s="15">
        <f>CORREL($D9:$D101,EI9:EI101)</f>
        <v/>
      </c>
      <c r="EJ104" s="15">
        <f>CORREL($D9:$D101,EJ9:EJ101)</f>
        <v/>
      </c>
      <c r="EK104" s="15">
        <f>CORREL($D9:$D101,EK9:EK101)</f>
        <v/>
      </c>
      <c r="EL104" s="15">
        <f>CORREL($D9:$D101,EL9:EL101)</f>
        <v/>
      </c>
      <c r="EM104" s="15">
        <f>CORREL($D9:$D101,EM9:EM101)</f>
        <v/>
      </c>
      <c r="EN104" s="15">
        <f>CORREL($D9:$D101,EN9:EN101)</f>
        <v/>
      </c>
      <c r="EO104" s="15">
        <f>CORREL($D9:$D101,EO9:EO101)</f>
        <v/>
      </c>
      <c r="EP104" s="15">
        <f>CORREL($D9:$D101,EP9:EP101)</f>
        <v/>
      </c>
      <c r="EQ104" s="15">
        <f>CORREL($D9:$D101,EQ9:EQ101)</f>
        <v/>
      </c>
      <c r="ER104" s="15">
        <f>CORREL($D9:$D101,ER9:ER101)</f>
        <v/>
      </c>
      <c r="ES104" s="15">
        <f>CORREL($D9:$D101,ES9:ES101)</f>
        <v/>
      </c>
      <c r="ET104" s="15">
        <f>CORREL($D9:$D101,ET9:ET101)</f>
        <v/>
      </c>
      <c r="EU104" s="15">
        <f>CORREL($D9:$D101,EU9:EU101)</f>
        <v/>
      </c>
      <c r="EV104" s="15">
        <f>CORREL($D9:$D101,EV9:EV101)</f>
        <v/>
      </c>
      <c r="EW104" s="15">
        <f>CORREL($D9:$D101,EW9:EW101)</f>
        <v/>
      </c>
      <c r="EX104" s="15">
        <f>CORREL($D9:$D101,EX9:EX101)</f>
        <v/>
      </c>
      <c r="EY104" s="15">
        <f>CORREL($D9:$D101,EY9:EY101)</f>
        <v/>
      </c>
      <c r="EZ104" s="15">
        <f>CORREL($D9:$D101,EZ9:EZ101)</f>
        <v/>
      </c>
      <c r="FA104" s="15">
        <f>CORREL($D9:$D101,FA9:FA101)</f>
        <v/>
      </c>
      <c r="FB104" s="15">
        <f>CORREL($D9:$D101,FB9:FB101)</f>
        <v/>
      </c>
      <c r="FC104" s="15">
        <f>CORREL($D9:$D101,FC9:FC101)</f>
        <v/>
      </c>
      <c r="FD104" s="15">
        <f>CORREL($D9:$D101,FD9:FD101)</f>
        <v/>
      </c>
      <c r="FE104" s="15">
        <f>CORREL($D9:$D101,FE9:FE101)</f>
        <v/>
      </c>
      <c r="FF104" s="15">
        <f>CORREL($D9:$D101,FF9:FF101)</f>
        <v/>
      </c>
      <c r="FG104" s="15">
        <f>CORREL($D9:$D101,FG9:FG101)</f>
        <v/>
      </c>
      <c r="FH104" s="15">
        <f>CORREL($D9:$D101,FH9:FH101)</f>
        <v/>
      </c>
      <c r="FI104" s="15">
        <f>CORREL($D9:$D101,FI9:FI101)</f>
        <v/>
      </c>
      <c r="FJ104" s="15">
        <f>CORREL($D9:$D101,FJ9:FJ101)</f>
        <v/>
      </c>
      <c r="FK104" s="15">
        <f>CORREL($D9:$D101,FK9:FK101)</f>
        <v/>
      </c>
      <c r="FL104" s="15">
        <f>CORREL($D9:$D101,FL9:FL101)</f>
        <v/>
      </c>
      <c r="FM104" s="15">
        <f>CORREL($D9:$D101,FM9:FM101)</f>
        <v/>
      </c>
      <c r="FN104" s="15">
        <f>CORREL($D9:$D101,FN9:FN101)</f>
        <v/>
      </c>
      <c r="FO104" s="15">
        <f>CORREL($D9:$D101,FO9:FO101)</f>
        <v/>
      </c>
      <c r="FP104" s="15">
        <f>CORREL($D9:$D101,FP9:FP101)</f>
        <v/>
      </c>
      <c r="FQ104" s="15">
        <f>CORREL($D9:$D101,FQ9:FQ101)</f>
        <v/>
      </c>
      <c r="FR104" s="15">
        <f>CORREL($D9:$D101,FR9:FR101)</f>
        <v/>
      </c>
      <c r="FS104" s="15">
        <f>CORREL($D9:$D101,FS9:FS101)</f>
        <v/>
      </c>
      <c r="FT104" s="15">
        <f>CORREL($D9:$D101,FT9:FT101)</f>
        <v/>
      </c>
      <c r="FU104" s="15">
        <f>CORREL($D9:$D101,FU9:FU101)</f>
        <v/>
      </c>
      <c r="FV104" s="15">
        <f>CORREL($D9:$D101,FV9:FV101)</f>
        <v/>
      </c>
      <c r="FW104" s="15">
        <f>CORREL($D9:$D101,FW9:FW101)</f>
        <v/>
      </c>
      <c r="FX104" s="15">
        <f>CORREL($D9:$D101,FX9:FX101)</f>
        <v/>
      </c>
      <c r="FY104" s="15">
        <f>CORREL($D9:$D101,FY9:FY101)</f>
        <v/>
      </c>
      <c r="FZ104" s="15">
        <f>CORREL($D9:$D101,FZ9:FZ101)</f>
        <v/>
      </c>
      <c r="GA104" s="15">
        <f>CORREL($D9:$D101,GA9:GA101)</f>
        <v/>
      </c>
      <c r="GB104" s="15">
        <f>CORREL($D9:$D101,GB9:GB101)</f>
        <v/>
      </c>
      <c r="GC104" s="15">
        <f>CORREL($D9:$D101,GC9:GC101)</f>
        <v/>
      </c>
      <c r="GD104" s="15">
        <f>CORREL($D9:$D101,GD9:GD101)</f>
        <v/>
      </c>
      <c r="GE104" s="15">
        <f>CORREL($D9:$D101,GE9:GE101)</f>
        <v/>
      </c>
      <c r="GF104" s="15">
        <f>CORREL($D9:$D101,GF9:GF101)</f>
        <v/>
      </c>
      <c r="GG104" s="15">
        <f>CORREL($D9:$D101,GG9:GG101)</f>
        <v/>
      </c>
      <c r="GH104" s="15">
        <f>CORREL($D9:$D101,GH9:GH101)</f>
        <v/>
      </c>
      <c r="GI104" s="15">
        <f>CORREL($D9:$D101,GI9:GI101)</f>
        <v/>
      </c>
      <c r="GJ104" s="15">
        <f>CORREL($D9:$D101,GJ9:GJ101)</f>
        <v/>
      </c>
      <c r="GK104" s="15">
        <f>CORREL($D9:$D101,GK9:GK101)</f>
        <v/>
      </c>
      <c r="GL104" s="15">
        <f>CORREL($D9:$D101,GL9:GL101)</f>
        <v/>
      </c>
      <c r="GM104" s="15">
        <f>CORREL($D9:$D101,GM9:GM101)</f>
        <v/>
      </c>
      <c r="GN104" s="15">
        <f>CORREL($D9:$D101,GN9:GN101)</f>
        <v/>
      </c>
      <c r="GO104" s="15">
        <f>CORREL($D9:$D101,GO9:GO101)</f>
        <v/>
      </c>
      <c r="GP104" s="15">
        <f>CORREL($D9:$D101,GP9:GP101)</f>
        <v/>
      </c>
      <c r="GQ104" s="15">
        <f>CORREL($D9:$D101,GQ9:GQ101)</f>
        <v/>
      </c>
      <c r="GR104" s="15">
        <f>CORREL($D9:$D101,GR9:GR101)</f>
        <v/>
      </c>
      <c r="GS104" s="15">
        <f>CORREL($D9:$D101,GS9:GS101)</f>
        <v/>
      </c>
      <c r="GT104" s="15">
        <f>CORREL($D9:$D101,GT9:GT101)</f>
        <v/>
      </c>
      <c r="GU104" s="15">
        <f>CORREL($D9:$D101,GU9:GU101)</f>
        <v/>
      </c>
      <c r="GV104" s="15">
        <f>CORREL($D9:$D101,GV9:GV101)</f>
        <v/>
      </c>
      <c r="GW104" s="15">
        <f>CORREL($D9:$D101,GW9:GW101)</f>
        <v/>
      </c>
      <c r="GX104" s="15">
        <f>CORREL($D9:$D101,GX9:GX101)</f>
        <v/>
      </c>
      <c r="GY104" s="15">
        <f>CORREL($D9:$D101,GY9:GY101)</f>
        <v/>
      </c>
      <c r="GZ104" s="15">
        <f>CORREL($D9:$D101,GZ9:GZ101)</f>
        <v/>
      </c>
      <c r="HA104" s="15">
        <f>CORREL($D9:$D101,HA9:HA101)</f>
        <v/>
      </c>
      <c r="HB104" s="15">
        <f>CORREL($D9:$D101,HB9:HB101)</f>
        <v/>
      </c>
      <c r="HC104" s="15">
        <f>CORREL($D9:$D101,HC9:HC101)</f>
        <v/>
      </c>
      <c r="HD104" s="15">
        <f>CORREL($D9:$D101,HD9:HD101)</f>
        <v/>
      </c>
      <c r="HE104" s="15">
        <f>CORREL($D9:$D101,HE9:HE101)</f>
        <v/>
      </c>
      <c r="HF104" s="15">
        <f>CORREL($D9:$D101,HF9:HF101)</f>
        <v/>
      </c>
      <c r="HG104" s="15">
        <f>CORREL($D9:$D101,HG9:HG101)</f>
        <v/>
      </c>
    </row>
    <row r="105">
      <c r="A105" s="13" t="inlineStr">
        <is>
          <t>Correlation to Combined Score</t>
        </is>
      </c>
      <c r="B105" s="12" t="n"/>
      <c r="C105" s="12" t="n"/>
      <c r="D105" s="12" t="n"/>
      <c r="E105" s="12" t="n"/>
      <c r="F105" s="12" t="n"/>
      <c r="G105" s="12" t="n"/>
      <c r="H105" s="12" t="n"/>
      <c r="J105" s="16">
        <f>CORREL($G3:$G100,J3:J100)</f>
        <v/>
      </c>
      <c r="K105" s="16">
        <f>CORREL($G3:$G100,K3:K100)</f>
        <v/>
      </c>
      <c r="L105" s="16">
        <f>CORREL($G3:$G100,L3:L100)</f>
        <v/>
      </c>
      <c r="M105" s="16">
        <f>CORREL($G3:$G100,M3:M100)</f>
        <v/>
      </c>
      <c r="N105" s="16">
        <f>CORREL($G3:$G100,N3:N100)</f>
        <v/>
      </c>
      <c r="O105" s="16">
        <f>CORREL($G3:$G100,O3:O100)</f>
        <v/>
      </c>
      <c r="P105" s="16">
        <f>CORREL($G3:$G100,P3:P100)</f>
        <v/>
      </c>
      <c r="Q105" s="16">
        <f>CORREL($G3:$G100,Q3:Q100)</f>
        <v/>
      </c>
      <c r="R105" s="16">
        <f>CORREL($G3:$G100,R3:R100)</f>
        <v/>
      </c>
      <c r="S105" s="16">
        <f>CORREL($G3:$G100,S3:S100)</f>
        <v/>
      </c>
      <c r="T105" s="16">
        <f>CORREL($G3:$G100,T3:T100)</f>
        <v/>
      </c>
      <c r="U105" s="16">
        <f>CORREL($G3:$G100,U3:U100)</f>
        <v/>
      </c>
      <c r="V105" s="16">
        <f>CORREL($G3:$G100,V3:V100)</f>
        <v/>
      </c>
      <c r="W105" s="16">
        <f>CORREL($G3:$G100,W3:W100)</f>
        <v/>
      </c>
      <c r="X105" s="16">
        <f>CORREL($G3:$G100,X3:X100)</f>
        <v/>
      </c>
      <c r="Y105" s="16">
        <f>CORREL($G3:$G100,Y3:Y100)</f>
        <v/>
      </c>
      <c r="Z105" s="16">
        <f>CORREL($G3:$G100,Z3:Z100)</f>
        <v/>
      </c>
      <c r="AA105" s="16">
        <f>CORREL($G3:$G100,AA3:AA100)</f>
        <v/>
      </c>
      <c r="AB105" s="16">
        <f>CORREL($G3:$G100,AB3:AB100)</f>
        <v/>
      </c>
      <c r="AC105" s="16">
        <f>CORREL($G3:$G100,AC3:AC100)</f>
        <v/>
      </c>
      <c r="AD105" s="16">
        <f>CORREL($G3:$G100,AD3:AD100)</f>
        <v/>
      </c>
      <c r="AE105" s="16">
        <f>CORREL($G3:$G100,AE3:AE100)</f>
        <v/>
      </c>
      <c r="AF105" s="16">
        <f>CORREL($G3:$G100,AF3:AF100)</f>
        <v/>
      </c>
      <c r="AG105" s="16">
        <f>CORREL($G3:$G100,AG3:AG100)</f>
        <v/>
      </c>
      <c r="AH105" s="16">
        <f>CORREL($G3:$G100,AH3:AH100)</f>
        <v/>
      </c>
      <c r="AI105" s="16">
        <f>CORREL($G3:$G100,AI3:AI100)</f>
        <v/>
      </c>
      <c r="AJ105" s="16">
        <f>CORREL($G3:$G100,AJ3:AJ100)</f>
        <v/>
      </c>
      <c r="AK105" s="16">
        <f>CORREL($G3:$G100,AK3:AK100)</f>
        <v/>
      </c>
      <c r="AL105" s="16">
        <f>CORREL($G3:$G100,AL3:AL100)</f>
        <v/>
      </c>
      <c r="AM105" s="16">
        <f>CORREL($G3:$G100,AM3:AM100)</f>
        <v/>
      </c>
      <c r="AN105" s="16">
        <f>CORREL($G3:$G100,AN3:AN100)</f>
        <v/>
      </c>
      <c r="AO105" s="16">
        <f>CORREL($G3:$G100,AO3:AO100)</f>
        <v/>
      </c>
      <c r="AP105" s="16">
        <f>CORREL($G3:$G100,AP3:AP100)</f>
        <v/>
      </c>
      <c r="AQ105" s="16">
        <f>CORREL($G3:$G100,AQ3:AQ100)</f>
        <v/>
      </c>
      <c r="AR105" s="16">
        <f>CORREL($G3:$G100,AR3:AR100)</f>
        <v/>
      </c>
      <c r="AS105" s="16">
        <f>CORREL($G3:$G100,AS3:AS100)</f>
        <v/>
      </c>
      <c r="AT105" s="16">
        <f>CORREL($G3:$G100,AT3:AT100)</f>
        <v/>
      </c>
      <c r="AU105" s="16">
        <f>CORREL($G3:$G100,AU3:AU100)</f>
        <v/>
      </c>
      <c r="AV105" s="16">
        <f>CORREL($G3:$G100,AV3:AV100)</f>
        <v/>
      </c>
      <c r="AW105" s="16">
        <f>CORREL($G3:$G100,AW3:AW100)</f>
        <v/>
      </c>
      <c r="AX105" s="16">
        <f>CORREL($G3:$G100,AX3:AX100)</f>
        <v/>
      </c>
      <c r="AY105" s="16">
        <f>CORREL($G3:$G100,AY3:AY100)</f>
        <v/>
      </c>
      <c r="AZ105" s="16">
        <f>CORREL($G3:$G100,AZ3:AZ100)</f>
        <v/>
      </c>
      <c r="BA105" s="16">
        <f>CORREL($G3:$G100,BA3:BA100)</f>
        <v/>
      </c>
      <c r="BB105" s="16">
        <f>CORREL($G3:$G100,BB3:BB100)</f>
        <v/>
      </c>
      <c r="BC105" s="16">
        <f>CORREL($G3:$G100,BC3:BC100)</f>
        <v/>
      </c>
      <c r="BD105" s="16">
        <f>CORREL($G3:$G100,BD3:BD100)</f>
        <v/>
      </c>
      <c r="BE105" s="16">
        <f>CORREL($G3:$G100,BE3:BE100)</f>
        <v/>
      </c>
      <c r="BF105" s="16">
        <f>CORREL($G3:$G100,BF3:BF100)</f>
        <v/>
      </c>
      <c r="BG105" s="16">
        <f>CORREL($G3:$G100,BG3:BG100)</f>
        <v/>
      </c>
      <c r="BH105" s="16">
        <f>CORREL($G3:$G100,BH3:BH100)</f>
        <v/>
      </c>
      <c r="BI105" s="16">
        <f>CORREL($G3:$G100,BI3:BI100)</f>
        <v/>
      </c>
      <c r="BJ105" s="16">
        <f>CORREL($G3:$G100,BJ3:BJ100)</f>
        <v/>
      </c>
      <c r="BK105" s="16">
        <f>CORREL($G3:$G100,BK3:BK100)</f>
        <v/>
      </c>
      <c r="BL105" s="16">
        <f>CORREL($G3:$G100,BL3:BL100)</f>
        <v/>
      </c>
      <c r="BM105" s="16">
        <f>CORREL($G3:$G100,BM3:BM100)</f>
        <v/>
      </c>
      <c r="BN105" s="16">
        <f>CORREL($G3:$G100,BN3:BN100)</f>
        <v/>
      </c>
      <c r="BO105" s="16">
        <f>CORREL($G3:$G100,BO3:BO100)</f>
        <v/>
      </c>
      <c r="BP105" s="16">
        <f>CORREL($G3:$G100,BP3:BP100)</f>
        <v/>
      </c>
      <c r="BQ105" s="16">
        <f>CORREL($G3:$G100,BQ3:BQ100)</f>
        <v/>
      </c>
      <c r="BR105" s="16">
        <f>CORREL($G3:$G100,BR3:BR100)</f>
        <v/>
      </c>
      <c r="BS105" s="16">
        <f>CORREL($G3:$G100,BS3:BS100)</f>
        <v/>
      </c>
      <c r="BT105" s="16">
        <f>CORREL($G3:$G100,BT3:BT100)</f>
        <v/>
      </c>
      <c r="BU105" s="16">
        <f>CORREL($G3:$G100,BU3:BU100)</f>
        <v/>
      </c>
      <c r="BV105" s="16">
        <f>CORREL($G3:$G100,BV3:BV100)</f>
        <v/>
      </c>
      <c r="BW105" s="16">
        <f>CORREL($G3:$G100,BW3:BW100)</f>
        <v/>
      </c>
      <c r="BX105" s="16">
        <f>CORREL($G3:$G100,BX3:BX100)</f>
        <v/>
      </c>
      <c r="BY105" s="16">
        <f>CORREL($G3:$G100,BY3:BY100)</f>
        <v/>
      </c>
      <c r="BZ105" s="16">
        <f>CORREL($G3:$G100,BZ3:BZ100)</f>
        <v/>
      </c>
      <c r="CA105" s="16">
        <f>CORREL($G3:$G100,CA3:CA100)</f>
        <v/>
      </c>
      <c r="CB105" s="16">
        <f>CORREL($G3:$G100,CB3:CB100)</f>
        <v/>
      </c>
      <c r="CC105" s="16">
        <f>CORREL($G3:$G100,CC3:CC100)</f>
        <v/>
      </c>
      <c r="CD105" s="16">
        <f>CORREL($G3:$G100,CD3:CD100)</f>
        <v/>
      </c>
      <c r="CE105" s="16">
        <f>CORREL($G3:$G100,CE3:CE100)</f>
        <v/>
      </c>
      <c r="CF105" s="16">
        <f>CORREL($G3:$G100,CF3:CF100)</f>
        <v/>
      </c>
      <c r="CG105" s="16">
        <f>CORREL($G3:$G100,CG3:CG100)</f>
        <v/>
      </c>
      <c r="CH105" s="16">
        <f>CORREL($G3:$G100,CH3:CH100)</f>
        <v/>
      </c>
      <c r="CI105" s="16">
        <f>CORREL($G3:$G100,CI3:CI100)</f>
        <v/>
      </c>
      <c r="CJ105" s="16">
        <f>CORREL($G3:$G100,CJ3:CJ100)</f>
        <v/>
      </c>
      <c r="CK105" s="16">
        <f>CORREL($G3:$G100,CK3:CK100)</f>
        <v/>
      </c>
      <c r="CL105" s="16">
        <f>CORREL($G3:$G100,CL3:CL100)</f>
        <v/>
      </c>
      <c r="CM105" s="16">
        <f>CORREL($G3:$G100,CM3:CM100)</f>
        <v/>
      </c>
      <c r="CN105" s="16">
        <f>CORREL($G3:$G100,CN3:CN100)</f>
        <v/>
      </c>
      <c r="CO105" s="16">
        <f>CORREL($G3:$G100,CO3:CO100)</f>
        <v/>
      </c>
      <c r="CP105" s="16">
        <f>CORREL($G3:$G100,CP3:CP100)</f>
        <v/>
      </c>
      <c r="CQ105" s="16">
        <f>CORREL($G3:$G100,CQ3:CQ100)</f>
        <v/>
      </c>
      <c r="CR105" s="16">
        <f>CORREL($G3:$G100,CR3:CR100)</f>
        <v/>
      </c>
      <c r="CS105" s="16">
        <f>CORREL($G3:$G100,CS3:CS100)</f>
        <v/>
      </c>
      <c r="CT105" s="16">
        <f>CORREL($G3:$G100,CT3:CT100)</f>
        <v/>
      </c>
      <c r="CU105" s="16">
        <f>CORREL($G3:$G100,CU3:CU100)</f>
        <v/>
      </c>
      <c r="CV105" s="16">
        <f>CORREL($G3:$G100,CV3:CV100)</f>
        <v/>
      </c>
      <c r="CW105" s="16">
        <f>CORREL($G3:$G100,CW3:CW100)</f>
        <v/>
      </c>
      <c r="CX105" s="16">
        <f>CORREL($G3:$G100,CX3:CX100)</f>
        <v/>
      </c>
      <c r="CY105" s="16">
        <f>CORREL($G3:$G100,CY3:CY100)</f>
        <v/>
      </c>
      <c r="CZ105" s="16">
        <f>CORREL($G3:$G100,CZ3:CZ100)</f>
        <v/>
      </c>
      <c r="DA105" s="16">
        <f>CORREL($G3:$G100,DA3:DA100)</f>
        <v/>
      </c>
      <c r="DB105" s="16">
        <f>CORREL($G3:$G100,DB3:DB100)</f>
        <v/>
      </c>
      <c r="DC105" s="16">
        <f>CORREL($G3:$G100,DC3:DC100)</f>
        <v/>
      </c>
      <c r="DD105" s="16">
        <f>CORREL($G3:$G100,DD3:DD100)</f>
        <v/>
      </c>
      <c r="DE105" s="16">
        <f>CORREL($G3:$G100,DE3:DE100)</f>
        <v/>
      </c>
      <c r="DF105" s="16">
        <f>CORREL($G3:$G100,DF3:DF100)</f>
        <v/>
      </c>
      <c r="DG105" s="16">
        <f>CORREL($G3:$G100,DG3:DG100)</f>
        <v/>
      </c>
      <c r="DH105" s="16">
        <f>CORREL($G3:$G100,DH3:DH100)</f>
        <v/>
      </c>
      <c r="DI105" s="16">
        <f>CORREL($G3:$G100,DI3:DI100)</f>
        <v/>
      </c>
      <c r="DJ105" s="16">
        <f>CORREL($G3:$G100,DJ3:DJ100)</f>
        <v/>
      </c>
      <c r="DK105" s="16">
        <f>CORREL($G3:$G100,DK3:DK100)</f>
        <v/>
      </c>
      <c r="DL105" s="16">
        <f>CORREL($G3:$G100,DL3:DL100)</f>
        <v/>
      </c>
      <c r="DM105" s="16">
        <f>CORREL($G3:$G100,DM3:DM100)</f>
        <v/>
      </c>
      <c r="DN105" s="16">
        <f>CORREL($G3:$G100,DN3:DN100)</f>
        <v/>
      </c>
      <c r="DO105" s="16">
        <f>CORREL($G3:$G100,DO3:DO100)</f>
        <v/>
      </c>
      <c r="DP105" s="16">
        <f>CORREL($G3:$G100,DP3:DP100)</f>
        <v/>
      </c>
      <c r="DQ105" s="16">
        <f>CORREL($G3:$G100,DQ3:DQ100)</f>
        <v/>
      </c>
      <c r="DR105" s="16">
        <f>CORREL($G3:$G100,DR3:DR100)</f>
        <v/>
      </c>
      <c r="DS105" s="16">
        <f>CORREL($G3:$G100,DS3:DS100)</f>
        <v/>
      </c>
      <c r="DT105" s="16">
        <f>CORREL($G3:$G100,DT3:DT100)</f>
        <v/>
      </c>
      <c r="DU105" s="16">
        <f>CORREL($G3:$G100,DU3:DU100)</f>
        <v/>
      </c>
      <c r="DV105" s="16">
        <f>CORREL($G3:$G100,DV3:DV100)</f>
        <v/>
      </c>
      <c r="DW105" s="16">
        <f>CORREL($G3:$G100,DW3:DW100)</f>
        <v/>
      </c>
      <c r="DX105" s="16">
        <f>CORREL($G3:$G100,DX3:DX100)</f>
        <v/>
      </c>
      <c r="DY105" s="16">
        <f>CORREL($G3:$G100,DY3:DY100)</f>
        <v/>
      </c>
      <c r="DZ105" s="16">
        <f>CORREL($G3:$G100,DZ3:DZ100)</f>
        <v/>
      </c>
      <c r="EA105" s="16">
        <f>CORREL($G3:$G100,EA3:EA100)</f>
        <v/>
      </c>
      <c r="EB105" s="16">
        <f>CORREL($G3:$G100,EB3:EB100)</f>
        <v/>
      </c>
      <c r="EC105" s="16">
        <f>CORREL($G3:$G100,EC3:EC100)</f>
        <v/>
      </c>
      <c r="ED105" s="16">
        <f>CORREL($G3:$G100,ED3:ED100)</f>
        <v/>
      </c>
      <c r="EE105" s="16">
        <f>CORREL($G3:$G100,EE3:EE100)</f>
        <v/>
      </c>
      <c r="EF105" s="16">
        <f>CORREL($G3:$G100,EF3:EF100)</f>
        <v/>
      </c>
      <c r="EG105" s="16">
        <f>CORREL($G3:$G100,EG3:EG100)</f>
        <v/>
      </c>
      <c r="EH105" s="16">
        <f>CORREL($G3:$G100,EH3:EH100)</f>
        <v/>
      </c>
      <c r="EI105" s="16">
        <f>CORREL($G3:$G100,EI3:EI100)</f>
        <v/>
      </c>
      <c r="EJ105" s="16">
        <f>CORREL($G3:$G100,EJ3:EJ100)</f>
        <v/>
      </c>
      <c r="EK105" s="16">
        <f>CORREL($G3:$G100,EK3:EK100)</f>
        <v/>
      </c>
      <c r="EL105" s="16">
        <f>CORREL($G3:$G100,EL3:EL100)</f>
        <v/>
      </c>
      <c r="EM105" s="16">
        <f>CORREL($G3:$G100,EM3:EM100)</f>
        <v/>
      </c>
      <c r="EN105" s="16">
        <f>CORREL($G3:$G100,EN3:EN100)</f>
        <v/>
      </c>
      <c r="EO105" s="16">
        <f>CORREL($G3:$G100,EO3:EO100)</f>
        <v/>
      </c>
      <c r="EP105" s="16">
        <f>CORREL($G3:$G100,EP3:EP100)</f>
        <v/>
      </c>
      <c r="EQ105" s="16">
        <f>CORREL($G3:$G100,EQ3:EQ100)</f>
        <v/>
      </c>
      <c r="ER105" s="16">
        <f>CORREL($G3:$G100,ER3:ER100)</f>
        <v/>
      </c>
      <c r="ES105" s="16">
        <f>CORREL($G3:$G100,ES3:ES100)</f>
        <v/>
      </c>
      <c r="ET105" s="16">
        <f>CORREL($G3:$G100,ET3:ET100)</f>
        <v/>
      </c>
      <c r="EU105" s="16">
        <f>CORREL($G3:$G100,EU3:EU100)</f>
        <v/>
      </c>
      <c r="EV105" s="16">
        <f>CORREL($G3:$G100,EV3:EV100)</f>
        <v/>
      </c>
      <c r="EW105" s="16">
        <f>CORREL($G3:$G100,EW3:EW100)</f>
        <v/>
      </c>
      <c r="EX105" s="16">
        <f>CORREL($G3:$G100,EX3:EX100)</f>
        <v/>
      </c>
      <c r="EY105" s="16">
        <f>CORREL($G3:$G100,EY3:EY100)</f>
        <v/>
      </c>
      <c r="EZ105" s="16">
        <f>CORREL($G3:$G100,EZ3:EZ100)</f>
        <v/>
      </c>
      <c r="FA105" s="16">
        <f>CORREL($G3:$G100,FA3:FA100)</f>
        <v/>
      </c>
      <c r="FB105" s="16">
        <f>CORREL($G3:$G100,FB3:FB100)</f>
        <v/>
      </c>
      <c r="FC105" s="16">
        <f>CORREL($G3:$G100,FC3:FC100)</f>
        <v/>
      </c>
      <c r="FD105" s="16">
        <f>CORREL($G3:$G100,FD3:FD100)</f>
        <v/>
      </c>
      <c r="FE105" s="16">
        <f>CORREL($G3:$G100,FE3:FE100)</f>
        <v/>
      </c>
      <c r="FF105" s="16">
        <f>CORREL($G3:$G100,FF3:FF100)</f>
        <v/>
      </c>
      <c r="FG105" s="16">
        <f>CORREL($G3:$G100,FG3:FG100)</f>
        <v/>
      </c>
      <c r="FH105" s="16">
        <f>CORREL($G3:$G100,FH3:FH100)</f>
        <v/>
      </c>
      <c r="FI105" s="16">
        <f>CORREL($G3:$G100,FI3:FI100)</f>
        <v/>
      </c>
      <c r="FJ105" s="16">
        <f>CORREL($G3:$G100,FJ3:FJ100)</f>
        <v/>
      </c>
      <c r="FK105" s="16">
        <f>CORREL($G3:$G100,FK3:FK100)</f>
        <v/>
      </c>
      <c r="FL105" s="16">
        <f>CORREL($G3:$G100,FL3:FL100)</f>
        <v/>
      </c>
      <c r="FM105" s="16">
        <f>CORREL($G3:$G100,FM3:FM100)</f>
        <v/>
      </c>
      <c r="FN105" s="16">
        <f>CORREL($G3:$G100,FN3:FN100)</f>
        <v/>
      </c>
      <c r="FO105" s="16">
        <f>CORREL($G3:$G100,FO3:FO100)</f>
        <v/>
      </c>
      <c r="FP105" s="16">
        <f>CORREL($G3:$G100,FP3:FP100)</f>
        <v/>
      </c>
      <c r="FQ105" s="16">
        <f>CORREL($G3:$G100,FQ3:FQ100)</f>
        <v/>
      </c>
      <c r="FR105" s="16">
        <f>CORREL($G3:$G100,FR3:FR100)</f>
        <v/>
      </c>
      <c r="FS105" s="16">
        <f>CORREL($G3:$G100,FS3:FS100)</f>
        <v/>
      </c>
      <c r="FT105" s="16">
        <f>CORREL($G3:$G100,FT3:FT100)</f>
        <v/>
      </c>
      <c r="FU105" s="16">
        <f>CORREL($G3:$G100,FU3:FU100)</f>
        <v/>
      </c>
      <c r="FV105" s="16">
        <f>CORREL($G3:$G100,FV3:FV100)</f>
        <v/>
      </c>
      <c r="FW105" s="16">
        <f>CORREL($G3:$G100,FW3:FW100)</f>
        <v/>
      </c>
      <c r="FX105" s="16">
        <f>CORREL($G3:$G100,FX3:FX100)</f>
        <v/>
      </c>
      <c r="FY105" s="16">
        <f>CORREL($G3:$G100,FY3:FY100)</f>
        <v/>
      </c>
      <c r="FZ105" s="16">
        <f>CORREL($G3:$G100,FZ3:FZ100)</f>
        <v/>
      </c>
      <c r="GA105" s="16">
        <f>CORREL($G3:$G100,GA3:GA100)</f>
        <v/>
      </c>
      <c r="GB105" s="16">
        <f>CORREL($G3:$G100,GB3:GB100)</f>
        <v/>
      </c>
      <c r="GC105" s="16">
        <f>CORREL($G3:$G100,GC3:GC100)</f>
        <v/>
      </c>
      <c r="GD105" s="16">
        <f>CORREL($G3:$G100,GD3:GD100)</f>
        <v/>
      </c>
      <c r="GE105" s="16">
        <f>CORREL($G3:$G100,GE3:GE100)</f>
        <v/>
      </c>
      <c r="GF105" s="16">
        <f>CORREL($G3:$G100,GF3:GF100)</f>
        <v/>
      </c>
      <c r="GG105" s="16">
        <f>CORREL($G3:$G100,GG3:GG100)</f>
        <v/>
      </c>
      <c r="GH105" s="16">
        <f>CORREL($G3:$G100,GH3:GH100)</f>
        <v/>
      </c>
      <c r="GI105" s="16">
        <f>CORREL($G3:$G100,GI3:GI100)</f>
        <v/>
      </c>
      <c r="GJ105" s="16">
        <f>CORREL($G3:$G100,GJ3:GJ100)</f>
        <v/>
      </c>
      <c r="GK105" s="16">
        <f>CORREL($G3:$G100,GK3:GK100)</f>
        <v/>
      </c>
      <c r="GL105" s="16">
        <f>CORREL($G3:$G100,GL3:GL100)</f>
        <v/>
      </c>
      <c r="GM105" s="16">
        <f>CORREL($G3:$G100,GM3:GM100)</f>
        <v/>
      </c>
      <c r="GN105" s="16">
        <f>CORREL($G3:$G100,GN3:GN100)</f>
        <v/>
      </c>
      <c r="GO105" s="16">
        <f>CORREL($G3:$G100,GO3:GO100)</f>
        <v/>
      </c>
      <c r="GP105" s="16">
        <f>CORREL($G3:$G100,GP3:GP100)</f>
        <v/>
      </c>
      <c r="GQ105" s="16">
        <f>CORREL($G3:$G100,GQ3:GQ100)</f>
        <v/>
      </c>
      <c r="GR105" s="16">
        <f>CORREL($G3:$G100,GR3:GR100)</f>
        <v/>
      </c>
      <c r="GS105" s="16">
        <f>CORREL($G3:$G100,GS3:GS100)</f>
        <v/>
      </c>
      <c r="GT105" s="16">
        <f>CORREL($G3:$G100,GT3:GT100)</f>
        <v/>
      </c>
      <c r="GU105" s="16">
        <f>CORREL($G3:$G100,GU3:GU100)</f>
        <v/>
      </c>
      <c r="GV105" s="16">
        <f>CORREL($G3:$G100,GV3:GV100)</f>
        <v/>
      </c>
      <c r="GW105" s="16">
        <f>CORREL($G3:$G100,GW3:GW100)</f>
        <v/>
      </c>
      <c r="GX105" s="16">
        <f>CORREL($G3:$G100,GX3:GX100)</f>
        <v/>
      </c>
      <c r="GY105" s="16">
        <f>CORREL($G3:$G100,GY3:GY100)</f>
        <v/>
      </c>
      <c r="GZ105" s="16">
        <f>CORREL($G3:$G100,GZ3:GZ100)</f>
        <v/>
      </c>
      <c r="HA105" s="16">
        <f>CORREL($G3:$G100,HA3:HA100)</f>
        <v/>
      </c>
      <c r="HB105" s="16">
        <f>CORREL($G3:$G100,HB3:HB100)</f>
        <v/>
      </c>
      <c r="HC105" s="16">
        <f>CORREL($G3:$G100,HC3:HC100)</f>
        <v/>
      </c>
      <c r="HD105" s="16">
        <f>CORREL($G3:$G100,HD3:HD100)</f>
        <v/>
      </c>
      <c r="HE105" s="16">
        <f>CORREL($G3:$G100,HE3:HE100)</f>
        <v/>
      </c>
      <c r="HF105" s="16">
        <f>CORREL($G3:$G100,HF3:HF100)</f>
        <v/>
      </c>
      <c r="HG105" s="16">
        <f>CORREL($G3:$G100,HG3:HG100)</f>
        <v/>
      </c>
    </row>
    <row r="106">
      <c r="A106" s="13" t="inlineStr">
        <is>
          <t>Mean</t>
        </is>
      </c>
      <c r="B106" s="12" t="n"/>
      <c r="C106" s="12" t="n"/>
      <c r="D106" s="12" t="n"/>
      <c r="E106" s="12" t="n"/>
      <c r="F106" s="12" t="n"/>
      <c r="G106" s="12" t="n"/>
      <c r="H106" s="12" t="n"/>
      <c r="J106" s="42">
        <f>AVERAGE(J2:J100)</f>
        <v/>
      </c>
      <c r="K106" s="42">
        <f>AVERAGE(K2:K100)</f>
        <v/>
      </c>
      <c r="L106" s="42">
        <f>AVERAGE(L2:L100)</f>
        <v/>
      </c>
      <c r="M106" s="42">
        <f>AVERAGE(M2:M100)</f>
        <v/>
      </c>
      <c r="N106" s="42">
        <f>AVERAGE(N2:N100)</f>
        <v/>
      </c>
      <c r="O106" s="42">
        <f>AVERAGE(O2:O100)</f>
        <v/>
      </c>
      <c r="P106" s="42">
        <f>AVERAGE(P2:P100)</f>
        <v/>
      </c>
      <c r="Q106" s="42">
        <f>AVERAGE(Q2:Q100)</f>
        <v/>
      </c>
      <c r="R106" s="42">
        <f>AVERAGE(R2:R100)</f>
        <v/>
      </c>
      <c r="S106" s="42">
        <f>AVERAGE(S2:S100)</f>
        <v/>
      </c>
      <c r="T106" s="42">
        <f>AVERAGE(T2:T100)</f>
        <v/>
      </c>
      <c r="U106" s="42">
        <f>AVERAGE(U2:U100)</f>
        <v/>
      </c>
      <c r="V106" s="42">
        <f>AVERAGE(V2:V100)</f>
        <v/>
      </c>
      <c r="W106" s="42">
        <f>AVERAGE(W2:W100)</f>
        <v/>
      </c>
      <c r="X106" s="42">
        <f>AVERAGE(X2:X100)</f>
        <v/>
      </c>
      <c r="Y106" s="42">
        <f>AVERAGE(Y2:Y100)</f>
        <v/>
      </c>
      <c r="Z106" s="42">
        <f>AVERAGE(Z2:Z100)</f>
        <v/>
      </c>
      <c r="AA106" s="42">
        <f>AVERAGE(AA2:AA100)</f>
        <v/>
      </c>
      <c r="AB106" s="42">
        <f>AVERAGE(AB2:AB100)</f>
        <v/>
      </c>
      <c r="AC106" s="42">
        <f>AVERAGE(AC2:AC100)</f>
        <v/>
      </c>
      <c r="AD106" s="42">
        <f>AVERAGE(AD2:AD100)</f>
        <v/>
      </c>
      <c r="AE106" s="42">
        <f>AVERAGE(AE2:AE100)</f>
        <v/>
      </c>
      <c r="AF106" s="42">
        <f>AVERAGE(AF2:AF100)</f>
        <v/>
      </c>
      <c r="AG106" s="42">
        <f>AVERAGE(AG2:AG100)</f>
        <v/>
      </c>
      <c r="AH106" s="42">
        <f>AVERAGE(AH2:AH100)</f>
        <v/>
      </c>
      <c r="AI106" s="42">
        <f>AVERAGE(AI2:AI100)</f>
        <v/>
      </c>
      <c r="AJ106" s="42">
        <f>AVERAGE(AJ2:AJ100)</f>
        <v/>
      </c>
      <c r="AK106" s="42">
        <f>AVERAGE(AK2:AK100)</f>
        <v/>
      </c>
      <c r="AL106" s="42">
        <f>AVERAGE(AL2:AL100)</f>
        <v/>
      </c>
      <c r="AM106" s="42">
        <f>AVERAGE(AM2:AM100)</f>
        <v/>
      </c>
      <c r="AN106" s="42">
        <f>AVERAGE(AN2:AN100)</f>
        <v/>
      </c>
      <c r="AO106" s="42">
        <f>AVERAGE(AO2:AO100)</f>
        <v/>
      </c>
      <c r="AP106" s="42">
        <f>AVERAGE(AP2:AP100)</f>
        <v/>
      </c>
      <c r="AQ106" s="42">
        <f>AVERAGE(AQ2:AQ100)</f>
        <v/>
      </c>
      <c r="AR106" s="42">
        <f>AVERAGE(AR2:AR100)</f>
        <v/>
      </c>
      <c r="AS106" s="42">
        <f>AVERAGE(AS2:AS100)</f>
        <v/>
      </c>
      <c r="AT106" s="42">
        <f>AVERAGE(AT2:AT100)</f>
        <v/>
      </c>
      <c r="AU106" s="42">
        <f>AVERAGE(AU2:AU100)</f>
        <v/>
      </c>
      <c r="AV106" s="42">
        <f>AVERAGE(AV2:AV100)</f>
        <v/>
      </c>
      <c r="AW106" s="42">
        <f>AVERAGE(AW2:AW100)</f>
        <v/>
      </c>
      <c r="AX106" s="42">
        <f>AVERAGE(AX2:AX100)</f>
        <v/>
      </c>
      <c r="AY106" s="42">
        <f>AVERAGE(AY2:AY100)</f>
        <v/>
      </c>
      <c r="AZ106" s="42">
        <f>AVERAGE(AZ2:AZ100)</f>
        <v/>
      </c>
      <c r="BA106" s="42">
        <f>AVERAGE(BA2:BA100)</f>
        <v/>
      </c>
      <c r="BB106" s="42">
        <f>AVERAGE(BB2:BB100)</f>
        <v/>
      </c>
      <c r="BC106" s="42">
        <f>AVERAGE(BC2:BC100)</f>
        <v/>
      </c>
      <c r="BD106" s="42">
        <f>AVERAGE(BD2:BD100)</f>
        <v/>
      </c>
      <c r="BE106" s="42">
        <f>AVERAGE(BE2:BE100)</f>
        <v/>
      </c>
      <c r="BF106" s="42">
        <f>AVERAGE(BF2:BF100)</f>
        <v/>
      </c>
      <c r="BG106" s="42">
        <f>AVERAGE(BG2:BG100)</f>
        <v/>
      </c>
      <c r="BH106" s="42">
        <f>AVERAGE(BH2:BH100)</f>
        <v/>
      </c>
      <c r="BI106" s="42">
        <f>AVERAGE(BI2:BI100)</f>
        <v/>
      </c>
      <c r="BJ106" s="42">
        <f>AVERAGE(BJ2:BJ100)</f>
        <v/>
      </c>
      <c r="BK106" s="42">
        <f>AVERAGE(BK2:BK100)</f>
        <v/>
      </c>
      <c r="BL106" s="42">
        <f>AVERAGE(BL2:BL100)</f>
        <v/>
      </c>
      <c r="BM106" s="42">
        <f>AVERAGE(BM2:BM100)</f>
        <v/>
      </c>
      <c r="BN106" s="42">
        <f>AVERAGE(BN2:BN100)</f>
        <v/>
      </c>
      <c r="BO106" s="42">
        <f>AVERAGE(BO2:BO100)</f>
        <v/>
      </c>
      <c r="BP106" s="42">
        <f>AVERAGE(BP2:BP100)</f>
        <v/>
      </c>
      <c r="BQ106" s="42">
        <f>AVERAGE(BQ2:BQ100)</f>
        <v/>
      </c>
      <c r="BR106" s="42">
        <f>AVERAGE(BR2:BR100)</f>
        <v/>
      </c>
      <c r="BS106" s="42">
        <f>AVERAGE(BS2:BS100)</f>
        <v/>
      </c>
      <c r="BT106" s="42">
        <f>AVERAGE(BT2:BT100)</f>
        <v/>
      </c>
      <c r="BU106" s="42">
        <f>AVERAGE(BU2:BU100)</f>
        <v/>
      </c>
      <c r="BV106" s="42">
        <f>AVERAGE(BV2:BV100)</f>
        <v/>
      </c>
      <c r="BW106" s="42">
        <f>AVERAGE(BW2:BW100)</f>
        <v/>
      </c>
      <c r="BX106" s="42">
        <f>AVERAGE(BX2:BX100)</f>
        <v/>
      </c>
      <c r="BY106" s="42">
        <f>AVERAGE(BY2:BY100)</f>
        <v/>
      </c>
      <c r="BZ106" s="42">
        <f>AVERAGE(BZ2:BZ100)</f>
        <v/>
      </c>
      <c r="CA106" s="42">
        <f>AVERAGE(CA2:CA100)</f>
        <v/>
      </c>
      <c r="CB106" s="42">
        <f>AVERAGE(CB2:CB100)</f>
        <v/>
      </c>
      <c r="CC106" s="42">
        <f>AVERAGE(CC2:CC100)</f>
        <v/>
      </c>
      <c r="CD106" s="42">
        <f>AVERAGE(CD2:CD100)</f>
        <v/>
      </c>
      <c r="CE106" s="42">
        <f>AVERAGE(CE2:CE100)</f>
        <v/>
      </c>
      <c r="CF106" s="42">
        <f>AVERAGE(CF2:CF100)</f>
        <v/>
      </c>
      <c r="CG106" s="42">
        <f>AVERAGE(CG2:CG100)</f>
        <v/>
      </c>
      <c r="CH106" s="42">
        <f>AVERAGE(CH2:CH100)</f>
        <v/>
      </c>
      <c r="CI106" s="42">
        <f>AVERAGE(CI2:CI100)</f>
        <v/>
      </c>
      <c r="CJ106" s="42">
        <f>AVERAGE(CJ2:CJ100)</f>
        <v/>
      </c>
      <c r="CK106" s="42">
        <f>AVERAGE(CK2:CK100)</f>
        <v/>
      </c>
      <c r="CL106" s="42">
        <f>AVERAGE(CL2:CL100)</f>
        <v/>
      </c>
      <c r="CM106" s="42">
        <f>AVERAGE(CM2:CM100)</f>
        <v/>
      </c>
      <c r="CN106" s="42">
        <f>AVERAGE(CN2:CN100)</f>
        <v/>
      </c>
      <c r="CO106" s="42">
        <f>AVERAGE(CO2:CO100)</f>
        <v/>
      </c>
      <c r="CP106" s="42">
        <f>AVERAGE(CP2:CP100)</f>
        <v/>
      </c>
      <c r="CQ106" s="42">
        <f>AVERAGE(CQ2:CQ100)</f>
        <v/>
      </c>
      <c r="CR106" s="42">
        <f>AVERAGE(CR2:CR100)</f>
        <v/>
      </c>
      <c r="CS106" s="42">
        <f>AVERAGE(CS2:CS100)</f>
        <v/>
      </c>
      <c r="CT106" s="42">
        <f>AVERAGE(CT2:CT100)</f>
        <v/>
      </c>
      <c r="CU106" s="42">
        <f>AVERAGE(CU2:CU100)</f>
        <v/>
      </c>
      <c r="CV106" s="42">
        <f>AVERAGE(CV2:CV100)</f>
        <v/>
      </c>
      <c r="CW106" s="42">
        <f>AVERAGE(CW2:CW100)</f>
        <v/>
      </c>
      <c r="CX106" s="42">
        <f>AVERAGE(CX2:CX100)</f>
        <v/>
      </c>
      <c r="CY106" s="42">
        <f>AVERAGE(CY2:CY100)</f>
        <v/>
      </c>
      <c r="CZ106" s="42">
        <f>AVERAGE(CZ2:CZ100)</f>
        <v/>
      </c>
      <c r="DA106" s="42">
        <f>AVERAGE(DA2:DA100)</f>
        <v/>
      </c>
      <c r="DB106" s="42">
        <f>AVERAGE(DB2:DB100)</f>
        <v/>
      </c>
      <c r="DC106" s="42">
        <f>AVERAGE(DC2:DC100)</f>
        <v/>
      </c>
      <c r="DD106" s="42">
        <f>AVERAGE(DD2:DD100)</f>
        <v/>
      </c>
      <c r="DE106" s="42">
        <f>AVERAGE(DE2:DE100)</f>
        <v/>
      </c>
      <c r="DF106" s="42">
        <f>AVERAGE(DF2:DF100)</f>
        <v/>
      </c>
      <c r="DG106" s="42">
        <f>AVERAGE(DG2:DG100)</f>
        <v/>
      </c>
      <c r="DH106" s="42">
        <f>AVERAGE(DH2:DH100)</f>
        <v/>
      </c>
      <c r="DI106" s="42">
        <f>AVERAGE(DI2:DI100)</f>
        <v/>
      </c>
      <c r="DJ106" s="42">
        <f>AVERAGE(DJ2:DJ100)</f>
        <v/>
      </c>
      <c r="DK106" s="42">
        <f>AVERAGE(DK2:DK100)</f>
        <v/>
      </c>
      <c r="DL106" s="42">
        <f>AVERAGE(DL2:DL100)</f>
        <v/>
      </c>
      <c r="DM106" s="42">
        <f>AVERAGE(DM2:DM100)</f>
        <v/>
      </c>
      <c r="DN106" s="42">
        <f>AVERAGE(DN2:DN100)</f>
        <v/>
      </c>
      <c r="DO106" s="42">
        <f>AVERAGE(DO2:DO100)</f>
        <v/>
      </c>
      <c r="DP106" s="42">
        <f>AVERAGE(DP2:DP100)</f>
        <v/>
      </c>
      <c r="DQ106" s="42">
        <f>AVERAGE(DQ2:DQ100)</f>
        <v/>
      </c>
      <c r="DR106" s="42">
        <f>AVERAGE(DR2:DR100)</f>
        <v/>
      </c>
      <c r="DS106" s="42">
        <f>AVERAGE(DS2:DS100)</f>
        <v/>
      </c>
      <c r="DT106" s="42">
        <f>AVERAGE(DT2:DT100)</f>
        <v/>
      </c>
      <c r="DU106" s="42">
        <f>AVERAGE(DU2:DU100)</f>
        <v/>
      </c>
      <c r="DV106" s="42">
        <f>AVERAGE(DV2:DV100)</f>
        <v/>
      </c>
      <c r="DW106" s="42">
        <f>AVERAGE(DW2:DW100)</f>
        <v/>
      </c>
      <c r="DX106" s="42">
        <f>AVERAGE(DX2:DX100)</f>
        <v/>
      </c>
      <c r="DY106" s="42">
        <f>AVERAGE(DY2:DY100)</f>
        <v/>
      </c>
      <c r="DZ106" s="42">
        <f>AVERAGE(DZ2:DZ100)</f>
        <v/>
      </c>
      <c r="EA106" s="42">
        <f>AVERAGE(EA2:EA100)</f>
        <v/>
      </c>
      <c r="EB106" s="42">
        <f>AVERAGE(EB2:EB100)</f>
        <v/>
      </c>
      <c r="EC106" s="42">
        <f>AVERAGE(EC2:EC100)</f>
        <v/>
      </c>
      <c r="ED106" s="42">
        <f>AVERAGE(ED2:ED100)</f>
        <v/>
      </c>
      <c r="EE106" s="42">
        <f>AVERAGE(EE2:EE100)</f>
        <v/>
      </c>
      <c r="EF106" s="42">
        <f>AVERAGE(EF2:EF100)</f>
        <v/>
      </c>
      <c r="EG106" s="42">
        <f>AVERAGE(EG2:EG100)</f>
        <v/>
      </c>
      <c r="EH106" s="42">
        <f>AVERAGE(EH2:EH100)</f>
        <v/>
      </c>
      <c r="EI106" s="42">
        <f>AVERAGE(EI2:EI100)</f>
        <v/>
      </c>
      <c r="EJ106" s="42">
        <f>AVERAGE(EJ2:EJ100)</f>
        <v/>
      </c>
      <c r="EK106" s="42">
        <f>AVERAGE(EK2:EK100)</f>
        <v/>
      </c>
      <c r="EL106" s="42">
        <f>AVERAGE(EL2:EL100)</f>
        <v/>
      </c>
      <c r="EM106" s="42">
        <f>AVERAGE(EM2:EM100)</f>
        <v/>
      </c>
      <c r="EN106" s="42">
        <f>AVERAGE(EN2:EN100)</f>
        <v/>
      </c>
      <c r="EO106" s="42">
        <f>AVERAGE(EO2:EO100)</f>
        <v/>
      </c>
      <c r="EP106" s="42">
        <f>AVERAGE(EP2:EP100)</f>
        <v/>
      </c>
      <c r="EQ106" s="42">
        <f>AVERAGE(EQ2:EQ100)</f>
        <v/>
      </c>
      <c r="ER106" s="42">
        <f>AVERAGE(ER2:ER100)</f>
        <v/>
      </c>
      <c r="ES106" s="42">
        <f>AVERAGE(ES2:ES100)</f>
        <v/>
      </c>
      <c r="ET106" s="42">
        <f>AVERAGE(ET2:ET100)</f>
        <v/>
      </c>
      <c r="EU106" s="42">
        <f>AVERAGE(EU2:EU100)</f>
        <v/>
      </c>
      <c r="EV106" s="42">
        <f>AVERAGE(EV2:EV100)</f>
        <v/>
      </c>
      <c r="EW106" s="42">
        <f>AVERAGE(EW2:EW100)</f>
        <v/>
      </c>
      <c r="EX106" s="42">
        <f>AVERAGE(EX2:EX100)</f>
        <v/>
      </c>
      <c r="EY106" s="42">
        <f>AVERAGE(EY2:EY100)</f>
        <v/>
      </c>
      <c r="EZ106" s="42">
        <f>AVERAGE(EZ2:EZ100)</f>
        <v/>
      </c>
      <c r="FA106" s="42">
        <f>AVERAGE(FA2:FA100)</f>
        <v/>
      </c>
      <c r="FB106" s="42">
        <f>AVERAGE(FB2:FB100)</f>
        <v/>
      </c>
      <c r="FC106" s="42">
        <f>AVERAGE(FC2:FC100)</f>
        <v/>
      </c>
      <c r="FD106" s="42">
        <f>AVERAGE(FD2:FD100)</f>
        <v/>
      </c>
      <c r="FE106" s="42">
        <f>AVERAGE(FE2:FE100)</f>
        <v/>
      </c>
      <c r="FF106" s="42">
        <f>AVERAGE(FF2:FF100)</f>
        <v/>
      </c>
      <c r="FG106" s="42">
        <f>AVERAGE(FG2:FG100)</f>
        <v/>
      </c>
      <c r="FH106" s="42">
        <f>AVERAGE(FH2:FH100)</f>
        <v/>
      </c>
      <c r="FI106" s="42">
        <f>AVERAGE(FI2:FI100)</f>
        <v/>
      </c>
      <c r="FJ106" s="42">
        <f>AVERAGE(FJ2:FJ100)</f>
        <v/>
      </c>
      <c r="FK106" s="42">
        <f>AVERAGE(FK2:FK100)</f>
        <v/>
      </c>
      <c r="FL106" s="42">
        <f>AVERAGE(FL2:FL100)</f>
        <v/>
      </c>
      <c r="FM106" s="42">
        <f>AVERAGE(FM2:FM100)</f>
        <v/>
      </c>
      <c r="FN106" s="42">
        <f>AVERAGE(FN2:FN100)</f>
        <v/>
      </c>
      <c r="FO106" s="42">
        <f>AVERAGE(FO2:FO100)</f>
        <v/>
      </c>
      <c r="FP106" s="42">
        <f>AVERAGE(FP2:FP100)</f>
        <v/>
      </c>
      <c r="FQ106" s="42">
        <f>AVERAGE(FQ2:FQ100)</f>
        <v/>
      </c>
      <c r="FR106" s="42">
        <f>AVERAGE(FR2:FR100)</f>
        <v/>
      </c>
      <c r="FS106" s="42">
        <f>AVERAGE(FS2:FS100)</f>
        <v/>
      </c>
      <c r="FT106" s="42">
        <f>AVERAGE(FT2:FT100)</f>
        <v/>
      </c>
      <c r="FU106" s="42">
        <f>AVERAGE(FU2:FU100)</f>
        <v/>
      </c>
      <c r="FV106" s="42">
        <f>AVERAGE(FV2:FV100)</f>
        <v/>
      </c>
      <c r="FW106" s="42">
        <f>AVERAGE(FW2:FW100)</f>
        <v/>
      </c>
      <c r="FX106" s="42">
        <f>AVERAGE(FX2:FX100)</f>
        <v/>
      </c>
      <c r="FY106" s="42">
        <f>AVERAGE(FY2:FY100)</f>
        <v/>
      </c>
      <c r="FZ106" s="42">
        <f>AVERAGE(FZ2:FZ100)</f>
        <v/>
      </c>
      <c r="GA106" s="42">
        <f>AVERAGE(GA2:GA100)</f>
        <v/>
      </c>
      <c r="GB106" s="42">
        <f>AVERAGE(GB2:GB100)</f>
        <v/>
      </c>
      <c r="GC106" s="42">
        <f>AVERAGE(GC2:GC100)</f>
        <v/>
      </c>
      <c r="GD106" s="42">
        <f>AVERAGE(GD2:GD100)</f>
        <v/>
      </c>
      <c r="GE106" s="42">
        <f>AVERAGE(GE2:GE100)</f>
        <v/>
      </c>
      <c r="GF106" s="42">
        <f>AVERAGE(GF2:GF100)</f>
        <v/>
      </c>
      <c r="GG106" s="42">
        <f>AVERAGE(GG2:GG100)</f>
        <v/>
      </c>
      <c r="GH106" s="42">
        <f>AVERAGE(GH2:GH100)</f>
        <v/>
      </c>
      <c r="GI106" s="42">
        <f>AVERAGE(GI2:GI100)</f>
        <v/>
      </c>
      <c r="GJ106" s="42">
        <f>AVERAGE(GJ2:GJ100)</f>
        <v/>
      </c>
      <c r="GK106" s="42">
        <f>AVERAGE(GK2:GK100)</f>
        <v/>
      </c>
      <c r="GL106" s="42">
        <f>AVERAGE(GL2:GL100)</f>
        <v/>
      </c>
      <c r="GM106" s="42">
        <f>AVERAGE(GM2:GM100)</f>
        <v/>
      </c>
      <c r="GN106" s="42">
        <f>AVERAGE(GN2:GN100)</f>
        <v/>
      </c>
      <c r="GO106" s="42">
        <f>AVERAGE(GO2:GO100)</f>
        <v/>
      </c>
      <c r="GP106" s="42">
        <f>AVERAGE(GP2:GP100)</f>
        <v/>
      </c>
      <c r="GQ106" s="42">
        <f>AVERAGE(GQ2:GQ100)</f>
        <v/>
      </c>
      <c r="GR106" s="42">
        <f>AVERAGE(GR2:GR100)</f>
        <v/>
      </c>
      <c r="GS106" s="42">
        <f>AVERAGE(GS2:GS100)</f>
        <v/>
      </c>
      <c r="GT106" s="42">
        <f>AVERAGE(GT2:GT100)</f>
        <v/>
      </c>
      <c r="GU106" s="42">
        <f>AVERAGE(GU2:GU100)</f>
        <v/>
      </c>
      <c r="GV106" s="42">
        <f>AVERAGE(GV2:GV100)</f>
        <v/>
      </c>
      <c r="GW106" s="42">
        <f>AVERAGE(GW2:GW100)</f>
        <v/>
      </c>
      <c r="GX106" s="42">
        <f>AVERAGE(GX2:GX100)</f>
        <v/>
      </c>
      <c r="GY106" s="42">
        <f>AVERAGE(GY2:GY100)</f>
        <v/>
      </c>
      <c r="GZ106" s="42">
        <f>AVERAGE(GZ2:GZ100)</f>
        <v/>
      </c>
      <c r="HA106" s="42">
        <f>AVERAGE(HA2:HA100)</f>
        <v/>
      </c>
      <c r="HB106" s="42">
        <f>AVERAGE(HB2:HB100)</f>
        <v/>
      </c>
      <c r="HC106" s="42">
        <f>AVERAGE(HC2:HC100)</f>
        <v/>
      </c>
      <c r="HD106" s="42">
        <f>AVERAGE(HD2:HD100)</f>
        <v/>
      </c>
      <c r="HE106" s="42">
        <f>AVERAGE(HE2:HE100)</f>
        <v/>
      </c>
      <c r="HF106" s="42">
        <f>AVERAGE(HF2:HF100)</f>
        <v/>
      </c>
      <c r="HG106" s="42">
        <f>AVERAGE(HG2:HG100)</f>
        <v/>
      </c>
    </row>
    <row r="107">
      <c r="A107" s="13" t="inlineStr">
        <is>
          <t>STDEV</t>
        </is>
      </c>
      <c r="B107" s="12" t="n"/>
      <c r="C107" s="12" t="n"/>
      <c r="D107" s="12" t="n"/>
      <c r="E107" s="12" t="n"/>
      <c r="F107" s="12" t="n"/>
      <c r="G107" s="12" t="n"/>
      <c r="H107" s="12" t="n"/>
      <c r="J107" s="18">
        <f>STDEV(J2:J100)</f>
        <v/>
      </c>
      <c r="K107" s="18">
        <f>STDEV(K2:K100)</f>
        <v/>
      </c>
      <c r="L107" s="18">
        <f>STDEV(L2:L100)</f>
        <v/>
      </c>
      <c r="M107" s="18">
        <f>STDEV(M2:M100)</f>
        <v/>
      </c>
      <c r="N107" s="18">
        <f>STDEV(N2:N100)</f>
        <v/>
      </c>
      <c r="O107" s="18">
        <f>STDEV(O2:O100)</f>
        <v/>
      </c>
      <c r="P107" s="18">
        <f>STDEV(P2:P100)</f>
        <v/>
      </c>
      <c r="Q107" s="18">
        <f>STDEV(Q2:Q100)</f>
        <v/>
      </c>
      <c r="R107" s="18">
        <f>STDEV(R2:R100)</f>
        <v/>
      </c>
      <c r="S107" s="18">
        <f>STDEV(S2:S100)</f>
        <v/>
      </c>
      <c r="T107" s="18">
        <f>STDEV(T2:T100)</f>
        <v/>
      </c>
      <c r="U107" s="18">
        <f>STDEV(U2:U100)</f>
        <v/>
      </c>
      <c r="V107" s="18">
        <f>STDEV(V2:V100)</f>
        <v/>
      </c>
      <c r="W107" s="18">
        <f>STDEV(W2:W100)</f>
        <v/>
      </c>
      <c r="X107" s="18">
        <f>STDEV(X2:X100)</f>
        <v/>
      </c>
      <c r="Y107" s="18">
        <f>STDEV(Y2:Y100)</f>
        <v/>
      </c>
      <c r="Z107" s="18">
        <f>STDEV(Z2:Z100)</f>
        <v/>
      </c>
      <c r="AA107" s="18">
        <f>STDEV(AA2:AA100)</f>
        <v/>
      </c>
      <c r="AB107" s="18">
        <f>STDEV(AB2:AB100)</f>
        <v/>
      </c>
      <c r="AC107" s="18">
        <f>STDEV(AC2:AC100)</f>
        <v/>
      </c>
      <c r="AD107" s="18">
        <f>STDEV(AD2:AD100)</f>
        <v/>
      </c>
      <c r="AE107" s="18">
        <f>STDEV(AE2:AE100)</f>
        <v/>
      </c>
      <c r="AF107" s="18">
        <f>STDEV(AF2:AF100)</f>
        <v/>
      </c>
      <c r="AG107" s="18">
        <f>STDEV(AG2:AG100)</f>
        <v/>
      </c>
      <c r="AH107" s="18">
        <f>STDEV(AH2:AH100)</f>
        <v/>
      </c>
      <c r="AI107" s="18">
        <f>STDEV(AI2:AI100)</f>
        <v/>
      </c>
      <c r="AJ107" s="18">
        <f>STDEV(AJ2:AJ100)</f>
        <v/>
      </c>
      <c r="AK107" s="18">
        <f>STDEV(AK2:AK100)</f>
        <v/>
      </c>
      <c r="AL107" s="18">
        <f>STDEV(AL2:AL100)</f>
        <v/>
      </c>
      <c r="AM107" s="18">
        <f>STDEV(AM2:AM100)</f>
        <v/>
      </c>
      <c r="AN107" s="18">
        <f>STDEV(AN2:AN100)</f>
        <v/>
      </c>
      <c r="AO107" s="18">
        <f>STDEV(AO2:AO100)</f>
        <v/>
      </c>
      <c r="AP107" s="18">
        <f>STDEV(AP2:AP100)</f>
        <v/>
      </c>
      <c r="AQ107" s="18">
        <f>STDEV(AQ2:AQ100)</f>
        <v/>
      </c>
      <c r="AR107" s="18">
        <f>STDEV(AR2:AR100)</f>
        <v/>
      </c>
      <c r="AS107" s="18">
        <f>STDEV(AS2:AS100)</f>
        <v/>
      </c>
      <c r="AT107" s="18">
        <f>STDEV(AT2:AT100)</f>
        <v/>
      </c>
      <c r="AU107" s="18">
        <f>STDEV(AU2:AU100)</f>
        <v/>
      </c>
      <c r="AV107" s="18">
        <f>STDEV(AV2:AV100)</f>
        <v/>
      </c>
      <c r="AW107" s="18">
        <f>STDEV(AW2:AW100)</f>
        <v/>
      </c>
      <c r="AX107" s="18">
        <f>STDEV(AX2:AX100)</f>
        <v/>
      </c>
      <c r="AY107" s="18">
        <f>STDEV(AY2:AY100)</f>
        <v/>
      </c>
      <c r="AZ107" s="18">
        <f>STDEV(AZ2:AZ100)</f>
        <v/>
      </c>
      <c r="BA107" s="18">
        <f>STDEV(BA2:BA100)</f>
        <v/>
      </c>
      <c r="BB107" s="18">
        <f>STDEV(BB2:BB100)</f>
        <v/>
      </c>
      <c r="BC107" s="18">
        <f>STDEV(BC2:BC100)</f>
        <v/>
      </c>
      <c r="BD107" s="18">
        <f>STDEV(BD2:BD100)</f>
        <v/>
      </c>
      <c r="BE107" s="18">
        <f>STDEV(BE2:BE100)</f>
        <v/>
      </c>
      <c r="BF107" s="18">
        <f>STDEV(BF2:BF100)</f>
        <v/>
      </c>
      <c r="BG107" s="18">
        <f>STDEV(BG2:BG100)</f>
        <v/>
      </c>
      <c r="BH107" s="18">
        <f>STDEV(BH2:BH100)</f>
        <v/>
      </c>
      <c r="BI107" s="18">
        <f>STDEV(BI2:BI100)</f>
        <v/>
      </c>
      <c r="BJ107" s="18">
        <f>STDEV(BJ2:BJ100)</f>
        <v/>
      </c>
      <c r="BK107" s="18">
        <f>STDEV(BK2:BK100)</f>
        <v/>
      </c>
      <c r="BL107" s="18">
        <f>STDEV(BL2:BL100)</f>
        <v/>
      </c>
      <c r="BM107" s="18">
        <f>STDEV(BM2:BM100)</f>
        <v/>
      </c>
      <c r="BN107" s="18">
        <f>STDEV(BN2:BN100)</f>
        <v/>
      </c>
      <c r="BO107" s="18">
        <f>STDEV(BO2:BO100)</f>
        <v/>
      </c>
      <c r="BP107" s="18">
        <f>STDEV(BP2:BP100)</f>
        <v/>
      </c>
      <c r="BQ107" s="18">
        <f>STDEV(BQ2:BQ100)</f>
        <v/>
      </c>
      <c r="BR107" s="18">
        <f>STDEV(BR2:BR100)</f>
        <v/>
      </c>
      <c r="BS107" s="18">
        <f>STDEV(BS2:BS100)</f>
        <v/>
      </c>
      <c r="BT107" s="18">
        <f>STDEV(BT2:BT100)</f>
        <v/>
      </c>
      <c r="BU107" s="18">
        <f>STDEV(BU2:BU100)</f>
        <v/>
      </c>
      <c r="BV107" s="18">
        <f>STDEV(BV2:BV100)</f>
        <v/>
      </c>
      <c r="BW107" s="18">
        <f>STDEV(BW2:BW100)</f>
        <v/>
      </c>
      <c r="BX107" s="18">
        <f>STDEV(BX2:BX100)</f>
        <v/>
      </c>
      <c r="BY107" s="18">
        <f>STDEV(BY2:BY100)</f>
        <v/>
      </c>
      <c r="BZ107" s="18">
        <f>STDEV(BZ2:BZ100)</f>
        <v/>
      </c>
      <c r="CA107" s="18">
        <f>STDEV(CA2:CA100)</f>
        <v/>
      </c>
      <c r="CB107" s="18">
        <f>STDEV(CB2:CB100)</f>
        <v/>
      </c>
      <c r="CC107" s="18">
        <f>STDEV(CC2:CC100)</f>
        <v/>
      </c>
      <c r="CD107" s="18">
        <f>STDEV(CD2:CD100)</f>
        <v/>
      </c>
      <c r="CE107" s="18">
        <f>STDEV(CE2:CE100)</f>
        <v/>
      </c>
      <c r="CF107" s="18">
        <f>STDEV(CF2:CF100)</f>
        <v/>
      </c>
      <c r="CG107" s="18">
        <f>STDEV(CG2:CG100)</f>
        <v/>
      </c>
      <c r="CH107" s="18">
        <f>STDEV(CH2:CH100)</f>
        <v/>
      </c>
      <c r="CI107" s="18">
        <f>STDEV(CI2:CI100)</f>
        <v/>
      </c>
      <c r="CJ107" s="18">
        <f>STDEV(CJ2:CJ100)</f>
        <v/>
      </c>
      <c r="CK107" s="18">
        <f>STDEV(CK2:CK100)</f>
        <v/>
      </c>
      <c r="CL107" s="18">
        <f>STDEV(CL2:CL100)</f>
        <v/>
      </c>
      <c r="CM107" s="18">
        <f>STDEV(CM2:CM100)</f>
        <v/>
      </c>
      <c r="CN107" s="18">
        <f>STDEV(CN2:CN100)</f>
        <v/>
      </c>
      <c r="CO107" s="18">
        <f>STDEV(CO2:CO100)</f>
        <v/>
      </c>
      <c r="CP107" s="18">
        <f>STDEV(CP2:CP100)</f>
        <v/>
      </c>
      <c r="CQ107" s="18">
        <f>STDEV(CQ2:CQ100)</f>
        <v/>
      </c>
      <c r="CR107" s="18">
        <f>STDEV(CR2:CR100)</f>
        <v/>
      </c>
      <c r="CS107" s="18">
        <f>STDEV(CS2:CS100)</f>
        <v/>
      </c>
      <c r="CT107" s="18">
        <f>STDEV(CT2:CT100)</f>
        <v/>
      </c>
      <c r="CU107" s="18">
        <f>STDEV(CU2:CU100)</f>
        <v/>
      </c>
      <c r="CV107" s="18">
        <f>STDEV(CV2:CV100)</f>
        <v/>
      </c>
      <c r="CW107" s="18">
        <f>STDEV(CW2:CW100)</f>
        <v/>
      </c>
      <c r="CX107" s="18">
        <f>STDEV(CX2:CX100)</f>
        <v/>
      </c>
      <c r="CY107" s="18">
        <f>STDEV(CY2:CY100)</f>
        <v/>
      </c>
      <c r="CZ107" s="18">
        <f>STDEV(CZ2:CZ100)</f>
        <v/>
      </c>
      <c r="DA107" s="18">
        <f>STDEV(DA2:DA100)</f>
        <v/>
      </c>
      <c r="DB107" s="18">
        <f>STDEV(DB2:DB100)</f>
        <v/>
      </c>
      <c r="DC107" s="18">
        <f>STDEV(DC2:DC100)</f>
        <v/>
      </c>
      <c r="DD107" s="18">
        <f>STDEV(DD2:DD100)</f>
        <v/>
      </c>
      <c r="DE107" s="18">
        <f>STDEV(DE2:DE100)</f>
        <v/>
      </c>
      <c r="DF107" s="18">
        <f>STDEV(DF2:DF100)</f>
        <v/>
      </c>
      <c r="DG107" s="18">
        <f>STDEV(DG2:DG100)</f>
        <v/>
      </c>
      <c r="DH107" s="18">
        <f>STDEV(DH2:DH100)</f>
        <v/>
      </c>
      <c r="DI107" s="18">
        <f>STDEV(DI2:DI100)</f>
        <v/>
      </c>
      <c r="DJ107" s="18">
        <f>STDEV(DJ2:DJ100)</f>
        <v/>
      </c>
      <c r="DK107" s="18">
        <f>STDEV(DK2:DK100)</f>
        <v/>
      </c>
      <c r="DL107" s="18">
        <f>STDEV(DL2:DL100)</f>
        <v/>
      </c>
      <c r="DM107" s="18">
        <f>STDEV(DM2:DM100)</f>
        <v/>
      </c>
      <c r="DN107" s="18">
        <f>STDEV(DN2:DN100)</f>
        <v/>
      </c>
      <c r="DO107" s="18">
        <f>STDEV(DO2:DO100)</f>
        <v/>
      </c>
      <c r="DP107" s="18">
        <f>STDEV(DP2:DP100)</f>
        <v/>
      </c>
      <c r="DQ107" s="18">
        <f>STDEV(DQ2:DQ100)</f>
        <v/>
      </c>
      <c r="DR107" s="18">
        <f>STDEV(DR2:DR100)</f>
        <v/>
      </c>
      <c r="DS107" s="18">
        <f>STDEV(DS2:DS100)</f>
        <v/>
      </c>
      <c r="DT107" s="18">
        <f>STDEV(DT2:DT100)</f>
        <v/>
      </c>
      <c r="DU107" s="18">
        <f>STDEV(DU2:DU100)</f>
        <v/>
      </c>
      <c r="DV107" s="18">
        <f>STDEV(DV2:DV100)</f>
        <v/>
      </c>
      <c r="DW107" s="18">
        <f>STDEV(DW2:DW100)</f>
        <v/>
      </c>
      <c r="DX107" s="18">
        <f>STDEV(DX2:DX100)</f>
        <v/>
      </c>
      <c r="DY107" s="18">
        <f>STDEV(DY2:DY100)</f>
        <v/>
      </c>
      <c r="DZ107" s="18">
        <f>STDEV(DZ2:DZ100)</f>
        <v/>
      </c>
      <c r="EA107" s="18">
        <f>STDEV(EA2:EA100)</f>
        <v/>
      </c>
      <c r="EB107" s="18">
        <f>STDEV(EB2:EB100)</f>
        <v/>
      </c>
      <c r="EC107" s="18">
        <f>STDEV(EC2:EC100)</f>
        <v/>
      </c>
      <c r="ED107" s="18">
        <f>STDEV(ED2:ED100)</f>
        <v/>
      </c>
      <c r="EE107" s="18">
        <f>STDEV(EE2:EE100)</f>
        <v/>
      </c>
      <c r="EF107" s="18">
        <f>STDEV(EF2:EF100)</f>
        <v/>
      </c>
      <c r="EG107" s="18">
        <f>STDEV(EG2:EG100)</f>
        <v/>
      </c>
      <c r="EH107" s="18">
        <f>STDEV(EH2:EH100)</f>
        <v/>
      </c>
      <c r="EI107" s="18">
        <f>STDEV(EI2:EI100)</f>
        <v/>
      </c>
      <c r="EJ107" s="18">
        <f>STDEV(EJ2:EJ100)</f>
        <v/>
      </c>
      <c r="EK107" s="18">
        <f>STDEV(EK2:EK100)</f>
        <v/>
      </c>
      <c r="EL107" s="18">
        <f>STDEV(EL2:EL100)</f>
        <v/>
      </c>
      <c r="EM107" s="18">
        <f>STDEV(EM2:EM100)</f>
        <v/>
      </c>
      <c r="EN107" s="18">
        <f>STDEV(EN2:EN100)</f>
        <v/>
      </c>
      <c r="EO107" s="18">
        <f>STDEV(EO2:EO100)</f>
        <v/>
      </c>
      <c r="EP107" s="18">
        <f>STDEV(EP2:EP100)</f>
        <v/>
      </c>
      <c r="EQ107" s="18">
        <f>STDEV(EQ2:EQ100)</f>
        <v/>
      </c>
      <c r="ER107" s="18">
        <f>STDEV(ER2:ER100)</f>
        <v/>
      </c>
      <c r="ES107" s="18">
        <f>STDEV(ES2:ES100)</f>
        <v/>
      </c>
      <c r="ET107" s="18">
        <f>STDEV(ET2:ET100)</f>
        <v/>
      </c>
      <c r="EU107" s="18">
        <f>STDEV(EU2:EU100)</f>
        <v/>
      </c>
      <c r="EV107" s="18">
        <f>STDEV(EV2:EV100)</f>
        <v/>
      </c>
      <c r="EW107" s="18">
        <f>STDEV(EW2:EW100)</f>
        <v/>
      </c>
      <c r="EX107" s="18">
        <f>STDEV(EX2:EX100)</f>
        <v/>
      </c>
      <c r="EY107" s="18">
        <f>STDEV(EY2:EY100)</f>
        <v/>
      </c>
      <c r="EZ107" s="18">
        <f>STDEV(EZ2:EZ100)</f>
        <v/>
      </c>
      <c r="FA107" s="18">
        <f>STDEV(FA2:FA100)</f>
        <v/>
      </c>
      <c r="FB107" s="18">
        <f>STDEV(FB2:FB100)</f>
        <v/>
      </c>
      <c r="FC107" s="18">
        <f>STDEV(FC2:FC100)</f>
        <v/>
      </c>
      <c r="FD107" s="18">
        <f>STDEV(FD2:FD100)</f>
        <v/>
      </c>
      <c r="FE107" s="18">
        <f>STDEV(FE2:FE100)</f>
        <v/>
      </c>
      <c r="FF107" s="18">
        <f>STDEV(FF2:FF100)</f>
        <v/>
      </c>
      <c r="FG107" s="18">
        <f>STDEV(FG2:FG100)</f>
        <v/>
      </c>
      <c r="FH107" s="18">
        <f>STDEV(FH2:FH100)</f>
        <v/>
      </c>
      <c r="FI107" s="18">
        <f>STDEV(FI2:FI100)</f>
        <v/>
      </c>
      <c r="FJ107" s="18">
        <f>STDEV(FJ2:FJ100)</f>
        <v/>
      </c>
      <c r="FK107" s="18">
        <f>STDEV(FK2:FK100)</f>
        <v/>
      </c>
      <c r="FL107" s="18">
        <f>STDEV(FL2:FL100)</f>
        <v/>
      </c>
      <c r="FM107" s="18">
        <f>STDEV(FM2:FM100)</f>
        <v/>
      </c>
      <c r="FN107" s="18">
        <f>STDEV(FN2:FN100)</f>
        <v/>
      </c>
      <c r="FO107" s="18">
        <f>STDEV(FO2:FO100)</f>
        <v/>
      </c>
      <c r="FP107" s="18">
        <f>STDEV(FP2:FP100)</f>
        <v/>
      </c>
      <c r="FQ107" s="18">
        <f>STDEV(FQ2:FQ100)</f>
        <v/>
      </c>
      <c r="FR107" s="18">
        <f>STDEV(FR2:FR100)</f>
        <v/>
      </c>
      <c r="FS107" s="18">
        <f>STDEV(FS2:FS100)</f>
        <v/>
      </c>
      <c r="FT107" s="18">
        <f>STDEV(FT2:FT100)</f>
        <v/>
      </c>
      <c r="FU107" s="18">
        <f>STDEV(FU2:FU100)</f>
        <v/>
      </c>
      <c r="FV107" s="18">
        <f>STDEV(FV2:FV100)</f>
        <v/>
      </c>
      <c r="FW107" s="18">
        <f>STDEV(FW2:FW100)</f>
        <v/>
      </c>
      <c r="FX107" s="18">
        <f>STDEV(FX2:FX100)</f>
        <v/>
      </c>
      <c r="FY107" s="18">
        <f>STDEV(FY2:FY100)</f>
        <v/>
      </c>
      <c r="FZ107" s="18">
        <f>STDEV(FZ2:FZ100)</f>
        <v/>
      </c>
      <c r="GA107" s="18">
        <f>STDEV(GA2:GA100)</f>
        <v/>
      </c>
      <c r="GB107" s="18">
        <f>STDEV(GB2:GB100)</f>
        <v/>
      </c>
      <c r="GC107" s="18">
        <f>STDEV(GC2:GC100)</f>
        <v/>
      </c>
      <c r="GD107" s="18">
        <f>STDEV(GD2:GD100)</f>
        <v/>
      </c>
      <c r="GE107" s="18">
        <f>STDEV(GE2:GE100)</f>
        <v/>
      </c>
      <c r="GF107" s="18">
        <f>STDEV(GF2:GF100)</f>
        <v/>
      </c>
      <c r="GG107" s="18">
        <f>STDEV(GG2:GG100)</f>
        <v/>
      </c>
      <c r="GH107" s="18">
        <f>STDEV(GH2:GH100)</f>
        <v/>
      </c>
      <c r="GI107" s="18">
        <f>STDEV(GI2:GI100)</f>
        <v/>
      </c>
      <c r="GJ107" s="18">
        <f>STDEV(GJ2:GJ100)</f>
        <v/>
      </c>
      <c r="GK107" s="18">
        <f>STDEV(GK2:GK100)</f>
        <v/>
      </c>
      <c r="GL107" s="18">
        <f>STDEV(GL2:GL100)</f>
        <v/>
      </c>
      <c r="GM107" s="18">
        <f>STDEV(GM2:GM100)</f>
        <v/>
      </c>
      <c r="GN107" s="18">
        <f>STDEV(GN2:GN100)</f>
        <v/>
      </c>
      <c r="GO107" s="18">
        <f>STDEV(GO2:GO100)</f>
        <v/>
      </c>
      <c r="GP107" s="18">
        <f>STDEV(GP2:GP100)</f>
        <v/>
      </c>
      <c r="GQ107" s="18">
        <f>STDEV(GQ2:GQ100)</f>
        <v/>
      </c>
      <c r="GR107" s="18">
        <f>STDEV(GR2:GR100)</f>
        <v/>
      </c>
      <c r="GS107" s="18">
        <f>STDEV(GS2:GS100)</f>
        <v/>
      </c>
      <c r="GT107" s="18">
        <f>STDEV(GT2:GT100)</f>
        <v/>
      </c>
      <c r="GU107" s="18">
        <f>STDEV(GU2:GU100)</f>
        <v/>
      </c>
      <c r="GV107" s="18">
        <f>STDEV(GV2:GV100)</f>
        <v/>
      </c>
      <c r="GW107" s="18">
        <f>STDEV(GW2:GW100)</f>
        <v/>
      </c>
      <c r="GX107" s="18">
        <f>STDEV(GX2:GX100)</f>
        <v/>
      </c>
      <c r="GY107" s="18">
        <f>STDEV(GY2:GY100)</f>
        <v/>
      </c>
      <c r="GZ107" s="18">
        <f>STDEV(GZ2:GZ100)</f>
        <v/>
      </c>
      <c r="HA107" s="18">
        <f>STDEV(HA2:HA100)</f>
        <v/>
      </c>
      <c r="HB107" s="18">
        <f>STDEV(HB2:HB100)</f>
        <v/>
      </c>
      <c r="HC107" s="18">
        <f>STDEV(HC2:HC100)</f>
        <v/>
      </c>
      <c r="HD107" s="18">
        <f>STDEV(HD2:HD100)</f>
        <v/>
      </c>
      <c r="HE107" s="18">
        <f>STDEV(HE2:HE100)</f>
        <v/>
      </c>
      <c r="HF107" s="18">
        <f>STDEV(HF2:HF100)</f>
        <v/>
      </c>
      <c r="HG107" s="18">
        <f>STDEV(HG2:HG100)</f>
        <v/>
      </c>
    </row>
    <row r="108">
      <c r="A108" s="13" t="inlineStr">
        <is>
          <t>Range</t>
        </is>
      </c>
      <c r="B108" s="12" t="n"/>
      <c r="C108" s="12" t="n"/>
      <c r="D108" s="12" t="n"/>
      <c r="E108" s="12" t="n"/>
      <c r="F108" s="12" t="n"/>
      <c r="G108" s="12" t="n"/>
      <c r="H108" s="12" t="n"/>
      <c r="J108" s="19">
        <f>SUM(MAX(J2:J100)-MIN(J2:J100))</f>
        <v/>
      </c>
      <c r="K108" s="19">
        <f>SUM(MAX(K2:K100)-MIN(K2:K100))</f>
        <v/>
      </c>
      <c r="L108" s="19">
        <f>SUM(MAX(L2:L100)-MIN(L2:L100))</f>
        <v/>
      </c>
      <c r="M108" s="19">
        <f>SUM(MAX(M2:M100)-MIN(M2:M100))</f>
        <v/>
      </c>
      <c r="N108" s="19">
        <f>SUM(MAX(N2:N100)-MIN(N2:N100))</f>
        <v/>
      </c>
      <c r="O108" s="19">
        <f>SUM(MAX(O2:O100)-MIN(O2:O100))</f>
        <v/>
      </c>
      <c r="P108" s="19">
        <f>SUM(MAX(P2:P100)-MIN(P2:P100))</f>
        <v/>
      </c>
      <c r="Q108" s="19">
        <f>SUM(MAX(Q2:Q100)-MIN(Q2:Q100))</f>
        <v/>
      </c>
      <c r="R108" s="19">
        <f>SUM(MAX(R2:R100)-MIN(R2:R100))</f>
        <v/>
      </c>
      <c r="S108" s="19">
        <f>SUM(MAX(S2:S100)-MIN(S2:S100))</f>
        <v/>
      </c>
      <c r="T108" s="19">
        <f>SUM(MAX(T2:T100)-MIN(T2:T100))</f>
        <v/>
      </c>
      <c r="U108" s="19">
        <f>SUM(MAX(U2:U100)-MIN(U2:U100))</f>
        <v/>
      </c>
      <c r="V108" s="19">
        <f>SUM(MAX(V2:V100)-MIN(V2:V100))</f>
        <v/>
      </c>
      <c r="W108" s="19">
        <f>SUM(MAX(W2:W100)-MIN(W2:W100))</f>
        <v/>
      </c>
      <c r="X108" s="19">
        <f>SUM(MAX(X2:X100)-MIN(X2:X100))</f>
        <v/>
      </c>
      <c r="Y108" s="19">
        <f>SUM(MAX(Y2:Y100)-MIN(Y2:Y100))</f>
        <v/>
      </c>
      <c r="Z108" s="19">
        <f>SUM(MAX(Z2:Z100)-MIN(Z2:Z100))</f>
        <v/>
      </c>
      <c r="AA108" s="19">
        <f>SUM(MAX(AA2:AA100)-MIN(AA2:AA100))</f>
        <v/>
      </c>
      <c r="AB108" s="19">
        <f>SUM(MAX(AB2:AB100)-MIN(AB2:AB100))</f>
        <v/>
      </c>
      <c r="AC108" s="19">
        <f>SUM(MAX(AC2:AC100)-MIN(AC2:AC100))</f>
        <v/>
      </c>
      <c r="AD108" s="19">
        <f>SUM(MAX(AD2:AD100)-MIN(AD2:AD100))</f>
        <v/>
      </c>
      <c r="AE108" s="19">
        <f>SUM(MAX(AE2:AE100)-MIN(AE2:AE100))</f>
        <v/>
      </c>
      <c r="AF108" s="19">
        <f>SUM(MAX(AF2:AF100)-MIN(AF2:AF100))</f>
        <v/>
      </c>
      <c r="AG108" s="19">
        <f>SUM(MAX(AG2:AG100)-MIN(AG2:AG100))</f>
        <v/>
      </c>
      <c r="AH108" s="19">
        <f>SUM(MAX(AH2:AH100)-MIN(AH2:AH100))</f>
        <v/>
      </c>
      <c r="AI108" s="19">
        <f>SUM(MAX(AI2:AI100)-MIN(AI2:AI100))</f>
        <v/>
      </c>
      <c r="AJ108" s="19">
        <f>SUM(MAX(AJ2:AJ100)-MIN(AJ2:AJ100))</f>
        <v/>
      </c>
      <c r="AK108" s="19">
        <f>SUM(MAX(AK2:AK100)-MIN(AK2:AK100))</f>
        <v/>
      </c>
      <c r="AL108" s="19">
        <f>SUM(MAX(AL2:AL100)-MIN(AL2:AL100))</f>
        <v/>
      </c>
      <c r="AM108" s="19">
        <f>SUM(MAX(AM2:AM100)-MIN(AM2:AM100))</f>
        <v/>
      </c>
      <c r="AN108" s="19">
        <f>SUM(MAX(AN2:AN100)-MIN(AN2:AN100))</f>
        <v/>
      </c>
      <c r="AO108" s="19">
        <f>SUM(MAX(AO2:AO100)-MIN(AO2:AO100))</f>
        <v/>
      </c>
      <c r="AP108" s="19">
        <f>SUM(MAX(AP2:AP100)-MIN(AP2:AP100))</f>
        <v/>
      </c>
      <c r="AQ108" s="19">
        <f>SUM(MAX(AQ2:AQ100)-MIN(AQ2:AQ100))</f>
        <v/>
      </c>
      <c r="AR108" s="19">
        <f>SUM(MAX(AR2:AR100)-MIN(AR2:AR100))</f>
        <v/>
      </c>
      <c r="AS108" s="19">
        <f>SUM(MAX(AS2:AS100)-MIN(AS2:AS100))</f>
        <v/>
      </c>
      <c r="AT108" s="19">
        <f>SUM(MAX(AT2:AT100)-MIN(AT2:AT100))</f>
        <v/>
      </c>
      <c r="AU108" s="19">
        <f>SUM(MAX(AU2:AU100)-MIN(AU2:AU100))</f>
        <v/>
      </c>
      <c r="AV108" s="19">
        <f>SUM(MAX(AV2:AV100)-MIN(AV2:AV100))</f>
        <v/>
      </c>
      <c r="AW108" s="19">
        <f>SUM(MAX(AW2:AW100)-MIN(AW2:AW100))</f>
        <v/>
      </c>
      <c r="AX108" s="19">
        <f>SUM(MAX(AX2:AX100)-MIN(AX2:AX100))</f>
        <v/>
      </c>
      <c r="AY108" s="19">
        <f>SUM(MAX(AY2:AY100)-MIN(AY2:AY100))</f>
        <v/>
      </c>
      <c r="AZ108" s="19">
        <f>SUM(MAX(AZ2:AZ100)-MIN(AZ2:AZ100))</f>
        <v/>
      </c>
      <c r="BA108" s="19">
        <f>SUM(MAX(BA2:BA100)-MIN(BA2:BA100))</f>
        <v/>
      </c>
      <c r="BB108" s="19">
        <f>SUM(MAX(BB2:BB100)-MIN(BB2:BB100))</f>
        <v/>
      </c>
      <c r="BC108" s="19">
        <f>SUM(MAX(BC2:BC100)-MIN(BC2:BC100))</f>
        <v/>
      </c>
      <c r="BD108" s="19">
        <f>SUM(MAX(BD2:BD100)-MIN(BD2:BD100))</f>
        <v/>
      </c>
      <c r="BE108" s="19">
        <f>SUM(MAX(BE2:BE100)-MIN(BE2:BE100))</f>
        <v/>
      </c>
      <c r="BF108" s="19">
        <f>SUM(MAX(BF2:BF100)-MIN(BF2:BF100))</f>
        <v/>
      </c>
      <c r="BG108" s="19">
        <f>SUM(MAX(BG2:BG100)-MIN(BG2:BG100))</f>
        <v/>
      </c>
      <c r="BH108" s="19">
        <f>SUM(MAX(BH2:BH100)-MIN(BH2:BH100))</f>
        <v/>
      </c>
      <c r="BI108" s="19">
        <f>SUM(MAX(BI2:BI100)-MIN(BI2:BI100))</f>
        <v/>
      </c>
      <c r="BJ108" s="19">
        <f>SUM(MAX(BJ2:BJ100)-MIN(BJ2:BJ100))</f>
        <v/>
      </c>
      <c r="BK108" s="19">
        <f>SUM(MAX(BK2:BK100)-MIN(BK2:BK100))</f>
        <v/>
      </c>
      <c r="BL108" s="19">
        <f>SUM(MAX(BL2:BL100)-MIN(BL2:BL100))</f>
        <v/>
      </c>
      <c r="BM108" s="19">
        <f>SUM(MAX(BM2:BM100)-MIN(BM2:BM100))</f>
        <v/>
      </c>
      <c r="BN108" s="19">
        <f>SUM(MAX(BN2:BN100)-MIN(BN2:BN100))</f>
        <v/>
      </c>
      <c r="BO108" s="19">
        <f>SUM(MAX(BO2:BO100)-MIN(BO2:BO100))</f>
        <v/>
      </c>
      <c r="BP108" s="19">
        <f>SUM(MAX(BP2:BP100)-MIN(BP2:BP100))</f>
        <v/>
      </c>
      <c r="BQ108" s="19">
        <f>SUM(MAX(BQ2:BQ100)-MIN(BQ2:BQ100))</f>
        <v/>
      </c>
      <c r="BR108" s="19">
        <f>SUM(MAX(BR2:BR100)-MIN(BR2:BR100))</f>
        <v/>
      </c>
      <c r="BS108" s="19">
        <f>SUM(MAX(BS2:BS100)-MIN(BS2:BS100))</f>
        <v/>
      </c>
      <c r="BT108" s="19">
        <f>SUM(MAX(BT2:BT100)-MIN(BT2:BT100))</f>
        <v/>
      </c>
      <c r="BU108" s="19">
        <f>SUM(MAX(BU2:BU100)-MIN(BU2:BU100))</f>
        <v/>
      </c>
      <c r="BV108" s="19">
        <f>SUM(MAX(BV2:BV100)-MIN(BV2:BV100))</f>
        <v/>
      </c>
      <c r="BW108" s="19">
        <f>SUM(MAX(BW2:BW100)-MIN(BW2:BW100))</f>
        <v/>
      </c>
      <c r="BX108" s="19">
        <f>SUM(MAX(BX2:BX100)-MIN(BX2:BX100))</f>
        <v/>
      </c>
      <c r="BY108" s="19">
        <f>SUM(MAX(BY2:BY100)-MIN(BY2:BY100))</f>
        <v/>
      </c>
      <c r="BZ108" s="19">
        <f>SUM(MAX(BZ2:BZ100)-MIN(BZ2:BZ100))</f>
        <v/>
      </c>
      <c r="CA108" s="19">
        <f>SUM(MAX(CA2:CA100)-MIN(CA2:CA100))</f>
        <v/>
      </c>
      <c r="CB108" s="19">
        <f>SUM(MAX(CB2:CB100)-MIN(CB2:CB100))</f>
        <v/>
      </c>
      <c r="CC108" s="19">
        <f>SUM(MAX(CC2:CC100)-MIN(CC2:CC100))</f>
        <v/>
      </c>
      <c r="CD108" s="19">
        <f>SUM(MAX(CD2:CD100)-MIN(CD2:CD100))</f>
        <v/>
      </c>
      <c r="CE108" s="19">
        <f>SUM(MAX(CE2:CE100)-MIN(CE2:CE100))</f>
        <v/>
      </c>
      <c r="CF108" s="19">
        <f>SUM(MAX(CF2:CF100)-MIN(CF2:CF100))</f>
        <v/>
      </c>
      <c r="CG108" s="19">
        <f>SUM(MAX(CG2:CG100)-MIN(CG2:CG100))</f>
        <v/>
      </c>
      <c r="CH108" s="19">
        <f>SUM(MAX(CH2:CH100)-MIN(CH2:CH100))</f>
        <v/>
      </c>
      <c r="CI108" s="19">
        <f>SUM(MAX(CI2:CI100)-MIN(CI2:CI100))</f>
        <v/>
      </c>
      <c r="CJ108" s="19">
        <f>SUM(MAX(CJ2:CJ100)-MIN(CJ2:CJ100))</f>
        <v/>
      </c>
      <c r="CK108" s="19">
        <f>SUM(MAX(CK2:CK100)-MIN(CK2:CK100))</f>
        <v/>
      </c>
      <c r="CL108" s="19">
        <f>SUM(MAX(CL2:CL100)-MIN(CL2:CL100))</f>
        <v/>
      </c>
      <c r="CM108" s="19">
        <f>SUM(MAX(CM2:CM100)-MIN(CM2:CM100))</f>
        <v/>
      </c>
      <c r="CN108" s="19">
        <f>SUM(MAX(CN2:CN100)-MIN(CN2:CN100))</f>
        <v/>
      </c>
      <c r="CO108" s="19">
        <f>SUM(MAX(CO2:CO100)-MIN(CO2:CO100))</f>
        <v/>
      </c>
      <c r="CP108" s="19">
        <f>SUM(MAX(CP2:CP100)-MIN(CP2:CP100))</f>
        <v/>
      </c>
      <c r="CQ108" s="19">
        <f>SUM(MAX(CQ2:CQ100)-MIN(CQ2:CQ100))</f>
        <v/>
      </c>
      <c r="CR108" s="19">
        <f>SUM(MAX(CR2:CR100)-MIN(CR2:CR100))</f>
        <v/>
      </c>
      <c r="CS108" s="19">
        <f>SUM(MAX(CS2:CS100)-MIN(CS2:CS100))</f>
        <v/>
      </c>
      <c r="CT108" s="19">
        <f>SUM(MAX(CT2:CT100)-MIN(CT2:CT100))</f>
        <v/>
      </c>
      <c r="CU108" s="19">
        <f>SUM(MAX(CU2:CU100)-MIN(CU2:CU100))</f>
        <v/>
      </c>
      <c r="CV108" s="19">
        <f>SUM(MAX(CV2:CV100)-MIN(CV2:CV100))</f>
        <v/>
      </c>
      <c r="CW108" s="19">
        <f>SUM(MAX(CW2:CW100)-MIN(CW2:CW100))</f>
        <v/>
      </c>
      <c r="CX108" s="19">
        <f>SUM(MAX(CX2:CX100)-MIN(CX2:CX100))</f>
        <v/>
      </c>
      <c r="CY108" s="19">
        <f>SUM(MAX(CY2:CY100)-MIN(CY2:CY100))</f>
        <v/>
      </c>
      <c r="CZ108" s="19">
        <f>SUM(MAX(CZ2:CZ100)-MIN(CZ2:CZ100))</f>
        <v/>
      </c>
      <c r="DA108" s="19">
        <f>SUM(MAX(DA2:DA100)-MIN(DA2:DA100))</f>
        <v/>
      </c>
      <c r="DB108" s="19">
        <f>SUM(MAX(DB2:DB100)-MIN(DB2:DB100))</f>
        <v/>
      </c>
      <c r="DC108" s="19">
        <f>SUM(MAX(DC2:DC100)-MIN(DC2:DC100))</f>
        <v/>
      </c>
      <c r="DD108" s="19">
        <f>SUM(MAX(DD2:DD100)-MIN(DD2:DD100))</f>
        <v/>
      </c>
      <c r="DE108" s="19">
        <f>SUM(MAX(DE2:DE100)-MIN(DE2:DE100))</f>
        <v/>
      </c>
      <c r="DF108" s="19">
        <f>SUM(MAX(DF2:DF100)-MIN(DF2:DF100))</f>
        <v/>
      </c>
      <c r="DG108" s="19">
        <f>SUM(MAX(DG2:DG100)-MIN(DG2:DG100))</f>
        <v/>
      </c>
      <c r="DH108" s="19">
        <f>SUM(MAX(DH2:DH100)-MIN(DH2:DH100))</f>
        <v/>
      </c>
      <c r="DI108" s="19">
        <f>SUM(MAX(DI2:DI100)-MIN(DI2:DI100))</f>
        <v/>
      </c>
      <c r="DJ108" s="19">
        <f>SUM(MAX(DJ2:DJ100)-MIN(DJ2:DJ100))</f>
        <v/>
      </c>
      <c r="DK108" s="19">
        <f>SUM(MAX(DK2:DK100)-MIN(DK2:DK100))</f>
        <v/>
      </c>
      <c r="DL108" s="19">
        <f>SUM(MAX(DL2:DL100)-MIN(DL2:DL100))</f>
        <v/>
      </c>
      <c r="DM108" s="19">
        <f>SUM(MAX(DM2:DM100)-MIN(DM2:DM100))</f>
        <v/>
      </c>
      <c r="DN108" s="19">
        <f>SUM(MAX(DN2:DN100)-MIN(DN2:DN100))</f>
        <v/>
      </c>
      <c r="DO108" s="19">
        <f>SUM(MAX(DO2:DO100)-MIN(DO2:DO100))</f>
        <v/>
      </c>
      <c r="DP108" s="19">
        <f>SUM(MAX(DP2:DP100)-MIN(DP2:DP100))</f>
        <v/>
      </c>
      <c r="DQ108" s="19">
        <f>SUM(MAX(DQ2:DQ100)-MIN(DQ2:DQ100))</f>
        <v/>
      </c>
      <c r="DR108" s="19">
        <f>SUM(MAX(DR2:DR100)-MIN(DR2:DR100))</f>
        <v/>
      </c>
      <c r="DS108" s="19">
        <f>SUM(MAX(DS2:DS100)-MIN(DS2:DS100))</f>
        <v/>
      </c>
      <c r="DT108" s="19">
        <f>SUM(MAX(DT2:DT100)-MIN(DT2:DT100))</f>
        <v/>
      </c>
      <c r="DU108" s="19">
        <f>SUM(MAX(DU2:DU100)-MIN(DU2:DU100))</f>
        <v/>
      </c>
      <c r="DV108" s="19">
        <f>SUM(MAX(DV2:DV100)-MIN(DV2:DV100))</f>
        <v/>
      </c>
      <c r="DW108" s="19">
        <f>SUM(MAX(DW2:DW100)-MIN(DW2:DW100))</f>
        <v/>
      </c>
      <c r="DX108" s="19">
        <f>SUM(MAX(DX2:DX100)-MIN(DX2:DX100))</f>
        <v/>
      </c>
      <c r="DY108" s="19">
        <f>SUM(MAX(DY2:DY100)-MIN(DY2:DY100))</f>
        <v/>
      </c>
      <c r="DZ108" s="19">
        <f>SUM(MAX(DZ2:DZ100)-MIN(DZ2:DZ100))</f>
        <v/>
      </c>
      <c r="EA108" s="19">
        <f>SUM(MAX(EA2:EA100)-MIN(EA2:EA100))</f>
        <v/>
      </c>
      <c r="EB108" s="19">
        <f>SUM(MAX(EB2:EB100)-MIN(EB2:EB100))</f>
        <v/>
      </c>
      <c r="EC108" s="19">
        <f>SUM(MAX(EC2:EC100)-MIN(EC2:EC100))</f>
        <v/>
      </c>
      <c r="ED108" s="19">
        <f>SUM(MAX(ED2:ED100)-MIN(ED2:ED100))</f>
        <v/>
      </c>
      <c r="EE108" s="19">
        <f>SUM(MAX(EE2:EE100)-MIN(EE2:EE100))</f>
        <v/>
      </c>
      <c r="EF108" s="19">
        <f>SUM(MAX(EF2:EF100)-MIN(EF2:EF100))</f>
        <v/>
      </c>
      <c r="EG108" s="19">
        <f>SUM(MAX(EG2:EG100)-MIN(EG2:EG100))</f>
        <v/>
      </c>
      <c r="EH108" s="19">
        <f>SUM(MAX(EH2:EH100)-MIN(EH2:EH100))</f>
        <v/>
      </c>
      <c r="EI108" s="19">
        <f>SUM(MAX(EI2:EI100)-MIN(EI2:EI100))</f>
        <v/>
      </c>
      <c r="EJ108" s="19">
        <f>SUM(MAX(EJ2:EJ100)-MIN(EJ2:EJ100))</f>
        <v/>
      </c>
      <c r="EK108" s="19">
        <f>SUM(MAX(EK2:EK100)-MIN(EK2:EK100))</f>
        <v/>
      </c>
      <c r="EL108" s="19">
        <f>SUM(MAX(EL2:EL100)-MIN(EL2:EL100))</f>
        <v/>
      </c>
      <c r="EM108" s="19">
        <f>SUM(MAX(EM2:EM100)-MIN(EM2:EM100))</f>
        <v/>
      </c>
      <c r="EN108" s="19">
        <f>SUM(MAX(EN2:EN100)-MIN(EN2:EN100))</f>
        <v/>
      </c>
      <c r="EO108" s="19">
        <f>SUM(MAX(EO2:EO100)-MIN(EO2:EO100))</f>
        <v/>
      </c>
      <c r="EP108" s="19">
        <f>SUM(MAX(EP2:EP100)-MIN(EP2:EP100))</f>
        <v/>
      </c>
      <c r="EQ108" s="19">
        <f>SUM(MAX(EQ2:EQ100)-MIN(EQ2:EQ100))</f>
        <v/>
      </c>
      <c r="ER108" s="19">
        <f>SUM(MAX(ER2:ER100)-MIN(ER2:ER100))</f>
        <v/>
      </c>
      <c r="ES108" s="19">
        <f>SUM(MAX(ES2:ES100)-MIN(ES2:ES100))</f>
        <v/>
      </c>
      <c r="ET108" s="19">
        <f>SUM(MAX(ET2:ET100)-MIN(ET2:ET100))</f>
        <v/>
      </c>
      <c r="EU108" s="19">
        <f>SUM(MAX(EU2:EU100)-MIN(EU2:EU100))</f>
        <v/>
      </c>
      <c r="EV108" s="19">
        <f>SUM(MAX(EV2:EV100)-MIN(EV2:EV100))</f>
        <v/>
      </c>
      <c r="EW108" s="19">
        <f>SUM(MAX(EW2:EW100)-MIN(EW2:EW100))</f>
        <v/>
      </c>
      <c r="EX108" s="19">
        <f>SUM(MAX(EX2:EX100)-MIN(EX2:EX100))</f>
        <v/>
      </c>
      <c r="EY108" s="19">
        <f>SUM(MAX(EY2:EY100)-MIN(EY2:EY100))</f>
        <v/>
      </c>
      <c r="EZ108" s="19">
        <f>SUM(MAX(EZ2:EZ100)-MIN(EZ2:EZ100))</f>
        <v/>
      </c>
      <c r="FA108" s="19">
        <f>SUM(MAX(FA2:FA100)-MIN(FA2:FA100))</f>
        <v/>
      </c>
      <c r="FB108" s="19">
        <f>SUM(MAX(FB2:FB100)-MIN(FB2:FB100))</f>
        <v/>
      </c>
      <c r="FC108" s="19">
        <f>SUM(MAX(FC2:FC100)-MIN(FC2:FC100))</f>
        <v/>
      </c>
      <c r="FD108" s="19">
        <f>SUM(MAX(FD2:FD100)-MIN(FD2:FD100))</f>
        <v/>
      </c>
      <c r="FE108" s="19">
        <f>SUM(MAX(FE2:FE100)-MIN(FE2:FE100))</f>
        <v/>
      </c>
      <c r="FF108" s="19">
        <f>SUM(MAX(FF2:FF100)-MIN(FF2:FF100))</f>
        <v/>
      </c>
      <c r="FG108" s="19">
        <f>SUM(MAX(FG2:FG100)-MIN(FG2:FG100))</f>
        <v/>
      </c>
      <c r="FH108" s="19">
        <f>SUM(MAX(FH2:FH100)-MIN(FH2:FH100))</f>
        <v/>
      </c>
      <c r="FI108" s="19">
        <f>SUM(MAX(FI2:FI100)-MIN(FI2:FI100))</f>
        <v/>
      </c>
      <c r="FJ108" s="19">
        <f>SUM(MAX(FJ2:FJ100)-MIN(FJ2:FJ100))</f>
        <v/>
      </c>
      <c r="FK108" s="19">
        <f>SUM(MAX(FK2:FK100)-MIN(FK2:FK100))</f>
        <v/>
      </c>
      <c r="FL108" s="19">
        <f>SUM(MAX(FL2:FL100)-MIN(FL2:FL100))</f>
        <v/>
      </c>
      <c r="FM108" s="19">
        <f>SUM(MAX(FM2:FM100)-MIN(FM2:FM100))</f>
        <v/>
      </c>
      <c r="FN108" s="19">
        <f>SUM(MAX(FN2:FN100)-MIN(FN2:FN100))</f>
        <v/>
      </c>
      <c r="FO108" s="19">
        <f>SUM(MAX(FO2:FO100)-MIN(FO2:FO100))</f>
        <v/>
      </c>
      <c r="FP108" s="19">
        <f>SUM(MAX(FP2:FP100)-MIN(FP2:FP100))</f>
        <v/>
      </c>
      <c r="FQ108" s="19">
        <f>SUM(MAX(FQ2:FQ100)-MIN(FQ2:FQ100))</f>
        <v/>
      </c>
      <c r="FR108" s="19">
        <f>SUM(MAX(FR2:FR100)-MIN(FR2:FR100))</f>
        <v/>
      </c>
      <c r="FS108" s="19">
        <f>SUM(MAX(FS2:FS100)-MIN(FS2:FS100))</f>
        <v/>
      </c>
      <c r="FT108" s="19">
        <f>SUM(MAX(FT2:FT100)-MIN(FT2:FT100))</f>
        <v/>
      </c>
      <c r="FU108" s="19">
        <f>SUM(MAX(FU2:FU100)-MIN(FU2:FU100))</f>
        <v/>
      </c>
      <c r="FV108" s="19">
        <f>SUM(MAX(FV2:FV100)-MIN(FV2:FV100))</f>
        <v/>
      </c>
      <c r="FW108" s="19">
        <f>SUM(MAX(FW2:FW100)-MIN(FW2:FW100))</f>
        <v/>
      </c>
      <c r="FX108" s="19">
        <f>SUM(MAX(FX2:FX100)-MIN(FX2:FX100))</f>
        <v/>
      </c>
      <c r="FY108" s="19">
        <f>SUM(MAX(FY2:FY100)-MIN(FY2:FY100))</f>
        <v/>
      </c>
      <c r="FZ108" s="19">
        <f>SUM(MAX(FZ2:FZ100)-MIN(FZ2:FZ100))</f>
        <v/>
      </c>
      <c r="GA108" s="19">
        <f>SUM(MAX(GA2:GA100)-MIN(GA2:GA100))</f>
        <v/>
      </c>
      <c r="GB108" s="19">
        <f>SUM(MAX(GB2:GB100)-MIN(GB2:GB100))</f>
        <v/>
      </c>
      <c r="GC108" s="19">
        <f>SUM(MAX(GC2:GC100)-MIN(GC2:GC100))</f>
        <v/>
      </c>
      <c r="GD108" s="19">
        <f>SUM(MAX(GD2:GD100)-MIN(GD2:GD100))</f>
        <v/>
      </c>
      <c r="GE108" s="19">
        <f>SUM(MAX(GE2:GE100)-MIN(GE2:GE100))</f>
        <v/>
      </c>
      <c r="GF108" s="19">
        <f>SUM(MAX(GF2:GF100)-MIN(GF2:GF100))</f>
        <v/>
      </c>
      <c r="GG108" s="19">
        <f>SUM(MAX(GG2:GG100)-MIN(GG2:GG100))</f>
        <v/>
      </c>
      <c r="GH108" s="19">
        <f>SUM(MAX(GH2:GH100)-MIN(GH2:GH100))</f>
        <v/>
      </c>
      <c r="GI108" s="19">
        <f>SUM(MAX(GI2:GI100)-MIN(GI2:GI100))</f>
        <v/>
      </c>
      <c r="GJ108" s="19">
        <f>SUM(MAX(GJ2:GJ100)-MIN(GJ2:GJ100))</f>
        <v/>
      </c>
      <c r="GK108" s="19">
        <f>SUM(MAX(GK2:GK100)-MIN(GK2:GK100))</f>
        <v/>
      </c>
      <c r="GL108" s="19">
        <f>SUM(MAX(GL2:GL100)-MIN(GL2:GL100))</f>
        <v/>
      </c>
      <c r="GM108" s="19">
        <f>SUM(MAX(GM2:GM100)-MIN(GM2:GM100))</f>
        <v/>
      </c>
      <c r="GN108" s="19">
        <f>SUM(MAX(GN2:GN100)-MIN(GN2:GN100))</f>
        <v/>
      </c>
      <c r="GO108" s="19">
        <f>SUM(MAX(GO2:GO100)-MIN(GO2:GO100))</f>
        <v/>
      </c>
      <c r="GP108" s="19">
        <f>SUM(MAX(GP2:GP100)-MIN(GP2:GP100))</f>
        <v/>
      </c>
      <c r="GQ108" s="19">
        <f>SUM(MAX(GQ2:GQ100)-MIN(GQ2:GQ100))</f>
        <v/>
      </c>
      <c r="GR108" s="19">
        <f>SUM(MAX(GR2:GR100)-MIN(GR2:GR100))</f>
        <v/>
      </c>
      <c r="GS108" s="19">
        <f>SUM(MAX(GS2:GS100)-MIN(GS2:GS100))</f>
        <v/>
      </c>
      <c r="GT108" s="19">
        <f>SUM(MAX(GT2:GT100)-MIN(GT2:GT100))</f>
        <v/>
      </c>
      <c r="GU108" s="19">
        <f>SUM(MAX(GU2:GU100)-MIN(GU2:GU100))</f>
        <v/>
      </c>
      <c r="GV108" s="19">
        <f>SUM(MAX(GV2:GV100)-MIN(GV2:GV100))</f>
        <v/>
      </c>
      <c r="GW108" s="19">
        <f>SUM(MAX(GW2:GW100)-MIN(GW2:GW100))</f>
        <v/>
      </c>
      <c r="GX108" s="19">
        <f>SUM(MAX(GX2:GX100)-MIN(GX2:GX100))</f>
        <v/>
      </c>
      <c r="GY108" s="19">
        <f>SUM(MAX(GY2:GY100)-MIN(GY2:GY100))</f>
        <v/>
      </c>
      <c r="GZ108" s="19">
        <f>SUM(MAX(GZ2:GZ100)-MIN(GZ2:GZ100))</f>
        <v/>
      </c>
      <c r="HA108" s="19">
        <f>SUM(MAX(HA2:HA100)-MIN(HA2:HA100))</f>
        <v/>
      </c>
      <c r="HB108" s="19">
        <f>SUM(MAX(HB2:HB100)-MIN(HB2:HB100))</f>
        <v/>
      </c>
      <c r="HC108" s="19">
        <f>SUM(MAX(HC2:HC100)-MIN(HC2:HC100))</f>
        <v/>
      </c>
      <c r="HD108" s="19">
        <f>SUM(MAX(HD2:HD100)-MIN(HD2:HD100))</f>
        <v/>
      </c>
      <c r="HE108" s="19">
        <f>SUM(MAX(HE2:HE100)-MIN(HE2:HE100))</f>
        <v/>
      </c>
      <c r="HF108" s="19">
        <f>SUM(MAX(HF2:HF100)-MIN(HF2:HF100))</f>
        <v/>
      </c>
      <c r="HG108" s="19">
        <f>SUM(MAX(HG2:HG100)-MIN(HG2:HG100))</f>
        <v/>
      </c>
    </row>
    <row r="109">
      <c r="A109" s="13" t="inlineStr">
        <is>
          <t>Normalize</t>
        </is>
      </c>
      <c r="B109" s="12" t="n"/>
      <c r="C109" s="12" t="n"/>
      <c r="D109" s="12" t="n"/>
      <c r="E109" s="12" t="n"/>
      <c r="F109" s="12" t="n"/>
      <c r="G109" s="12" t="n"/>
      <c r="H109" s="12" t="n"/>
      <c r="J109" s="19">
        <f>SUM(MIN(J2:J100)*-1)</f>
        <v/>
      </c>
      <c r="K109" s="19">
        <f>SUM(MIN(K2:K100)*-1)</f>
        <v/>
      </c>
      <c r="L109" s="19">
        <f>SUM(MIN(L2:L100)*-1)</f>
        <v/>
      </c>
      <c r="M109" s="19">
        <f>SUM(MIN(M2:M100)*-1)</f>
        <v/>
      </c>
      <c r="N109" s="19">
        <f>SUM(MIN(N2:N100)*-1)</f>
        <v/>
      </c>
      <c r="O109" s="19">
        <f>SUM(MIN(O2:O100)*-1)</f>
        <v/>
      </c>
      <c r="P109" s="19">
        <f>SUM(MIN(P2:P100)*-1)</f>
        <v/>
      </c>
      <c r="Q109" s="19">
        <f>SUM(MIN(Q2:Q100)*-1)</f>
        <v/>
      </c>
      <c r="R109" s="19">
        <f>SUM(MIN(R2:R100)*-1)</f>
        <v/>
      </c>
      <c r="S109" s="19">
        <f>SUM(MIN(S2:S100)*-1)</f>
        <v/>
      </c>
      <c r="T109" s="19">
        <f>SUM(MIN(T2:T100)*-1)</f>
        <v/>
      </c>
      <c r="U109" s="19">
        <f>SUM(MIN(U2:U100)*-1)</f>
        <v/>
      </c>
      <c r="V109" s="19">
        <f>SUM(MIN(V2:V100)*-1)</f>
        <v/>
      </c>
      <c r="W109" s="19">
        <f>SUM(MIN(W2:W100)*-1)</f>
        <v/>
      </c>
      <c r="X109" s="19">
        <f>SUM(MIN(X2:X100)*-1)</f>
        <v/>
      </c>
      <c r="Y109" s="19">
        <f>SUM(MIN(Y2:Y100)*-1)</f>
        <v/>
      </c>
      <c r="Z109" s="19">
        <f>SUM(MIN(Z2:Z100)*-1)</f>
        <v/>
      </c>
      <c r="AA109" s="19">
        <f>SUM(MIN(AA2:AA100)*-1)</f>
        <v/>
      </c>
      <c r="AB109" s="19">
        <f>SUM(MIN(AB2:AB100)*-1)</f>
        <v/>
      </c>
      <c r="AC109" s="19">
        <f>SUM(MIN(AC2:AC100)*-1)</f>
        <v/>
      </c>
      <c r="AD109" s="19">
        <f>SUM(MIN(AD2:AD100)*-1)</f>
        <v/>
      </c>
      <c r="AE109" s="19">
        <f>SUM(MIN(AE2:AE100)*-1)</f>
        <v/>
      </c>
      <c r="AF109" s="19">
        <f>SUM(MIN(AF2:AF100)*-1)</f>
        <v/>
      </c>
      <c r="AG109" s="19">
        <f>SUM(MIN(AG2:AG100)*-1)</f>
        <v/>
      </c>
      <c r="AH109" s="19">
        <f>SUM(MIN(AH2:AH100)*-1)</f>
        <v/>
      </c>
      <c r="AI109" s="19">
        <f>SUM(MIN(AI2:AI100)*-1)</f>
        <v/>
      </c>
      <c r="AJ109" s="19">
        <f>SUM(MIN(AJ2:AJ100)*-1)</f>
        <v/>
      </c>
      <c r="AK109" s="19">
        <f>SUM(MIN(AK2:AK100)*-1)</f>
        <v/>
      </c>
      <c r="AL109" s="19">
        <f>SUM(MIN(AL2:AL100)*-1)</f>
        <v/>
      </c>
      <c r="AM109" s="19">
        <f>SUM(MIN(AM2:AM100)*-1)</f>
        <v/>
      </c>
      <c r="AN109" s="19">
        <f>SUM(MIN(AN2:AN100)*-1)</f>
        <v/>
      </c>
      <c r="AO109" s="19">
        <f>SUM(MIN(AO2:AO100)*-1)</f>
        <v/>
      </c>
      <c r="AP109" s="19">
        <f>SUM(MIN(AP2:AP100)*-1)</f>
        <v/>
      </c>
      <c r="AQ109" s="19">
        <f>SUM(MIN(AQ2:AQ100)*-1)</f>
        <v/>
      </c>
      <c r="AR109" s="19">
        <f>SUM(MIN(AR2:AR100)*-1)</f>
        <v/>
      </c>
      <c r="AS109" s="19">
        <f>SUM(MIN(AS2:AS100)*-1)</f>
        <v/>
      </c>
      <c r="AT109" s="19">
        <f>SUM(MIN(AT2:AT100)*-1)</f>
        <v/>
      </c>
      <c r="AU109" s="19">
        <f>SUM(MIN(AU2:AU100)*-1)</f>
        <v/>
      </c>
      <c r="AV109" s="19">
        <f>SUM(MIN(AV2:AV100)*-1)</f>
        <v/>
      </c>
      <c r="AW109" s="19">
        <f>SUM(MIN(AW2:AW100)*-1)</f>
        <v/>
      </c>
      <c r="AX109" s="19">
        <f>SUM(MIN(AX2:AX100)*-1)</f>
        <v/>
      </c>
      <c r="AY109" s="19">
        <f>SUM(MIN(AY2:AY100)*-1)</f>
        <v/>
      </c>
      <c r="AZ109" s="19">
        <f>SUM(MIN(AZ2:AZ100)*-1)</f>
        <v/>
      </c>
      <c r="BA109" s="19">
        <f>SUM(MIN(BA2:BA100)*-1)</f>
        <v/>
      </c>
      <c r="BB109" s="19">
        <f>SUM(MIN(BB2:BB100)*-1)</f>
        <v/>
      </c>
      <c r="BC109" s="19">
        <f>SUM(MIN(BC2:BC100)*-1)</f>
        <v/>
      </c>
      <c r="BD109" s="19">
        <f>SUM(MIN(BD2:BD100)*-1)</f>
        <v/>
      </c>
      <c r="BE109" s="19">
        <f>SUM(MIN(BE2:BE100)*-1)</f>
        <v/>
      </c>
      <c r="BF109" s="19">
        <f>SUM(MIN(BF2:BF100)*-1)</f>
        <v/>
      </c>
      <c r="BG109" s="19">
        <f>SUM(MIN(BG2:BG100)*-1)</f>
        <v/>
      </c>
      <c r="BH109" s="19">
        <f>SUM(MIN(BH2:BH100)*-1)</f>
        <v/>
      </c>
      <c r="BI109" s="19">
        <f>SUM(MIN(BI2:BI100)*-1)</f>
        <v/>
      </c>
      <c r="BJ109" s="19">
        <f>SUM(MIN(BJ2:BJ100)*-1)</f>
        <v/>
      </c>
      <c r="BK109" s="19">
        <f>SUM(MIN(BK2:BK100)*-1)</f>
        <v/>
      </c>
      <c r="BL109" s="19">
        <f>SUM(MIN(BL2:BL100)*-1)</f>
        <v/>
      </c>
      <c r="BM109" s="19">
        <f>SUM(MIN(BM2:BM100)*-1)</f>
        <v/>
      </c>
      <c r="BN109" s="19">
        <f>SUM(MIN(BN2:BN100)*-1)</f>
        <v/>
      </c>
      <c r="BO109" s="19">
        <f>SUM(MIN(BO2:BO100)*-1)</f>
        <v/>
      </c>
      <c r="BP109" s="19">
        <f>SUM(MIN(BP2:BP100)*-1)</f>
        <v/>
      </c>
      <c r="BQ109" s="19">
        <f>SUM(MIN(BQ2:BQ100)*-1)</f>
        <v/>
      </c>
      <c r="BR109" s="19">
        <f>SUM(MIN(BR2:BR100)*-1)</f>
        <v/>
      </c>
      <c r="BS109" s="19">
        <f>SUM(MIN(BS2:BS100)*-1)</f>
        <v/>
      </c>
      <c r="BT109" s="19">
        <f>SUM(MIN(BT2:BT100)*-1)</f>
        <v/>
      </c>
      <c r="BU109" s="19">
        <f>SUM(MIN(BU2:BU100)*-1)</f>
        <v/>
      </c>
      <c r="BV109" s="19">
        <f>SUM(MIN(BV2:BV100)*-1)</f>
        <v/>
      </c>
      <c r="BW109" s="19">
        <f>SUM(MIN(BW2:BW100)*-1)</f>
        <v/>
      </c>
      <c r="BX109" s="19">
        <f>SUM(MIN(BX2:BX100)*-1)</f>
        <v/>
      </c>
      <c r="BY109" s="19">
        <f>SUM(MIN(BY2:BY100)*-1)</f>
        <v/>
      </c>
      <c r="BZ109" s="19">
        <f>SUM(MIN(BZ2:BZ100)*-1)</f>
        <v/>
      </c>
      <c r="CA109" s="19">
        <f>SUM(MIN(CA2:CA100)*-1)</f>
        <v/>
      </c>
      <c r="CB109" s="19">
        <f>SUM(MIN(CB2:CB100)*-1)</f>
        <v/>
      </c>
      <c r="CC109" s="19">
        <f>SUM(MIN(CC2:CC100)*-1)</f>
        <v/>
      </c>
      <c r="CD109" s="19">
        <f>SUM(MIN(CD2:CD100)*-1)</f>
        <v/>
      </c>
      <c r="CE109" s="19">
        <f>SUM(MIN(CE2:CE100)*-1)</f>
        <v/>
      </c>
      <c r="CF109" s="19">
        <f>SUM(MIN(CF2:CF100)*-1)</f>
        <v/>
      </c>
      <c r="CG109" s="19">
        <f>SUM(MIN(CG2:CG100)*-1)</f>
        <v/>
      </c>
      <c r="CH109" s="19">
        <f>SUM(MIN(CH2:CH100)*-1)</f>
        <v/>
      </c>
      <c r="CI109" s="19">
        <f>SUM(MIN(CI2:CI100)*-1)</f>
        <v/>
      </c>
      <c r="CJ109" s="19">
        <f>SUM(MIN(CJ2:CJ100)*-1)</f>
        <v/>
      </c>
      <c r="CK109" s="19">
        <f>SUM(MIN(CK2:CK100)*-1)</f>
        <v/>
      </c>
      <c r="CL109" s="19">
        <f>SUM(MIN(CL2:CL100)*-1)</f>
        <v/>
      </c>
      <c r="CM109" s="19">
        <f>SUM(MIN(CM2:CM100)*-1)</f>
        <v/>
      </c>
      <c r="CN109" s="19">
        <f>SUM(MIN(CN2:CN100)*-1)</f>
        <v/>
      </c>
      <c r="CO109" s="19">
        <f>SUM(MIN(CO2:CO100)*-1)</f>
        <v/>
      </c>
      <c r="CP109" s="19">
        <f>SUM(MIN(CP2:CP100)*-1)</f>
        <v/>
      </c>
      <c r="CQ109" s="19">
        <f>SUM(MIN(CQ2:CQ100)*-1)</f>
        <v/>
      </c>
      <c r="CR109" s="19">
        <f>SUM(MIN(CR2:CR100)*-1)</f>
        <v/>
      </c>
      <c r="CS109" s="19">
        <f>SUM(MIN(CS2:CS100)*-1)</f>
        <v/>
      </c>
      <c r="CT109" s="19">
        <f>SUM(MIN(CT2:CT100)*-1)</f>
        <v/>
      </c>
      <c r="CU109" s="19">
        <f>SUM(MIN(CU2:CU100)*-1)</f>
        <v/>
      </c>
      <c r="CV109" s="19">
        <f>SUM(MIN(CV2:CV100)*-1)</f>
        <v/>
      </c>
      <c r="CW109" s="19">
        <f>SUM(MIN(CW2:CW100)*-1)</f>
        <v/>
      </c>
      <c r="CX109" s="19">
        <f>SUM(MIN(CX2:CX100)*-1)</f>
        <v/>
      </c>
      <c r="CY109" s="19">
        <f>SUM(MIN(CY2:CY100)*-1)</f>
        <v/>
      </c>
      <c r="CZ109" s="19">
        <f>SUM(MIN(CZ2:CZ100)*-1)</f>
        <v/>
      </c>
      <c r="DA109" s="19">
        <f>SUM(MIN(DA2:DA100)*-1)</f>
        <v/>
      </c>
      <c r="DB109" s="19">
        <f>SUM(MIN(DB2:DB100)*-1)</f>
        <v/>
      </c>
      <c r="DC109" s="19">
        <f>SUM(MIN(DC2:DC100)*-1)</f>
        <v/>
      </c>
      <c r="DD109" s="19">
        <f>SUM(MIN(DD2:DD100)*-1)</f>
        <v/>
      </c>
      <c r="DE109" s="19">
        <f>SUM(MIN(DE2:DE100)*-1)</f>
        <v/>
      </c>
      <c r="DF109" s="19">
        <f>SUM(MIN(DF2:DF100)*-1)</f>
        <v/>
      </c>
      <c r="DG109" s="19">
        <f>SUM(MIN(DG2:DG100)*-1)</f>
        <v/>
      </c>
      <c r="DH109" s="19">
        <f>SUM(MIN(DH2:DH100)*-1)</f>
        <v/>
      </c>
      <c r="DI109" s="19">
        <f>SUM(MIN(DI2:DI100)*-1)</f>
        <v/>
      </c>
      <c r="DJ109" s="19">
        <f>SUM(MIN(DJ2:DJ100)*-1)</f>
        <v/>
      </c>
      <c r="DK109" s="19">
        <f>SUM(MIN(DK2:DK100)*-1)</f>
        <v/>
      </c>
      <c r="DL109" s="19">
        <f>SUM(MIN(DL2:DL100)*-1)</f>
        <v/>
      </c>
      <c r="DM109" s="19">
        <f>SUM(MIN(DM2:DM100)*-1)</f>
        <v/>
      </c>
      <c r="DN109" s="19">
        <f>SUM(MIN(DN2:DN100)*-1)</f>
        <v/>
      </c>
      <c r="DO109" s="19">
        <f>SUM(MIN(DO2:DO100)*-1)</f>
        <v/>
      </c>
      <c r="DP109" s="19">
        <f>SUM(MIN(DP2:DP100)*-1)</f>
        <v/>
      </c>
      <c r="DQ109" s="19">
        <f>SUM(MIN(DQ2:DQ100)*-1)</f>
        <v/>
      </c>
      <c r="DR109" s="19">
        <f>SUM(MIN(DR2:DR100)*-1)</f>
        <v/>
      </c>
      <c r="DS109" s="19">
        <f>SUM(MIN(DS2:DS100)*-1)</f>
        <v/>
      </c>
      <c r="DT109" s="19">
        <f>SUM(MIN(DT2:DT100)*-1)</f>
        <v/>
      </c>
      <c r="DU109" s="19">
        <f>SUM(MIN(DU2:DU100)*-1)</f>
        <v/>
      </c>
      <c r="DV109" s="19">
        <f>SUM(MIN(DV2:DV100)*-1)</f>
        <v/>
      </c>
      <c r="DW109" s="19">
        <f>SUM(MIN(DW2:DW100)*-1)</f>
        <v/>
      </c>
      <c r="DX109" s="19">
        <f>SUM(MIN(DX2:DX100)*-1)</f>
        <v/>
      </c>
      <c r="DY109" s="19">
        <f>SUM(MIN(DY2:DY100)*-1)</f>
        <v/>
      </c>
      <c r="DZ109" s="19">
        <f>SUM(MIN(DZ2:DZ100)*-1)</f>
        <v/>
      </c>
      <c r="EA109" s="19">
        <f>SUM(MIN(EA2:EA100)*-1)</f>
        <v/>
      </c>
      <c r="EB109" s="19">
        <f>SUM(MIN(EB2:EB100)*-1)</f>
        <v/>
      </c>
      <c r="EC109" s="19">
        <f>SUM(MIN(EC2:EC100)*-1)</f>
        <v/>
      </c>
      <c r="ED109" s="19">
        <f>SUM(MIN(ED2:ED100)*-1)</f>
        <v/>
      </c>
      <c r="EE109" s="19">
        <f>SUM(MIN(EE2:EE100)*-1)</f>
        <v/>
      </c>
      <c r="EF109" s="19">
        <f>SUM(MIN(EF2:EF100)*-1)</f>
        <v/>
      </c>
      <c r="EG109" s="19">
        <f>SUM(MIN(EG2:EG100)*-1)</f>
        <v/>
      </c>
      <c r="EH109" s="19">
        <f>SUM(MIN(EH2:EH100)*-1)</f>
        <v/>
      </c>
      <c r="EI109" s="19">
        <f>SUM(MIN(EI2:EI100)*-1)</f>
        <v/>
      </c>
      <c r="EJ109" s="19">
        <f>SUM(MIN(EJ2:EJ100)*-1)</f>
        <v/>
      </c>
      <c r="EK109" s="19">
        <f>SUM(MIN(EK2:EK100)*-1)</f>
        <v/>
      </c>
      <c r="EL109" s="19">
        <f>SUM(MIN(EL2:EL100)*-1)</f>
        <v/>
      </c>
      <c r="EM109" s="19">
        <f>SUM(MIN(EM2:EM100)*-1)</f>
        <v/>
      </c>
      <c r="EN109" s="19">
        <f>SUM(MIN(EN2:EN100)*-1)</f>
        <v/>
      </c>
      <c r="EO109" s="19">
        <f>SUM(MIN(EO2:EO100)*-1)</f>
        <v/>
      </c>
      <c r="EP109" s="19">
        <f>SUM(MIN(EP2:EP100)*-1)</f>
        <v/>
      </c>
      <c r="EQ109" s="19">
        <f>SUM(MIN(EQ2:EQ100)*-1)</f>
        <v/>
      </c>
      <c r="ER109" s="19">
        <f>SUM(MIN(ER2:ER100)*-1)</f>
        <v/>
      </c>
      <c r="ES109" s="19">
        <f>SUM(MIN(ES2:ES100)*-1)</f>
        <v/>
      </c>
      <c r="ET109" s="19">
        <f>SUM(MIN(ET2:ET100)*-1)</f>
        <v/>
      </c>
      <c r="EU109" s="19">
        <f>SUM(MIN(EU2:EU100)*-1)</f>
        <v/>
      </c>
      <c r="EV109" s="19">
        <f>SUM(MIN(EV2:EV100)*-1)</f>
        <v/>
      </c>
      <c r="EW109" s="19">
        <f>SUM(MIN(EW2:EW100)*-1)</f>
        <v/>
      </c>
      <c r="EX109" s="19">
        <f>SUM(MIN(EX2:EX100)*-1)</f>
        <v/>
      </c>
      <c r="EY109" s="19">
        <f>SUM(MIN(EY2:EY100)*-1)</f>
        <v/>
      </c>
      <c r="EZ109" s="19">
        <f>SUM(MIN(EZ2:EZ100)*-1)</f>
        <v/>
      </c>
      <c r="FA109" s="19">
        <f>SUM(MIN(FA2:FA100)*-1)</f>
        <v/>
      </c>
      <c r="FB109" s="19">
        <f>SUM(MIN(FB2:FB100)*-1)</f>
        <v/>
      </c>
      <c r="FC109" s="19">
        <f>SUM(MIN(FC2:FC100)*-1)</f>
        <v/>
      </c>
      <c r="FD109" s="19">
        <f>SUM(MIN(FD2:FD100)*-1)</f>
        <v/>
      </c>
      <c r="FE109" s="19">
        <f>SUM(MIN(FE2:FE100)*-1)</f>
        <v/>
      </c>
      <c r="FF109" s="19">
        <f>SUM(MIN(FF2:FF100)*-1)</f>
        <v/>
      </c>
      <c r="FG109" s="19">
        <f>SUM(MIN(FG2:FG100)*-1)</f>
        <v/>
      </c>
      <c r="FH109" s="19">
        <f>SUM(MIN(FH2:FH100)*-1)</f>
        <v/>
      </c>
      <c r="FI109" s="19">
        <f>SUM(MIN(FI2:FI100)*-1)</f>
        <v/>
      </c>
      <c r="FJ109" s="19">
        <f>SUM(MIN(FJ2:FJ100)*-1)</f>
        <v/>
      </c>
      <c r="FK109" s="19">
        <f>SUM(MIN(FK2:FK100)*-1)</f>
        <v/>
      </c>
      <c r="FL109" s="19">
        <f>SUM(MIN(FL2:FL100)*-1)</f>
        <v/>
      </c>
      <c r="FM109" s="19">
        <f>SUM(MIN(FM2:FM100)*-1)</f>
        <v/>
      </c>
      <c r="FN109" s="19">
        <f>SUM(MIN(FN2:FN100)*-1)</f>
        <v/>
      </c>
      <c r="FO109" s="19">
        <f>SUM(MIN(FO2:FO100)*-1)</f>
        <v/>
      </c>
      <c r="FP109" s="19">
        <f>SUM(MIN(FP2:FP100)*-1)</f>
        <v/>
      </c>
      <c r="FQ109" s="19">
        <f>SUM(MIN(FQ2:FQ100)*-1)</f>
        <v/>
      </c>
      <c r="FR109" s="19">
        <f>SUM(MIN(FR2:FR100)*-1)</f>
        <v/>
      </c>
      <c r="FS109" s="19">
        <f>SUM(MIN(FS2:FS100)*-1)</f>
        <v/>
      </c>
      <c r="FT109" s="19">
        <f>SUM(MIN(FT2:FT100)*-1)</f>
        <v/>
      </c>
      <c r="FU109" s="19">
        <f>SUM(MIN(FU2:FU100)*-1)</f>
        <v/>
      </c>
      <c r="FV109" s="19">
        <f>SUM(MIN(FV2:FV100)*-1)</f>
        <v/>
      </c>
      <c r="FW109" s="19">
        <f>SUM(MIN(FW2:FW100)*-1)</f>
        <v/>
      </c>
      <c r="FX109" s="19">
        <f>SUM(MIN(FX2:FX100)*-1)</f>
        <v/>
      </c>
      <c r="FY109" s="19">
        <f>SUM(MIN(FY2:FY100)*-1)</f>
        <v/>
      </c>
      <c r="FZ109" s="19">
        <f>SUM(MIN(FZ2:FZ100)*-1)</f>
        <v/>
      </c>
      <c r="GA109" s="19">
        <f>SUM(MIN(GA2:GA100)*-1)</f>
        <v/>
      </c>
      <c r="GB109" s="19">
        <f>SUM(MIN(GB2:GB100)*-1)</f>
        <v/>
      </c>
      <c r="GC109" s="19">
        <f>SUM(MIN(GC2:GC100)*-1)</f>
        <v/>
      </c>
      <c r="GD109" s="19">
        <f>SUM(MIN(GD2:GD100)*-1)</f>
        <v/>
      </c>
      <c r="GE109" s="19">
        <f>SUM(MIN(GE2:GE100)*-1)</f>
        <v/>
      </c>
      <c r="GF109" s="19">
        <f>SUM(MIN(GF2:GF100)*-1)</f>
        <v/>
      </c>
      <c r="GG109" s="19">
        <f>SUM(MIN(GG2:GG100)*-1)</f>
        <v/>
      </c>
      <c r="GH109" s="19">
        <f>SUM(MIN(GH2:GH100)*-1)</f>
        <v/>
      </c>
      <c r="GI109" s="19">
        <f>SUM(MIN(GI2:GI100)*-1)</f>
        <v/>
      </c>
      <c r="GJ109" s="19">
        <f>SUM(MIN(GJ2:GJ100)*-1)</f>
        <v/>
      </c>
      <c r="GK109" s="19">
        <f>SUM(MIN(GK2:GK100)*-1)</f>
        <v/>
      </c>
      <c r="GL109" s="19">
        <f>SUM(MIN(GL2:GL100)*-1)</f>
        <v/>
      </c>
      <c r="GM109" s="19">
        <f>SUM(MIN(GM2:GM100)*-1)</f>
        <v/>
      </c>
      <c r="GN109" s="19">
        <f>SUM(MIN(GN2:GN100)*-1)</f>
        <v/>
      </c>
      <c r="GO109" s="19">
        <f>SUM(MIN(GO2:GO100)*-1)</f>
        <v/>
      </c>
      <c r="GP109" s="19">
        <f>SUM(MIN(GP2:GP100)*-1)</f>
        <v/>
      </c>
      <c r="GQ109" s="19">
        <f>SUM(MIN(GQ2:GQ100)*-1)</f>
        <v/>
      </c>
      <c r="GR109" s="19">
        <f>SUM(MIN(GR2:GR100)*-1)</f>
        <v/>
      </c>
      <c r="GS109" s="19">
        <f>SUM(MIN(GS2:GS100)*-1)</f>
        <v/>
      </c>
      <c r="GT109" s="19">
        <f>SUM(MIN(GT2:GT100)*-1)</f>
        <v/>
      </c>
      <c r="GU109" s="19">
        <f>SUM(MIN(GU2:GU100)*-1)</f>
        <v/>
      </c>
      <c r="GV109" s="19">
        <f>SUM(MIN(GV2:GV100)*-1)</f>
        <v/>
      </c>
      <c r="GW109" s="19">
        <f>SUM(MIN(GW2:GW100)*-1)</f>
        <v/>
      </c>
      <c r="GX109" s="19">
        <f>SUM(MIN(GX2:GX100)*-1)</f>
        <v/>
      </c>
      <c r="GY109" s="19">
        <f>SUM(MIN(GY2:GY100)*-1)</f>
        <v/>
      </c>
      <c r="GZ109" s="19">
        <f>SUM(MIN(GZ2:GZ100)*-1)</f>
        <v/>
      </c>
      <c r="HA109" s="19">
        <f>SUM(MIN(HA2:HA100)*-1)</f>
        <v/>
      </c>
      <c r="HB109" s="19">
        <f>SUM(MIN(HB2:HB100)*-1)</f>
        <v/>
      </c>
      <c r="HC109" s="19">
        <f>SUM(MIN(HC2:HC100)*-1)</f>
        <v/>
      </c>
      <c r="HD109" s="19">
        <f>SUM(MIN(HD2:HD100)*-1)</f>
        <v/>
      </c>
      <c r="HE109" s="19">
        <f>SUM(MIN(HE2:HE100)*-1)</f>
        <v/>
      </c>
      <c r="HF109" s="19">
        <f>SUM(MIN(HF2:HF100)*-1)</f>
        <v/>
      </c>
      <c r="HG109" s="19">
        <f>SUM(MIN(HG2:HG100)*-1)</f>
        <v/>
      </c>
    </row>
    <row r="110">
      <c r="A110" s="19" t="n"/>
      <c r="B110" s="12" t="n"/>
      <c r="C110" s="12" t="n"/>
      <c r="D110" s="12" t="n"/>
      <c r="E110" s="12" t="n"/>
      <c r="F110" s="12" t="n"/>
      <c r="G110" s="12" t="n"/>
      <c r="H110" s="12" t="n"/>
    </row>
    <row r="111">
      <c r="A111" s="19" t="n"/>
      <c r="B111" s="12" t="n"/>
      <c r="C111" s="12" t="n"/>
      <c r="D111" s="12" t="n"/>
      <c r="E111" s="12" t="n"/>
      <c r="F111" s="12" t="n"/>
      <c r="G111" s="12" t="n"/>
      <c r="H111" s="12" t="n"/>
    </row>
    <row r="112">
      <c r="A112" s="19" t="n"/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19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9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9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9" t="n"/>
      <c r="B116" s="12" t="n"/>
      <c r="C116" s="12" t="n"/>
      <c r="D116" s="12" t="n"/>
      <c r="E116" s="12" t="n"/>
      <c r="F116" s="12" t="n"/>
      <c r="G116" s="12" t="n"/>
      <c r="H116" s="12" t="n"/>
    </row>
    <row r="117">
      <c r="A117" s="19" t="n"/>
      <c r="B117" s="12" t="n"/>
      <c r="C117" s="12" t="n"/>
      <c r="D117" s="12" t="n"/>
      <c r="E117" s="12" t="n"/>
      <c r="F117" s="12" t="n"/>
      <c r="G117" s="12" t="n"/>
      <c r="H117" s="12" t="n"/>
    </row>
    <row r="118">
      <c r="A118" s="19" t="n"/>
      <c r="B118" s="12" t="n"/>
      <c r="C118" s="12" t="n"/>
      <c r="D118" s="12" t="n"/>
      <c r="E118" s="12" t="n"/>
      <c r="F118" s="12" t="n"/>
      <c r="G118" s="12" t="n"/>
      <c r="H118" s="12" t="n"/>
    </row>
    <row r="119">
      <c r="A119" s="19" t="n"/>
      <c r="B119" s="12" t="n"/>
      <c r="C119" s="12" t="n"/>
      <c r="D119" s="12" t="n"/>
      <c r="E119" s="12" t="n"/>
      <c r="F119" s="12" t="n"/>
      <c r="G119" s="12" t="n"/>
      <c r="H119" s="12" t="n"/>
    </row>
    <row r="120">
      <c r="A120" s="19" t="n"/>
      <c r="B120" s="12" t="n"/>
      <c r="C120" s="12" t="n"/>
      <c r="D120" s="12" t="n"/>
      <c r="E120" s="12" t="n"/>
      <c r="F120" s="12" t="n"/>
      <c r="G120" s="12" t="n"/>
      <c r="H120" s="12" t="n"/>
    </row>
    <row r="121">
      <c r="A121" s="19" t="n"/>
      <c r="B121" s="12" t="n"/>
      <c r="C121" s="12" t="n"/>
      <c r="D121" s="12" t="n"/>
      <c r="E121" s="12" t="n"/>
      <c r="F121" s="12" t="n"/>
      <c r="G121" s="12" t="n"/>
      <c r="H121" s="12" t="n"/>
    </row>
    <row r="122">
      <c r="A122" s="19" t="n"/>
      <c r="B122" s="12" t="n"/>
      <c r="C122" s="12" t="n"/>
      <c r="D122" s="12" t="n"/>
      <c r="E122" s="12" t="n"/>
      <c r="F122" s="12" t="n"/>
      <c r="G122" s="12" t="n"/>
      <c r="H122" s="12" t="n"/>
    </row>
    <row r="123">
      <c r="A123" s="19" t="n"/>
      <c r="B123" s="12" t="n"/>
      <c r="C123" s="12" t="n"/>
      <c r="D123" s="12" t="n"/>
      <c r="E123" s="12" t="n"/>
      <c r="F123" s="12" t="n"/>
      <c r="G123" s="12" t="n"/>
      <c r="H123" s="12" t="n"/>
    </row>
    <row r="124">
      <c r="A124" s="19" t="n"/>
      <c r="B124" s="12" t="n"/>
      <c r="C124" s="12" t="n"/>
      <c r="D124" s="12" t="n"/>
      <c r="E124" s="12" t="n"/>
      <c r="F124" s="12" t="n"/>
      <c r="G124" s="12" t="n"/>
      <c r="H124" s="12" t="n"/>
    </row>
    <row r="125">
      <c r="A125" s="19" t="n"/>
      <c r="B125" s="12" t="n"/>
      <c r="C125" s="12" t="n"/>
      <c r="D125" s="12" t="n"/>
      <c r="E125" s="12" t="n"/>
      <c r="F125" s="12" t="n"/>
      <c r="G125" s="12" t="n"/>
      <c r="H125" s="12" t="n"/>
    </row>
    <row r="126">
      <c r="A126" s="19" t="n"/>
      <c r="B126" s="12" t="n"/>
      <c r="C126" s="12" t="n"/>
      <c r="D126" s="12" t="n"/>
      <c r="E126" s="12" t="n"/>
      <c r="F126" s="12" t="n"/>
      <c r="G126" s="12" t="n"/>
      <c r="H126" s="12" t="n"/>
    </row>
    <row r="127">
      <c r="A127" s="19" t="n"/>
      <c r="B127" s="12" t="n"/>
      <c r="C127" s="12" t="n"/>
      <c r="D127" s="12" t="n"/>
      <c r="E127" s="12" t="n"/>
      <c r="F127" s="12" t="n"/>
      <c r="G127" s="12" t="n"/>
      <c r="H127" s="12" t="n"/>
    </row>
    <row r="128">
      <c r="A128" s="19" t="n"/>
      <c r="B128" s="12" t="n"/>
      <c r="C128" s="12" t="n"/>
      <c r="D128" s="12" t="n"/>
      <c r="E128" s="12" t="n"/>
      <c r="F128" s="12" t="n"/>
      <c r="G128" s="12" t="n"/>
      <c r="H128" s="12" t="n"/>
    </row>
    <row r="129">
      <c r="A129" s="19" t="n"/>
      <c r="B129" s="12" t="n"/>
      <c r="C129" s="12" t="n"/>
      <c r="D129" s="12" t="n"/>
      <c r="E129" s="12" t="n"/>
      <c r="F129" s="12" t="n"/>
      <c r="G129" s="12" t="n"/>
      <c r="H129" s="12" t="n"/>
    </row>
    <row r="130">
      <c r="A130" s="19" t="n"/>
      <c r="B130" s="12" t="n"/>
      <c r="C130" s="12" t="n"/>
      <c r="D130" s="12" t="n"/>
      <c r="E130" s="12" t="n"/>
      <c r="F130" s="12" t="n"/>
      <c r="G130" s="12" t="n"/>
      <c r="H130" s="12" t="n"/>
    </row>
    <row r="131">
      <c r="A131" s="19" t="n"/>
      <c r="B131" s="12" t="n"/>
      <c r="C131" s="12" t="n"/>
      <c r="D131" s="12" t="n"/>
      <c r="E131" s="12" t="n"/>
      <c r="F131" s="12" t="n"/>
      <c r="G131" s="12" t="n"/>
      <c r="H131" s="12" t="n"/>
    </row>
    <row r="132">
      <c r="A132" s="19" t="n"/>
      <c r="B132" s="12" t="n"/>
      <c r="C132" s="12" t="n"/>
      <c r="D132" s="12" t="n"/>
      <c r="E132" s="12" t="n"/>
      <c r="F132" s="12" t="n"/>
      <c r="G132" s="12" t="n"/>
      <c r="H132" s="12" t="n"/>
    </row>
    <row r="133">
      <c r="A133" s="19" t="n"/>
      <c r="B133" s="12" t="n"/>
      <c r="C133" s="12" t="n"/>
      <c r="D133" s="12" t="n"/>
      <c r="E133" s="12" t="n"/>
      <c r="F133" s="12" t="n"/>
      <c r="G133" s="12" t="n"/>
      <c r="H133" s="12" t="n"/>
    </row>
    <row r="134">
      <c r="A134" s="19" t="n"/>
      <c r="B134" s="12" t="n"/>
      <c r="C134" s="12" t="n"/>
      <c r="D134" s="12" t="n"/>
      <c r="E134" s="12" t="n"/>
      <c r="F134" s="12" t="n"/>
      <c r="G134" s="12" t="n"/>
      <c r="H134" s="12" t="n"/>
    </row>
    <row r="135">
      <c r="A135" s="19" t="n"/>
      <c r="B135" s="12" t="n"/>
      <c r="C135" s="12" t="n"/>
      <c r="D135" s="12" t="n"/>
      <c r="E135" s="12" t="n"/>
      <c r="F135" s="12" t="n"/>
      <c r="G135" s="12" t="n"/>
      <c r="H135" s="12" t="n"/>
    </row>
    <row r="136">
      <c r="A136" s="19" t="n"/>
      <c r="B136" s="12" t="n"/>
      <c r="C136" s="12" t="n"/>
      <c r="D136" s="12" t="n"/>
      <c r="E136" s="12" t="n"/>
      <c r="F136" s="12" t="n"/>
      <c r="G136" s="12" t="n"/>
      <c r="H136" s="12" t="n"/>
    </row>
    <row r="137">
      <c r="A137" s="19" t="n"/>
      <c r="B137" s="12" t="n"/>
      <c r="C137" s="12" t="n"/>
      <c r="D137" s="12" t="n"/>
      <c r="E137" s="12" t="n"/>
      <c r="F137" s="12" t="n"/>
      <c r="G137" s="12" t="n"/>
      <c r="H137" s="12" t="n"/>
    </row>
    <row r="138">
      <c r="A138" s="19" t="n"/>
      <c r="B138" s="12" t="n"/>
      <c r="C138" s="12" t="n"/>
      <c r="D138" s="12" t="n"/>
      <c r="E138" s="12" t="n"/>
      <c r="F138" s="12" t="n"/>
      <c r="G138" s="12" t="n"/>
      <c r="H138" s="12" t="n"/>
    </row>
    <row r="139">
      <c r="A139" s="19" t="n"/>
      <c r="B139" s="12" t="n"/>
      <c r="C139" s="12" t="n"/>
      <c r="D139" s="12" t="n"/>
      <c r="E139" s="12" t="n"/>
      <c r="F139" s="12" t="n"/>
      <c r="G139" s="12" t="n"/>
      <c r="H139" s="12" t="n"/>
    </row>
    <row r="140">
      <c r="A140" s="19" t="n"/>
      <c r="B140" s="12" t="n"/>
      <c r="C140" s="12" t="n"/>
      <c r="D140" s="12" t="n"/>
      <c r="E140" s="12" t="n"/>
      <c r="F140" s="12" t="n"/>
      <c r="G140" s="12" t="n"/>
      <c r="H140" s="12" t="n"/>
    </row>
    <row r="141">
      <c r="A141" s="19" t="n"/>
      <c r="B141" s="12" t="n"/>
      <c r="C141" s="12" t="n"/>
      <c r="D141" s="12" t="n"/>
      <c r="E141" s="12" t="n"/>
      <c r="F141" s="12" t="n"/>
      <c r="G141" s="12" t="n"/>
      <c r="H141" s="12" t="n"/>
    </row>
    <row r="142">
      <c r="A142" s="19" t="n"/>
      <c r="B142" s="12" t="n"/>
      <c r="C142" s="12" t="n"/>
      <c r="D142" s="12" t="n"/>
      <c r="E142" s="12" t="n"/>
      <c r="F142" s="12" t="n"/>
      <c r="G142" s="12" t="n"/>
      <c r="H142" s="12" t="n"/>
    </row>
    <row r="143">
      <c r="A143" s="19" t="n"/>
      <c r="B143" s="12" t="n"/>
      <c r="C143" s="12" t="n"/>
      <c r="D143" s="12" t="n"/>
      <c r="E143" s="12" t="n"/>
      <c r="F143" s="12" t="n"/>
      <c r="G143" s="12" t="n"/>
      <c r="H143" s="12" t="n"/>
    </row>
    <row r="144">
      <c r="A144" s="19" t="n"/>
      <c r="B144" s="12" t="n"/>
      <c r="C144" s="12" t="n"/>
      <c r="D144" s="12" t="n"/>
      <c r="E144" s="12" t="n"/>
      <c r="F144" s="12" t="n"/>
      <c r="G144" s="12" t="n"/>
      <c r="H144" s="12" t="n"/>
    </row>
    <row r="145">
      <c r="A145" s="19" t="n"/>
      <c r="B145" s="12" t="n"/>
      <c r="C145" s="12" t="n"/>
      <c r="D145" s="12" t="n"/>
      <c r="E145" s="12" t="n"/>
      <c r="F145" s="12" t="n"/>
      <c r="G145" s="12" t="n"/>
      <c r="H145" s="12" t="n"/>
    </row>
    <row r="146">
      <c r="A146" s="19" t="n"/>
      <c r="B146" s="12" t="n"/>
      <c r="C146" s="12" t="n"/>
      <c r="D146" s="12" t="n"/>
      <c r="E146" s="12" t="n"/>
      <c r="F146" s="12" t="n"/>
      <c r="G146" s="12" t="n"/>
      <c r="H146" s="12" t="n"/>
    </row>
    <row r="147">
      <c r="A147" s="19" t="n"/>
      <c r="B147" s="12" t="n"/>
      <c r="C147" s="12" t="n"/>
      <c r="D147" s="12" t="n"/>
      <c r="E147" s="12" t="n"/>
      <c r="F147" s="12" t="n"/>
      <c r="G147" s="12" t="n"/>
      <c r="H147" s="12" t="n"/>
    </row>
    <row r="148">
      <c r="A148" s="19" t="n"/>
      <c r="B148" s="12" t="n"/>
      <c r="C148" s="12" t="n"/>
      <c r="D148" s="12" t="n"/>
      <c r="E148" s="12" t="n"/>
      <c r="F148" s="12" t="n"/>
      <c r="G148" s="12" t="n"/>
      <c r="H148" s="12" t="n"/>
    </row>
    <row r="149">
      <c r="A149" s="19" t="n"/>
      <c r="B149" s="12" t="n"/>
      <c r="C149" s="12" t="n"/>
      <c r="D149" s="12" t="n"/>
      <c r="E149" s="12" t="n"/>
      <c r="F149" s="12" t="n"/>
      <c r="G149" s="12" t="n"/>
      <c r="H149" s="12" t="n"/>
    </row>
    <row r="150">
      <c r="A150" s="19" t="n"/>
      <c r="B150" s="12" t="n"/>
      <c r="C150" s="12" t="n"/>
      <c r="D150" s="12" t="n"/>
      <c r="E150" s="12" t="n"/>
      <c r="F150" s="12" t="n"/>
      <c r="G150" s="12" t="n"/>
      <c r="H150" s="12" t="n"/>
    </row>
    <row r="151">
      <c r="A151" s="19" t="n"/>
      <c r="B151" s="12" t="n"/>
      <c r="C151" s="12" t="n"/>
      <c r="D151" s="12" t="n"/>
      <c r="E151" s="12" t="n"/>
      <c r="F151" s="12" t="n"/>
      <c r="G151" s="12" t="n"/>
      <c r="H151" s="12" t="n"/>
    </row>
    <row r="152">
      <c r="A152" s="19" t="n"/>
      <c r="B152" s="12" t="n"/>
      <c r="C152" s="12" t="n"/>
      <c r="D152" s="12" t="n"/>
      <c r="E152" s="12" t="n"/>
      <c r="F152" s="12" t="n"/>
      <c r="G152" s="12" t="n"/>
      <c r="H152" s="12" t="n"/>
    </row>
    <row r="153">
      <c r="A153" s="19" t="n"/>
      <c r="B153" s="12" t="n"/>
      <c r="C153" s="12" t="n"/>
      <c r="D153" s="12" t="n"/>
      <c r="E153" s="12" t="n"/>
      <c r="F153" s="12" t="n"/>
      <c r="G153" s="12" t="n"/>
      <c r="H153" s="12" t="n"/>
    </row>
    <row r="154">
      <c r="A154" s="19" t="n"/>
      <c r="B154" s="12" t="n"/>
      <c r="C154" s="12" t="n"/>
      <c r="D154" s="12" t="n"/>
      <c r="E154" s="12" t="n"/>
      <c r="F154" s="12" t="n"/>
      <c r="G154" s="12" t="n"/>
      <c r="H154" s="12" t="n"/>
    </row>
    <row r="155">
      <c r="A155" s="19" t="n"/>
      <c r="B155" s="12" t="n"/>
      <c r="C155" s="12" t="n"/>
      <c r="D155" s="12" t="n"/>
      <c r="E155" s="12" t="n"/>
      <c r="F155" s="12" t="n"/>
      <c r="G155" s="12" t="n"/>
      <c r="H155" s="12" t="n"/>
    </row>
    <row r="156">
      <c r="A156" s="19" t="n"/>
      <c r="B156" s="12" t="n"/>
      <c r="C156" s="12" t="n"/>
      <c r="D156" s="12" t="n"/>
      <c r="E156" s="12" t="n"/>
      <c r="F156" s="12" t="n"/>
      <c r="G156" s="12" t="n"/>
      <c r="H156" s="12" t="n"/>
    </row>
    <row r="157">
      <c r="A157" s="19" t="n"/>
      <c r="B157" s="12" t="n"/>
      <c r="C157" s="12" t="n"/>
      <c r="D157" s="12" t="n"/>
      <c r="E157" s="12" t="n"/>
      <c r="F157" s="12" t="n"/>
      <c r="G157" s="12" t="n"/>
      <c r="H157" s="12" t="n"/>
    </row>
    <row r="158">
      <c r="A158" s="19" t="n"/>
      <c r="B158" s="12" t="n"/>
      <c r="C158" s="12" t="n"/>
      <c r="D158" s="12" t="n"/>
      <c r="E158" s="12" t="n"/>
      <c r="F158" s="12" t="n"/>
      <c r="G158" s="12" t="n"/>
      <c r="H158" s="12" t="n"/>
    </row>
    <row r="159">
      <c r="A159" s="19" t="n"/>
      <c r="B159" s="12" t="n"/>
      <c r="C159" s="12" t="n"/>
      <c r="D159" s="12" t="n"/>
      <c r="E159" s="12" t="n"/>
      <c r="F159" s="12" t="n"/>
      <c r="G159" s="12" t="n"/>
      <c r="H159" s="12" t="n"/>
    </row>
    <row r="160">
      <c r="A160" s="19" t="n"/>
      <c r="B160" s="12" t="n"/>
      <c r="C160" s="12" t="n"/>
      <c r="D160" s="12" t="n"/>
      <c r="E160" s="12" t="n"/>
      <c r="F160" s="12" t="n"/>
      <c r="G160" s="12" t="n"/>
      <c r="H160" s="12" t="n"/>
    </row>
    <row r="161">
      <c r="A161" s="19" t="n"/>
      <c r="B161" s="12" t="n"/>
      <c r="C161" s="12" t="n"/>
      <c r="D161" s="12" t="n"/>
      <c r="E161" s="12" t="n"/>
      <c r="F161" s="12" t="n"/>
      <c r="G161" s="12" t="n"/>
      <c r="H161" s="12" t="n"/>
    </row>
    <row r="162">
      <c r="A162" s="19" t="n"/>
      <c r="B162" s="12" t="n"/>
      <c r="C162" s="12" t="n"/>
      <c r="D162" s="12" t="n"/>
      <c r="E162" s="12" t="n"/>
      <c r="F162" s="12" t="n"/>
      <c r="G162" s="12" t="n"/>
      <c r="H162" s="12" t="n"/>
    </row>
    <row r="163">
      <c r="A163" s="19" t="n"/>
      <c r="B163" s="12" t="n"/>
      <c r="C163" s="12" t="n"/>
      <c r="D163" s="12" t="n"/>
      <c r="E163" s="12" t="n"/>
      <c r="F163" s="12" t="n"/>
      <c r="G163" s="12" t="n"/>
      <c r="H163" s="12" t="n"/>
    </row>
    <row r="164">
      <c r="A164" s="19" t="n"/>
      <c r="B164" s="12" t="n"/>
      <c r="C164" s="12" t="n"/>
      <c r="D164" s="12" t="n"/>
      <c r="E164" s="12" t="n"/>
      <c r="F164" s="12" t="n"/>
      <c r="G164" s="12" t="n"/>
      <c r="H164" s="12" t="n"/>
    </row>
    <row r="165">
      <c r="A165" s="19" t="n"/>
      <c r="B165" s="12" t="n"/>
      <c r="C165" s="12" t="n"/>
      <c r="D165" s="12" t="n"/>
      <c r="E165" s="12" t="n"/>
      <c r="F165" s="12" t="n"/>
      <c r="G165" s="12" t="n"/>
      <c r="H165" s="12" t="n"/>
    </row>
    <row r="166">
      <c r="A166" s="19" t="n"/>
      <c r="B166" s="12" t="n"/>
      <c r="C166" s="12" t="n"/>
      <c r="D166" s="12" t="n"/>
      <c r="E166" s="12" t="n"/>
      <c r="F166" s="12" t="n"/>
      <c r="G166" s="12" t="n"/>
      <c r="H166" s="12" t="n"/>
    </row>
    <row r="167">
      <c r="A167" s="19" t="n"/>
      <c r="B167" s="12" t="n"/>
      <c r="C167" s="12" t="n"/>
      <c r="D167" s="12" t="n"/>
      <c r="E167" s="12" t="n"/>
      <c r="F167" s="12" t="n"/>
      <c r="G167" s="12" t="n"/>
      <c r="H167" s="12" t="n"/>
    </row>
    <row r="168">
      <c r="A168" s="19" t="n"/>
      <c r="B168" s="12" t="n"/>
      <c r="C168" s="12" t="n"/>
      <c r="D168" s="12" t="n"/>
      <c r="E168" s="12" t="n"/>
      <c r="F168" s="12" t="n"/>
      <c r="G168" s="12" t="n"/>
      <c r="H168" s="12" t="n"/>
    </row>
    <row r="169">
      <c r="A169" s="19" t="n"/>
      <c r="B169" s="12" t="n"/>
      <c r="C169" s="12" t="n"/>
      <c r="D169" s="12" t="n"/>
      <c r="E169" s="12" t="n"/>
      <c r="F169" s="12" t="n"/>
      <c r="G169" s="12" t="n"/>
      <c r="H169" s="12" t="n"/>
    </row>
    <row r="170">
      <c r="A170" s="19" t="n"/>
      <c r="B170" s="12" t="n"/>
      <c r="C170" s="12" t="n"/>
      <c r="D170" s="12" t="n"/>
      <c r="E170" s="12" t="n"/>
      <c r="F170" s="12" t="n"/>
      <c r="G170" s="12" t="n"/>
      <c r="H170" s="12" t="n"/>
    </row>
    <row r="171">
      <c r="A171" s="19" t="n"/>
      <c r="B171" s="12" t="n"/>
      <c r="C171" s="12" t="n"/>
      <c r="D171" s="12" t="n"/>
      <c r="E171" s="12" t="n"/>
      <c r="F171" s="12" t="n"/>
      <c r="G171" s="12" t="n"/>
      <c r="H171" s="12" t="n"/>
    </row>
    <row r="172">
      <c r="A172" s="19" t="n"/>
      <c r="B172" s="12" t="n"/>
      <c r="C172" s="12" t="n"/>
      <c r="D172" s="12" t="n"/>
      <c r="E172" s="12" t="n"/>
      <c r="F172" s="12" t="n"/>
      <c r="G172" s="12" t="n"/>
      <c r="H172" s="12" t="n"/>
    </row>
    <row r="173">
      <c r="A173" s="19" t="n"/>
      <c r="B173" s="12" t="n"/>
      <c r="C173" s="12" t="n"/>
      <c r="D173" s="12" t="n"/>
      <c r="E173" s="12" t="n"/>
      <c r="F173" s="12" t="n"/>
      <c r="G173" s="12" t="n"/>
      <c r="H173" s="12" t="n"/>
    </row>
    <row r="174">
      <c r="A174" s="19" t="n"/>
      <c r="B174" s="12" t="n"/>
      <c r="C174" s="12" t="n"/>
      <c r="D174" s="12" t="n"/>
      <c r="E174" s="12" t="n"/>
      <c r="F174" s="12" t="n"/>
      <c r="G174" s="12" t="n"/>
      <c r="H174" s="12" t="n"/>
    </row>
    <row r="175">
      <c r="A175" s="19" t="n"/>
      <c r="B175" s="12" t="n"/>
      <c r="C175" s="12" t="n"/>
      <c r="D175" s="12" t="n"/>
      <c r="E175" s="12" t="n"/>
      <c r="F175" s="12" t="n"/>
      <c r="G175" s="12" t="n"/>
      <c r="H175" s="12" t="n"/>
    </row>
    <row r="176">
      <c r="A176" s="19" t="n"/>
      <c r="B176" s="12" t="n"/>
      <c r="C176" s="12" t="n"/>
      <c r="D176" s="12" t="n"/>
      <c r="E176" s="12" t="n"/>
      <c r="F176" s="12" t="n"/>
      <c r="G176" s="12" t="n"/>
      <c r="H176" s="12" t="n"/>
    </row>
    <row r="177">
      <c r="A177" s="19" t="n"/>
      <c r="B177" s="12" t="n"/>
      <c r="C177" s="12" t="n"/>
      <c r="D177" s="12" t="n"/>
      <c r="E177" s="12" t="n"/>
      <c r="F177" s="12" t="n"/>
      <c r="G177" s="12" t="n"/>
      <c r="H177" s="12" t="n"/>
    </row>
    <row r="178">
      <c r="A178" s="19" t="n"/>
      <c r="B178" s="12" t="n"/>
      <c r="C178" s="12" t="n"/>
      <c r="D178" s="12" t="n"/>
      <c r="E178" s="12" t="n"/>
      <c r="F178" s="12" t="n"/>
      <c r="G178" s="12" t="n"/>
      <c r="H178" s="12" t="n"/>
    </row>
    <row r="179">
      <c r="A179" s="19" t="n"/>
      <c r="B179" s="12" t="n"/>
      <c r="C179" s="12" t="n"/>
      <c r="D179" s="12" t="n"/>
      <c r="E179" s="12" t="n"/>
      <c r="F179" s="12" t="n"/>
      <c r="G179" s="12" t="n"/>
      <c r="H179" s="12" t="n"/>
    </row>
    <row r="180">
      <c r="A180" s="19" t="n"/>
      <c r="B180" s="12" t="n"/>
      <c r="C180" s="12" t="n"/>
      <c r="D180" s="12" t="n"/>
      <c r="E180" s="12" t="n"/>
      <c r="F180" s="12" t="n"/>
      <c r="G180" s="12" t="n"/>
      <c r="H180" s="12" t="n"/>
    </row>
    <row r="181">
      <c r="A181" s="19" t="n"/>
      <c r="B181" s="12" t="n"/>
      <c r="C181" s="12" t="n"/>
      <c r="D181" s="12" t="n"/>
      <c r="E181" s="12" t="n"/>
      <c r="F181" s="12" t="n"/>
      <c r="G181" s="12" t="n"/>
      <c r="H181" s="12" t="n"/>
    </row>
    <row r="182">
      <c r="A182" s="19" t="n"/>
      <c r="B182" s="12" t="n"/>
      <c r="C182" s="12" t="n"/>
      <c r="D182" s="12" t="n"/>
      <c r="E182" s="12" t="n"/>
      <c r="F182" s="12" t="n"/>
      <c r="G182" s="12" t="n"/>
      <c r="H182" s="12" t="n"/>
    </row>
    <row r="183">
      <c r="A183" s="19" t="n"/>
      <c r="B183" s="12" t="n"/>
      <c r="C183" s="12" t="n"/>
      <c r="D183" s="12" t="n"/>
      <c r="E183" s="12" t="n"/>
      <c r="F183" s="12" t="n"/>
      <c r="G183" s="12" t="n"/>
      <c r="H183" s="12" t="n"/>
    </row>
    <row r="184">
      <c r="A184" s="19" t="n"/>
      <c r="B184" s="12" t="n"/>
      <c r="C184" s="12" t="n"/>
      <c r="D184" s="12" t="n"/>
      <c r="E184" s="12" t="n"/>
      <c r="F184" s="12" t="n"/>
      <c r="G184" s="12" t="n"/>
      <c r="H184" s="12" t="n"/>
    </row>
    <row r="185">
      <c r="A185" s="19" t="n"/>
      <c r="B185" s="12" t="n"/>
      <c r="C185" s="12" t="n"/>
      <c r="D185" s="12" t="n"/>
      <c r="E185" s="12" t="n"/>
      <c r="F185" s="12" t="n"/>
      <c r="G185" s="12" t="n"/>
      <c r="H185" s="12" t="n"/>
    </row>
    <row r="186">
      <c r="A186" s="19" t="n"/>
      <c r="B186" s="12" t="n"/>
      <c r="C186" s="12" t="n"/>
      <c r="D186" s="12" t="n"/>
      <c r="E186" s="12" t="n"/>
      <c r="F186" s="12" t="n"/>
      <c r="G186" s="12" t="n"/>
      <c r="H186" s="12" t="n"/>
    </row>
    <row r="187">
      <c r="A187" s="19" t="n"/>
      <c r="B187" s="12" t="n"/>
      <c r="C187" s="12" t="n"/>
      <c r="D187" s="12" t="n"/>
      <c r="E187" s="12" t="n"/>
      <c r="F187" s="12" t="n"/>
      <c r="G187" s="12" t="n"/>
      <c r="H187" s="12" t="n"/>
    </row>
    <row r="188">
      <c r="A188" s="19" t="n"/>
      <c r="B188" s="12" t="n"/>
      <c r="C188" s="12" t="n"/>
      <c r="D188" s="12" t="n"/>
      <c r="E188" s="12" t="n"/>
      <c r="F188" s="12" t="n"/>
      <c r="G188" s="12" t="n"/>
      <c r="H188" s="12" t="n"/>
    </row>
    <row r="189">
      <c r="A189" s="19" t="n"/>
      <c r="B189" s="12" t="n"/>
      <c r="C189" s="12" t="n"/>
      <c r="D189" s="12" t="n"/>
      <c r="E189" s="12" t="n"/>
      <c r="F189" s="12" t="n"/>
      <c r="G189" s="12" t="n"/>
      <c r="H189" s="12" t="n"/>
    </row>
    <row r="190">
      <c r="A190" s="19" t="n"/>
      <c r="B190" s="12" t="n"/>
      <c r="C190" s="12" t="n"/>
      <c r="D190" s="12" t="n"/>
      <c r="E190" s="12" t="n"/>
      <c r="F190" s="12" t="n"/>
      <c r="G190" s="12" t="n"/>
      <c r="H190" s="12" t="n"/>
    </row>
    <row r="191">
      <c r="A191" s="19" t="n"/>
      <c r="B191" s="12" t="n"/>
      <c r="C191" s="12" t="n"/>
      <c r="D191" s="12" t="n"/>
      <c r="E191" s="12" t="n"/>
      <c r="F191" s="12" t="n"/>
      <c r="G191" s="12" t="n"/>
      <c r="H191" s="12" t="n"/>
    </row>
    <row r="192">
      <c r="A192" s="19" t="n"/>
      <c r="B192" s="12" t="n"/>
      <c r="C192" s="12" t="n"/>
      <c r="D192" s="12" t="n"/>
      <c r="E192" s="12" t="n"/>
      <c r="F192" s="12" t="n"/>
      <c r="G192" s="12" t="n"/>
      <c r="H192" s="12" t="n"/>
    </row>
    <row r="193">
      <c r="A193" s="19" t="n"/>
      <c r="B193" s="12" t="n"/>
      <c r="C193" s="12" t="n"/>
      <c r="D193" s="12" t="n"/>
      <c r="E193" s="12" t="n"/>
      <c r="F193" s="12" t="n"/>
      <c r="G193" s="12" t="n"/>
      <c r="H193" s="12" t="n"/>
    </row>
    <row r="194">
      <c r="A194" s="19" t="n"/>
      <c r="B194" s="12" t="n"/>
      <c r="C194" s="12" t="n"/>
      <c r="D194" s="12" t="n"/>
      <c r="E194" s="12" t="n"/>
      <c r="F194" s="12" t="n"/>
      <c r="G194" s="12" t="n"/>
      <c r="H194" s="12" t="n"/>
    </row>
    <row r="195">
      <c r="A195" s="19" t="n"/>
      <c r="B195" s="12" t="n"/>
      <c r="C195" s="12" t="n"/>
      <c r="D195" s="12" t="n"/>
      <c r="E195" s="12" t="n"/>
      <c r="F195" s="12" t="n"/>
      <c r="G195" s="12" t="n"/>
      <c r="H195" s="12" t="n"/>
    </row>
    <row r="196">
      <c r="A196" s="19" t="n"/>
      <c r="B196" s="12" t="n"/>
      <c r="C196" s="12" t="n"/>
      <c r="D196" s="12" t="n"/>
      <c r="E196" s="12" t="n"/>
      <c r="F196" s="12" t="n"/>
      <c r="G196" s="12" t="n"/>
      <c r="H196" s="12" t="n"/>
    </row>
    <row r="197">
      <c r="A197" s="19" t="n"/>
      <c r="B197" s="12" t="n"/>
      <c r="C197" s="12" t="n"/>
      <c r="D197" s="12" t="n"/>
      <c r="E197" s="12" t="n"/>
      <c r="F197" s="12" t="n"/>
      <c r="G197" s="12" t="n"/>
      <c r="H197" s="12" t="n"/>
    </row>
    <row r="198">
      <c r="A198" s="19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9" t="n"/>
      <c r="B199" s="12" t="n"/>
      <c r="C199" s="12" t="n"/>
      <c r="D199" s="12" t="n"/>
      <c r="E199" s="12" t="n"/>
      <c r="F199" s="12" t="n"/>
      <c r="G199" s="12" t="n"/>
      <c r="H199" s="12" t="n"/>
    </row>
    <row r="200">
      <c r="A200" s="19" t="n"/>
      <c r="B200" s="12" t="n"/>
      <c r="C200" s="12" t="n"/>
      <c r="D200" s="12" t="n"/>
      <c r="E200" s="12" t="n"/>
      <c r="F200" s="12" t="n"/>
      <c r="G200" s="12" t="n"/>
      <c r="H200" s="12" t="n"/>
    </row>
    <row r="201">
      <c r="A201" s="19" t="n"/>
      <c r="B201" s="12" t="n"/>
      <c r="C201" s="12" t="n"/>
      <c r="D201" s="12" t="n"/>
      <c r="E201" s="12" t="n"/>
      <c r="F201" s="12" t="n"/>
      <c r="G201" s="12" t="n"/>
      <c r="H201" s="12" t="n"/>
    </row>
    <row r="202">
      <c r="A202" s="19" t="n"/>
      <c r="B202" s="12" t="n"/>
      <c r="C202" s="12" t="n"/>
      <c r="D202" s="12" t="n"/>
      <c r="E202" s="12" t="n"/>
      <c r="F202" s="12" t="n"/>
      <c r="G202" s="12" t="n"/>
      <c r="H202" s="12" t="n"/>
    </row>
    <row r="203">
      <c r="A203" s="19" t="n"/>
      <c r="B203" s="12" t="n"/>
      <c r="C203" s="12" t="n"/>
      <c r="D203" s="12" t="n"/>
      <c r="E203" s="12" t="n"/>
      <c r="F203" s="12" t="n"/>
      <c r="G203" s="12" t="n"/>
      <c r="H203" s="12" t="n"/>
    </row>
    <row r="204">
      <c r="A204" s="19" t="n"/>
      <c r="B204" s="12" t="n"/>
      <c r="C204" s="12" t="n"/>
      <c r="D204" s="12" t="n"/>
      <c r="E204" s="12" t="n"/>
      <c r="F204" s="12" t="n"/>
      <c r="G204" s="12" t="n"/>
      <c r="H204" s="12" t="n"/>
    </row>
    <row r="205">
      <c r="A205" s="19" t="n"/>
      <c r="B205" s="12" t="n"/>
      <c r="C205" s="12" t="n"/>
      <c r="D205" s="12" t="n"/>
      <c r="E205" s="12" t="n"/>
      <c r="F205" s="12" t="n"/>
      <c r="G205" s="12" t="n"/>
      <c r="H205" s="12" t="n"/>
    </row>
    <row r="206">
      <c r="A206" s="19" t="n"/>
      <c r="B206" s="12" t="n"/>
      <c r="C206" s="12" t="n"/>
      <c r="D206" s="12" t="n"/>
      <c r="E206" s="12" t="n"/>
      <c r="F206" s="12" t="n"/>
      <c r="G206" s="12" t="n"/>
      <c r="H206" s="12" t="n"/>
    </row>
    <row r="207">
      <c r="A207" s="19" t="n"/>
      <c r="B207" s="12" t="n"/>
      <c r="C207" s="12" t="n"/>
      <c r="D207" s="12" t="n"/>
      <c r="E207" s="12" t="n"/>
      <c r="F207" s="12" t="n"/>
      <c r="G207" s="12" t="n"/>
      <c r="H207" s="12" t="n"/>
    </row>
    <row r="208">
      <c r="A208" s="19" t="n"/>
      <c r="B208" s="12" t="n"/>
      <c r="C208" s="12" t="n"/>
      <c r="D208" s="12" t="n"/>
      <c r="E208" s="12" t="n"/>
      <c r="F208" s="12" t="n"/>
      <c r="G208" s="12" t="n"/>
      <c r="H208" s="12" t="n"/>
    </row>
    <row r="209">
      <c r="A209" s="19" t="n"/>
      <c r="B209" s="12" t="n"/>
      <c r="C209" s="12" t="n"/>
      <c r="D209" s="12" t="n"/>
      <c r="E209" s="12" t="n"/>
      <c r="F209" s="12" t="n"/>
      <c r="G209" s="12" t="n"/>
      <c r="H209" s="12" t="n"/>
    </row>
    <row r="210">
      <c r="A210" s="19" t="n"/>
      <c r="B210" s="12" t="n"/>
      <c r="C210" s="12" t="n"/>
      <c r="D210" s="12" t="n"/>
      <c r="E210" s="12" t="n"/>
      <c r="F210" s="12" t="n"/>
      <c r="G210" s="12" t="n"/>
      <c r="H210" s="12" t="n"/>
    </row>
    <row r="211">
      <c r="A211" s="19" t="n"/>
      <c r="B211" s="12" t="n"/>
      <c r="C211" s="12" t="n"/>
      <c r="D211" s="12" t="n"/>
      <c r="E211" s="12" t="n"/>
      <c r="F211" s="12" t="n"/>
      <c r="G211" s="12" t="n"/>
      <c r="H211" s="12" t="n"/>
    </row>
    <row r="212">
      <c r="A212" s="19" t="n"/>
      <c r="B212" s="12" t="n"/>
      <c r="C212" s="12" t="n"/>
      <c r="D212" s="12" t="n"/>
      <c r="E212" s="12" t="n"/>
      <c r="F212" s="12" t="n"/>
      <c r="G212" s="12" t="n"/>
      <c r="H212" s="12" t="n"/>
    </row>
    <row r="213">
      <c r="A213" s="19" t="n"/>
      <c r="B213" s="12" t="n"/>
      <c r="C213" s="12" t="n"/>
      <c r="D213" s="12" t="n"/>
      <c r="E213" s="12" t="n"/>
      <c r="F213" s="12" t="n"/>
      <c r="G213" s="12" t="n"/>
      <c r="H213" s="12" t="n"/>
    </row>
    <row r="214">
      <c r="A214" s="19" t="n"/>
      <c r="B214" s="12" t="n"/>
      <c r="C214" s="12" t="n"/>
      <c r="D214" s="12" t="n"/>
      <c r="E214" s="12" t="n"/>
      <c r="F214" s="12" t="n"/>
      <c r="G214" s="12" t="n"/>
      <c r="H214" s="12" t="n"/>
    </row>
    <row r="215">
      <c r="A215" s="19" t="n"/>
      <c r="B215" s="12" t="n"/>
      <c r="C215" s="12" t="n"/>
      <c r="D215" s="12" t="n"/>
      <c r="E215" s="12" t="n"/>
      <c r="F215" s="12" t="n"/>
      <c r="G215" s="12" t="n"/>
      <c r="H215" s="12" t="n"/>
    </row>
    <row r="216">
      <c r="A216" s="19" t="n"/>
      <c r="B216" s="12" t="n"/>
      <c r="C216" s="12" t="n"/>
      <c r="D216" s="12" t="n"/>
      <c r="E216" s="12" t="n"/>
      <c r="F216" s="12" t="n"/>
      <c r="G216" s="12" t="n"/>
      <c r="H216" s="12" t="n"/>
    </row>
    <row r="217">
      <c r="A217" s="19" t="n"/>
      <c r="B217" s="12" t="n"/>
      <c r="C217" s="12" t="n"/>
      <c r="D217" s="12" t="n"/>
      <c r="E217" s="12" t="n"/>
      <c r="F217" s="12" t="n"/>
      <c r="G217" s="12" t="n"/>
      <c r="H217" s="12" t="n"/>
    </row>
    <row r="218">
      <c r="A218" s="19" t="n"/>
      <c r="B218" s="12" t="n"/>
      <c r="C218" s="12" t="n"/>
      <c r="D218" s="12" t="n"/>
      <c r="E218" s="12" t="n"/>
      <c r="F218" s="12" t="n"/>
      <c r="G218" s="12" t="n"/>
      <c r="H218" s="12" t="n"/>
    </row>
    <row r="219">
      <c r="A219" s="19" t="n"/>
      <c r="B219" s="12" t="n"/>
      <c r="C219" s="12" t="n"/>
      <c r="D219" s="12" t="n"/>
      <c r="E219" s="12" t="n"/>
      <c r="F219" s="12" t="n"/>
      <c r="G219" s="12" t="n"/>
      <c r="H219" s="12" t="n"/>
    </row>
    <row r="220">
      <c r="A220" s="19" t="n"/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19" t="n"/>
      <c r="B221" s="12" t="n"/>
      <c r="C221" s="12" t="n"/>
      <c r="D221" s="12" t="n"/>
      <c r="E221" s="12" t="n"/>
      <c r="F221" s="12" t="n"/>
      <c r="G221" s="12" t="n"/>
      <c r="H221" s="12" t="n"/>
    </row>
    <row r="222">
      <c r="A222" s="19" t="n"/>
      <c r="B222" s="12" t="n"/>
      <c r="C222" s="12" t="n"/>
      <c r="D222" s="12" t="n"/>
      <c r="E222" s="12" t="n"/>
      <c r="F222" s="12" t="n"/>
      <c r="G222" s="12" t="n"/>
      <c r="H222" s="12" t="n"/>
    </row>
    <row r="223">
      <c r="A223" s="19" t="n"/>
      <c r="B223" s="12" t="n"/>
      <c r="C223" s="12" t="n"/>
      <c r="D223" s="12" t="n"/>
      <c r="E223" s="12" t="n"/>
      <c r="F223" s="12" t="n"/>
      <c r="G223" s="12" t="n"/>
      <c r="H223" s="12" t="n"/>
    </row>
    <row r="224">
      <c r="A224" s="19" t="n"/>
      <c r="B224" s="12" t="n"/>
      <c r="C224" s="12" t="n"/>
      <c r="D224" s="12" t="n"/>
      <c r="E224" s="12" t="n"/>
      <c r="F224" s="12" t="n"/>
      <c r="G224" s="12" t="n"/>
      <c r="H224" s="12" t="n"/>
    </row>
    <row r="225">
      <c r="A225" s="19" t="n"/>
      <c r="B225" s="12" t="n"/>
      <c r="C225" s="12" t="n"/>
      <c r="D225" s="12" t="n"/>
      <c r="E225" s="12" t="n"/>
      <c r="F225" s="12" t="n"/>
      <c r="G225" s="12" t="n"/>
      <c r="H225" s="12" t="n"/>
    </row>
    <row r="226">
      <c r="A226" s="19" t="n"/>
      <c r="B226" s="12" t="n"/>
      <c r="C226" s="12" t="n"/>
      <c r="D226" s="12" t="n"/>
      <c r="E226" s="12" t="n"/>
      <c r="F226" s="12" t="n"/>
      <c r="G226" s="12" t="n"/>
      <c r="H226" s="12" t="n"/>
    </row>
    <row r="227">
      <c r="A227" s="19" t="n"/>
      <c r="B227" s="12" t="n"/>
      <c r="C227" s="12" t="n"/>
      <c r="D227" s="12" t="n"/>
      <c r="E227" s="12" t="n"/>
      <c r="F227" s="12" t="n"/>
      <c r="G227" s="12" t="n"/>
      <c r="H227" s="12" t="n"/>
    </row>
    <row r="228">
      <c r="A228" s="19" t="n"/>
      <c r="B228" s="12" t="n"/>
      <c r="C228" s="12" t="n"/>
      <c r="D228" s="12" t="n"/>
      <c r="E228" s="12" t="n"/>
      <c r="F228" s="12" t="n"/>
      <c r="G228" s="12" t="n"/>
      <c r="H228" s="12" t="n"/>
    </row>
    <row r="229">
      <c r="A229" s="19" t="n"/>
      <c r="B229" s="12" t="n"/>
      <c r="C229" s="12" t="n"/>
      <c r="D229" s="12" t="n"/>
      <c r="E229" s="12" t="n"/>
      <c r="F229" s="12" t="n"/>
      <c r="G229" s="12" t="n"/>
      <c r="H229" s="12" t="n"/>
    </row>
    <row r="230">
      <c r="A230" s="19" t="n"/>
      <c r="B230" s="12" t="n"/>
      <c r="C230" s="12" t="n"/>
      <c r="D230" s="12" t="n"/>
      <c r="E230" s="12" t="n"/>
      <c r="F230" s="12" t="n"/>
      <c r="G230" s="12" t="n"/>
      <c r="H230" s="12" t="n"/>
    </row>
    <row r="231">
      <c r="A231" s="19" t="n"/>
      <c r="B231" s="12" t="n"/>
      <c r="C231" s="12" t="n"/>
      <c r="D231" s="12" t="n"/>
      <c r="E231" s="12" t="n"/>
      <c r="F231" s="12" t="n"/>
      <c r="G231" s="12" t="n"/>
      <c r="H231" s="12" t="n"/>
    </row>
    <row r="232">
      <c r="A232" s="19" t="n"/>
      <c r="B232" s="12" t="n"/>
      <c r="C232" s="12" t="n"/>
      <c r="D232" s="12" t="n"/>
      <c r="E232" s="12" t="n"/>
      <c r="F232" s="12" t="n"/>
      <c r="G232" s="12" t="n"/>
      <c r="H232" s="12" t="n"/>
    </row>
    <row r="233">
      <c r="A233" s="19" t="n"/>
      <c r="B233" s="12" t="n"/>
      <c r="C233" s="12" t="n"/>
      <c r="D233" s="12" t="n"/>
      <c r="E233" s="12" t="n"/>
      <c r="F233" s="12" t="n"/>
      <c r="G233" s="12" t="n"/>
      <c r="H233" s="12" t="n"/>
    </row>
    <row r="234">
      <c r="A234" s="19" t="n"/>
      <c r="B234" s="12" t="n"/>
      <c r="C234" s="12" t="n"/>
      <c r="D234" s="12" t="n"/>
      <c r="E234" s="12" t="n"/>
      <c r="F234" s="12" t="n"/>
      <c r="G234" s="12" t="n"/>
      <c r="H234" s="12" t="n"/>
    </row>
    <row r="235">
      <c r="A235" s="19" t="n"/>
      <c r="B235" s="12" t="n"/>
      <c r="C235" s="12" t="n"/>
      <c r="D235" s="12" t="n"/>
      <c r="E235" s="12" t="n"/>
      <c r="F235" s="12" t="n"/>
      <c r="G235" s="12" t="n"/>
      <c r="H235" s="12" t="n"/>
    </row>
    <row r="236">
      <c r="A236" s="19" t="n"/>
      <c r="B236" s="12" t="n"/>
      <c r="C236" s="12" t="n"/>
      <c r="D236" s="12" t="n"/>
      <c r="E236" s="12" t="n"/>
      <c r="F236" s="12" t="n"/>
      <c r="G236" s="12" t="n"/>
      <c r="H236" s="12" t="n"/>
    </row>
    <row r="237">
      <c r="A237" s="19" t="n"/>
      <c r="B237" s="12" t="n"/>
      <c r="C237" s="12" t="n"/>
      <c r="D237" s="12" t="n"/>
      <c r="E237" s="12" t="n"/>
      <c r="F237" s="12" t="n"/>
      <c r="G237" s="12" t="n"/>
      <c r="H237" s="12" t="n"/>
    </row>
    <row r="238">
      <c r="A238" s="19" t="n"/>
      <c r="B238" s="12" t="n"/>
      <c r="C238" s="12" t="n"/>
      <c r="D238" s="12" t="n"/>
      <c r="E238" s="12" t="n"/>
      <c r="F238" s="12" t="n"/>
      <c r="G238" s="12" t="n"/>
      <c r="H238" s="12" t="n"/>
    </row>
    <row r="239">
      <c r="A239" s="19" t="n"/>
      <c r="B239" s="12" t="n"/>
      <c r="C239" s="12" t="n"/>
      <c r="D239" s="12" t="n"/>
      <c r="E239" s="12" t="n"/>
      <c r="F239" s="12" t="n"/>
      <c r="G239" s="12" t="n"/>
      <c r="H239" s="12" t="n"/>
    </row>
    <row r="240">
      <c r="A240" s="19" t="n"/>
      <c r="B240" s="12" t="n"/>
      <c r="C240" s="12" t="n"/>
      <c r="D240" s="12" t="n"/>
      <c r="E240" s="12" t="n"/>
      <c r="F240" s="12" t="n"/>
      <c r="G240" s="12" t="n"/>
      <c r="H240" s="12" t="n"/>
    </row>
    <row r="241">
      <c r="A241" s="19" t="n"/>
      <c r="B241" s="12" t="n"/>
      <c r="C241" s="12" t="n"/>
      <c r="D241" s="12" t="n"/>
      <c r="E241" s="12" t="n"/>
      <c r="F241" s="12" t="n"/>
      <c r="G241" s="12" t="n"/>
      <c r="H241" s="12" t="n"/>
    </row>
    <row r="242">
      <c r="A242" s="19" t="n"/>
      <c r="B242" s="12" t="n"/>
      <c r="C242" s="12" t="n"/>
      <c r="D242" s="12" t="n"/>
      <c r="E242" s="12" t="n"/>
      <c r="F242" s="12" t="n"/>
      <c r="G242" s="12" t="n"/>
      <c r="H242" s="12" t="n"/>
    </row>
    <row r="243">
      <c r="A243" s="19" t="n"/>
      <c r="B243" s="12" t="n"/>
      <c r="C243" s="12" t="n"/>
      <c r="D243" s="12" t="n"/>
      <c r="E243" s="12" t="n"/>
      <c r="F243" s="12" t="n"/>
      <c r="G243" s="12" t="n"/>
      <c r="H243" s="12" t="n"/>
    </row>
    <row r="244">
      <c r="A244" s="19" t="n"/>
      <c r="B244" s="12" t="n"/>
      <c r="C244" s="12" t="n"/>
      <c r="D244" s="12" t="n"/>
      <c r="E244" s="12" t="n"/>
      <c r="F244" s="12" t="n"/>
      <c r="G244" s="12" t="n"/>
      <c r="H244" s="12" t="n"/>
    </row>
    <row r="245">
      <c r="A245" s="19" t="n"/>
      <c r="B245" s="12" t="n"/>
      <c r="C245" s="12" t="n"/>
      <c r="D245" s="12" t="n"/>
      <c r="E245" s="12" t="n"/>
      <c r="F245" s="12" t="n"/>
      <c r="G245" s="12" t="n"/>
      <c r="H245" s="12" t="n"/>
    </row>
    <row r="246">
      <c r="A246" s="19" t="n"/>
      <c r="B246" s="12" t="n"/>
      <c r="C246" s="12" t="n"/>
      <c r="D246" s="12" t="n"/>
      <c r="E246" s="12" t="n"/>
      <c r="F246" s="12" t="n"/>
      <c r="G246" s="12" t="n"/>
      <c r="H246" s="12" t="n"/>
    </row>
    <row r="247">
      <c r="A247" s="19" t="n"/>
      <c r="B247" s="12" t="n"/>
      <c r="C247" s="12" t="n"/>
      <c r="D247" s="12" t="n"/>
      <c r="E247" s="12" t="n"/>
      <c r="F247" s="12" t="n"/>
      <c r="G247" s="12" t="n"/>
      <c r="H247" s="12" t="n"/>
    </row>
    <row r="248">
      <c r="A248" s="19" t="n"/>
      <c r="B248" s="12" t="n"/>
      <c r="C248" s="12" t="n"/>
      <c r="D248" s="12" t="n"/>
      <c r="E248" s="12" t="n"/>
      <c r="F248" s="12" t="n"/>
      <c r="G248" s="12" t="n"/>
      <c r="H248" s="12" t="n"/>
    </row>
    <row r="249">
      <c r="A249" s="19" t="n"/>
      <c r="B249" s="12" t="n"/>
      <c r="C249" s="12" t="n"/>
      <c r="D249" s="12" t="n"/>
      <c r="E249" s="12" t="n"/>
      <c r="F249" s="12" t="n"/>
      <c r="G249" s="12" t="n"/>
      <c r="H249" s="12" t="n"/>
    </row>
    <row r="250">
      <c r="A250" s="19" t="n"/>
      <c r="B250" s="12" t="n"/>
      <c r="C250" s="12" t="n"/>
      <c r="D250" s="12" t="n"/>
      <c r="E250" s="12" t="n"/>
      <c r="F250" s="12" t="n"/>
      <c r="G250" s="12" t="n"/>
      <c r="H250" s="12" t="n"/>
    </row>
    <row r="251">
      <c r="A251" s="19" t="n"/>
      <c r="B251" s="12" t="n"/>
      <c r="C251" s="12" t="n"/>
      <c r="D251" s="12" t="n"/>
      <c r="E251" s="12" t="n"/>
      <c r="F251" s="12" t="n"/>
      <c r="G251" s="12" t="n"/>
      <c r="H251" s="12" t="n"/>
    </row>
    <row r="252">
      <c r="A252" s="19" t="n"/>
      <c r="B252" s="12" t="n"/>
      <c r="C252" s="12" t="n"/>
      <c r="D252" s="12" t="n"/>
      <c r="E252" s="12" t="n"/>
      <c r="F252" s="12" t="n"/>
      <c r="G252" s="12" t="n"/>
      <c r="H252" s="12" t="n"/>
    </row>
    <row r="253">
      <c r="A253" s="19" t="n"/>
      <c r="B253" s="12" t="n"/>
      <c r="C253" s="12" t="n"/>
      <c r="D253" s="12" t="n"/>
      <c r="E253" s="12" t="n"/>
      <c r="F253" s="12" t="n"/>
      <c r="G253" s="12" t="n"/>
      <c r="H253" s="12" t="n"/>
    </row>
    <row r="254">
      <c r="A254" s="19" t="n"/>
      <c r="B254" s="12" t="n"/>
      <c r="C254" s="12" t="n"/>
      <c r="D254" s="12" t="n"/>
      <c r="E254" s="12" t="n"/>
      <c r="F254" s="12" t="n"/>
      <c r="G254" s="12" t="n"/>
      <c r="H254" s="12" t="n"/>
    </row>
    <row r="255">
      <c r="A255" s="19" t="n"/>
      <c r="B255" s="12" t="n"/>
      <c r="C255" s="12" t="n"/>
      <c r="D255" s="12" t="n"/>
      <c r="E255" s="12" t="n"/>
      <c r="F255" s="12" t="n"/>
      <c r="G255" s="12" t="n"/>
      <c r="H255" s="12" t="n"/>
    </row>
    <row r="256">
      <c r="A256" s="19" t="n"/>
      <c r="B256" s="12" t="n"/>
      <c r="C256" s="12" t="n"/>
      <c r="D256" s="12" t="n"/>
      <c r="E256" s="12" t="n"/>
      <c r="F256" s="12" t="n"/>
      <c r="G256" s="12" t="n"/>
      <c r="H256" s="12" t="n"/>
    </row>
    <row r="257">
      <c r="A257" s="19" t="n"/>
      <c r="B257" s="12" t="n"/>
      <c r="C257" s="12" t="n"/>
      <c r="D257" s="12" t="n"/>
      <c r="E257" s="12" t="n"/>
      <c r="F257" s="12" t="n"/>
      <c r="G257" s="12" t="n"/>
      <c r="H257" s="12" t="n"/>
    </row>
    <row r="258">
      <c r="A258" s="19" t="n"/>
      <c r="B258" s="12" t="n"/>
      <c r="C258" s="12" t="n"/>
      <c r="D258" s="12" t="n"/>
      <c r="E258" s="12" t="n"/>
      <c r="F258" s="12" t="n"/>
      <c r="G258" s="12" t="n"/>
      <c r="H258" s="12" t="n"/>
    </row>
    <row r="259">
      <c r="A259" s="19" t="n"/>
      <c r="B259" s="12" t="n"/>
      <c r="C259" s="12" t="n"/>
      <c r="D259" s="12" t="n"/>
      <c r="E259" s="12" t="n"/>
      <c r="F259" s="12" t="n"/>
      <c r="G259" s="12" t="n"/>
      <c r="H259" s="12" t="n"/>
    </row>
    <row r="260">
      <c r="A260" s="19" t="n"/>
      <c r="B260" s="12" t="n"/>
      <c r="C260" s="12" t="n"/>
      <c r="D260" s="12" t="n"/>
      <c r="E260" s="12" t="n"/>
      <c r="F260" s="12" t="n"/>
      <c r="G260" s="12" t="n"/>
      <c r="H260" s="12" t="n"/>
    </row>
    <row r="261">
      <c r="A261" s="19" t="n"/>
      <c r="B261" s="12" t="n"/>
      <c r="C261" s="12" t="n"/>
      <c r="D261" s="12" t="n"/>
      <c r="E261" s="12" t="n"/>
      <c r="F261" s="12" t="n"/>
      <c r="G261" s="12" t="n"/>
      <c r="H261" s="12" t="n"/>
    </row>
    <row r="262">
      <c r="A262" s="19" t="n"/>
      <c r="B262" s="12" t="n"/>
      <c r="C262" s="12" t="n"/>
      <c r="D262" s="12" t="n"/>
      <c r="E262" s="12" t="n"/>
      <c r="F262" s="12" t="n"/>
      <c r="G262" s="12" t="n"/>
      <c r="H262" s="12" t="n"/>
    </row>
    <row r="263">
      <c r="A263" s="19" t="n"/>
      <c r="B263" s="12" t="n"/>
      <c r="C263" s="12" t="n"/>
      <c r="D263" s="12" t="n"/>
      <c r="E263" s="12" t="n"/>
      <c r="F263" s="12" t="n"/>
      <c r="G263" s="12" t="n"/>
      <c r="H263" s="12" t="n"/>
    </row>
    <row r="264">
      <c r="A264" s="19" t="n"/>
      <c r="B264" s="12" t="n"/>
      <c r="C264" s="12" t="n"/>
      <c r="D264" s="12" t="n"/>
      <c r="E264" s="12" t="n"/>
      <c r="F264" s="12" t="n"/>
      <c r="G264" s="12" t="n"/>
      <c r="H264" s="12" t="n"/>
    </row>
    <row r="265">
      <c r="A265" s="19" t="n"/>
      <c r="B265" s="12" t="n"/>
      <c r="C265" s="12" t="n"/>
      <c r="D265" s="12" t="n"/>
      <c r="E265" s="12" t="n"/>
      <c r="F265" s="12" t="n"/>
      <c r="G265" s="12" t="n"/>
      <c r="H265" s="12" t="n"/>
    </row>
    <row r="266">
      <c r="A266" s="19" t="n"/>
      <c r="B266" s="12" t="n"/>
      <c r="C266" s="12" t="n"/>
      <c r="D266" s="12" t="n"/>
      <c r="E266" s="12" t="n"/>
      <c r="F266" s="12" t="n"/>
      <c r="G266" s="12" t="n"/>
      <c r="H266" s="12" t="n"/>
    </row>
    <row r="267">
      <c r="A267" s="19" t="n"/>
      <c r="B267" s="12" t="n"/>
      <c r="C267" s="12" t="n"/>
      <c r="D267" s="12" t="n"/>
      <c r="E267" s="12" t="n"/>
      <c r="F267" s="12" t="n"/>
      <c r="G267" s="12" t="n"/>
      <c r="H267" s="12" t="n"/>
    </row>
    <row r="268">
      <c r="A268" s="19" t="n"/>
      <c r="B268" s="12" t="n"/>
      <c r="C268" s="12" t="n"/>
      <c r="D268" s="12" t="n"/>
      <c r="E268" s="12" t="n"/>
      <c r="F268" s="12" t="n"/>
      <c r="G268" s="12" t="n"/>
      <c r="H268" s="12" t="n"/>
    </row>
    <row r="269">
      <c r="A269" s="19" t="n"/>
      <c r="B269" s="12" t="n"/>
      <c r="C269" s="12" t="n"/>
      <c r="D269" s="12" t="n"/>
      <c r="E269" s="12" t="n"/>
      <c r="F269" s="12" t="n"/>
      <c r="G269" s="12" t="n"/>
      <c r="H269" s="12" t="n"/>
    </row>
    <row r="270">
      <c r="A270" s="19" t="n"/>
      <c r="B270" s="12" t="n"/>
      <c r="C270" s="12" t="n"/>
      <c r="D270" s="12" t="n"/>
      <c r="E270" s="12" t="n"/>
      <c r="F270" s="12" t="n"/>
      <c r="G270" s="12" t="n"/>
      <c r="H270" s="12" t="n"/>
    </row>
    <row r="271">
      <c r="A271" s="19" t="n"/>
      <c r="B271" s="12" t="n"/>
      <c r="C271" s="12" t="n"/>
      <c r="D271" s="12" t="n"/>
      <c r="E271" s="12" t="n"/>
      <c r="F271" s="12" t="n"/>
      <c r="G271" s="12" t="n"/>
      <c r="H271" s="12" t="n"/>
    </row>
    <row r="272">
      <c r="A272" s="19" t="n"/>
      <c r="B272" s="12" t="n"/>
      <c r="C272" s="12" t="n"/>
      <c r="D272" s="12" t="n"/>
      <c r="E272" s="12" t="n"/>
      <c r="F272" s="12" t="n"/>
      <c r="G272" s="12" t="n"/>
      <c r="H272" s="12" t="n"/>
    </row>
    <row r="273">
      <c r="A273" s="19" t="n"/>
      <c r="B273" s="12" t="n"/>
      <c r="C273" s="12" t="n"/>
      <c r="D273" s="12" t="n"/>
      <c r="E273" s="12" t="n"/>
      <c r="F273" s="12" t="n"/>
      <c r="G273" s="12" t="n"/>
      <c r="H273" s="12" t="n"/>
    </row>
    <row r="274">
      <c r="A274" s="19" t="n"/>
      <c r="B274" s="12" t="n"/>
      <c r="C274" s="12" t="n"/>
      <c r="D274" s="12" t="n"/>
      <c r="E274" s="12" t="n"/>
      <c r="F274" s="12" t="n"/>
      <c r="G274" s="12" t="n"/>
      <c r="H274" s="12" t="n"/>
    </row>
    <row r="275">
      <c r="A275" s="19" t="n"/>
      <c r="B275" s="12" t="n"/>
      <c r="C275" s="12" t="n"/>
      <c r="D275" s="12" t="n"/>
      <c r="E275" s="12" t="n"/>
      <c r="F275" s="12" t="n"/>
      <c r="G275" s="12" t="n"/>
      <c r="H275" s="12" t="n"/>
    </row>
    <row r="276">
      <c r="A276" s="19" t="n"/>
      <c r="B276" s="12" t="n"/>
      <c r="C276" s="12" t="n"/>
      <c r="D276" s="12" t="n"/>
      <c r="E276" s="12" t="n"/>
      <c r="F276" s="12" t="n"/>
      <c r="G276" s="12" t="n"/>
      <c r="H276" s="12" t="n"/>
    </row>
    <row r="277">
      <c r="A277" s="19" t="n"/>
      <c r="B277" s="12" t="n"/>
      <c r="C277" s="12" t="n"/>
      <c r="D277" s="12" t="n"/>
      <c r="E277" s="12" t="n"/>
      <c r="F277" s="12" t="n"/>
      <c r="G277" s="12" t="n"/>
      <c r="H277" s="12" t="n"/>
    </row>
    <row r="278">
      <c r="A278" s="19" t="n"/>
      <c r="B278" s="12" t="n"/>
      <c r="C278" s="12" t="n"/>
      <c r="D278" s="12" t="n"/>
      <c r="E278" s="12" t="n"/>
      <c r="F278" s="12" t="n"/>
      <c r="G278" s="12" t="n"/>
      <c r="H278" s="12" t="n"/>
    </row>
    <row r="279">
      <c r="A279" s="19" t="n"/>
      <c r="B279" s="12" t="n"/>
      <c r="C279" s="12" t="n"/>
      <c r="D279" s="12" t="n"/>
      <c r="E279" s="12" t="n"/>
      <c r="F279" s="12" t="n"/>
      <c r="G279" s="12" t="n"/>
      <c r="H279" s="12" t="n"/>
    </row>
    <row r="280">
      <c r="A280" s="19" t="n"/>
      <c r="B280" s="12" t="n"/>
      <c r="C280" s="12" t="n"/>
      <c r="D280" s="12" t="n"/>
      <c r="E280" s="12" t="n"/>
      <c r="F280" s="12" t="n"/>
      <c r="G280" s="12" t="n"/>
      <c r="H280" s="12" t="n"/>
    </row>
    <row r="281">
      <c r="A281" s="19" t="n"/>
      <c r="B281" s="12" t="n"/>
      <c r="C281" s="12" t="n"/>
      <c r="D281" s="12" t="n"/>
      <c r="E281" s="12" t="n"/>
      <c r="F281" s="12" t="n"/>
      <c r="G281" s="12" t="n"/>
      <c r="H281" s="12" t="n"/>
    </row>
    <row r="282">
      <c r="A282" s="19" t="n"/>
      <c r="B282" s="12" t="n"/>
      <c r="C282" s="12" t="n"/>
      <c r="D282" s="12" t="n"/>
      <c r="E282" s="12" t="n"/>
      <c r="F282" s="12" t="n"/>
      <c r="G282" s="12" t="n"/>
      <c r="H282" s="12" t="n"/>
    </row>
    <row r="283">
      <c r="A283" s="19" t="n"/>
      <c r="B283" s="12" t="n"/>
      <c r="C283" s="12" t="n"/>
      <c r="D283" s="12" t="n"/>
      <c r="E283" s="12" t="n"/>
      <c r="F283" s="12" t="n"/>
      <c r="G283" s="12" t="n"/>
      <c r="H283" s="12" t="n"/>
    </row>
    <row r="284">
      <c r="A284" s="19" t="n"/>
      <c r="B284" s="12" t="n"/>
      <c r="C284" s="12" t="n"/>
      <c r="D284" s="12" t="n"/>
      <c r="E284" s="12" t="n"/>
      <c r="F284" s="12" t="n"/>
      <c r="G284" s="12" t="n"/>
      <c r="H284" s="12" t="n"/>
    </row>
    <row r="285">
      <c r="A285" s="19" t="n"/>
      <c r="B285" s="12" t="n"/>
      <c r="C285" s="12" t="n"/>
      <c r="D285" s="12" t="n"/>
      <c r="E285" s="12" t="n"/>
      <c r="F285" s="12" t="n"/>
      <c r="G285" s="12" t="n"/>
      <c r="H285" s="12" t="n"/>
    </row>
    <row r="286">
      <c r="A286" s="19" t="n"/>
      <c r="B286" s="12" t="n"/>
      <c r="C286" s="12" t="n"/>
      <c r="D286" s="12" t="n"/>
      <c r="E286" s="12" t="n"/>
      <c r="F286" s="12" t="n"/>
      <c r="G286" s="12" t="n"/>
      <c r="H286" s="12" t="n"/>
    </row>
    <row r="287">
      <c r="A287" s="19" t="n"/>
      <c r="B287" s="12" t="n"/>
      <c r="C287" s="12" t="n"/>
      <c r="D287" s="12" t="n"/>
      <c r="E287" s="12" t="n"/>
      <c r="F287" s="12" t="n"/>
      <c r="G287" s="12" t="n"/>
      <c r="H287" s="12" t="n"/>
    </row>
    <row r="288">
      <c r="A288" s="19" t="n"/>
      <c r="B288" s="12" t="n"/>
      <c r="C288" s="12" t="n"/>
      <c r="D288" s="12" t="n"/>
      <c r="E288" s="12" t="n"/>
      <c r="F288" s="12" t="n"/>
      <c r="G288" s="12" t="n"/>
      <c r="H288" s="12" t="n"/>
    </row>
    <row r="289">
      <c r="A289" s="19" t="n"/>
      <c r="B289" s="12" t="n"/>
      <c r="C289" s="12" t="n"/>
      <c r="D289" s="12" t="n"/>
      <c r="E289" s="12" t="n"/>
      <c r="F289" s="12" t="n"/>
      <c r="G289" s="12" t="n"/>
      <c r="H289" s="12" t="n"/>
    </row>
    <row r="290">
      <c r="A290" s="19" t="n"/>
      <c r="B290" s="12" t="n"/>
      <c r="C290" s="12" t="n"/>
      <c r="D290" s="12" t="n"/>
      <c r="E290" s="12" t="n"/>
      <c r="F290" s="12" t="n"/>
      <c r="G290" s="12" t="n"/>
      <c r="H290" s="12" t="n"/>
    </row>
    <row r="291">
      <c r="A291" s="19" t="n"/>
      <c r="B291" s="12" t="n"/>
      <c r="C291" s="12" t="n"/>
      <c r="D291" s="12" t="n"/>
      <c r="E291" s="12" t="n"/>
      <c r="F291" s="12" t="n"/>
      <c r="G291" s="12" t="n"/>
      <c r="H291" s="12" t="n"/>
    </row>
    <row r="292">
      <c r="A292" s="19" t="n"/>
      <c r="B292" s="12" t="n"/>
      <c r="C292" s="12" t="n"/>
      <c r="D292" s="12" t="n"/>
      <c r="E292" s="12" t="n"/>
      <c r="F292" s="12" t="n"/>
      <c r="G292" s="12" t="n"/>
      <c r="H292" s="12" t="n"/>
    </row>
    <row r="293">
      <c r="A293" s="19" t="n"/>
      <c r="B293" s="12" t="n"/>
      <c r="C293" s="12" t="n"/>
      <c r="D293" s="12" t="n"/>
      <c r="E293" s="12" t="n"/>
      <c r="F293" s="12" t="n"/>
      <c r="G293" s="12" t="n"/>
      <c r="H293" s="12" t="n"/>
    </row>
    <row r="294">
      <c r="A294" s="19" t="n"/>
      <c r="B294" s="12" t="n"/>
      <c r="C294" s="12" t="n"/>
      <c r="D294" s="12" t="n"/>
      <c r="E294" s="12" t="n"/>
      <c r="F294" s="12" t="n"/>
      <c r="G294" s="12" t="n"/>
      <c r="H294" s="12" t="n"/>
    </row>
    <row r="295">
      <c r="A295" s="19" t="n"/>
      <c r="B295" s="12" t="n"/>
      <c r="C295" s="12" t="n"/>
      <c r="D295" s="12" t="n"/>
      <c r="E295" s="12" t="n"/>
      <c r="F295" s="12" t="n"/>
      <c r="G295" s="12" t="n"/>
      <c r="H295" s="12" t="n"/>
    </row>
    <row r="296">
      <c r="A296" s="19" t="n"/>
      <c r="B296" s="12" t="n"/>
      <c r="C296" s="12" t="n"/>
      <c r="D296" s="12" t="n"/>
      <c r="E296" s="12" t="n"/>
      <c r="F296" s="12" t="n"/>
      <c r="G296" s="12" t="n"/>
      <c r="H296" s="12" t="n"/>
    </row>
    <row r="297">
      <c r="A297" s="19" t="n"/>
      <c r="B297" s="12" t="n"/>
      <c r="C297" s="12" t="n"/>
      <c r="D297" s="12" t="n"/>
      <c r="E297" s="12" t="n"/>
      <c r="F297" s="12" t="n"/>
      <c r="G297" s="12" t="n"/>
      <c r="H297" s="12" t="n"/>
    </row>
    <row r="298">
      <c r="A298" s="19" t="n"/>
      <c r="B298" s="12" t="n"/>
      <c r="C298" s="12" t="n"/>
      <c r="D298" s="12" t="n"/>
      <c r="E298" s="12" t="n"/>
      <c r="F298" s="12" t="n"/>
      <c r="G298" s="12" t="n"/>
      <c r="H298" s="12" t="n"/>
    </row>
    <row r="299">
      <c r="A299" s="19" t="n"/>
      <c r="B299" s="12" t="n"/>
      <c r="C299" s="12" t="n"/>
      <c r="D299" s="12" t="n"/>
      <c r="E299" s="12" t="n"/>
      <c r="F299" s="12" t="n"/>
      <c r="G299" s="12" t="n"/>
      <c r="H299" s="12" t="n"/>
    </row>
    <row r="300">
      <c r="A300" s="19" t="n"/>
      <c r="B300" s="12" t="n"/>
      <c r="C300" s="12" t="n"/>
      <c r="D300" s="12" t="n"/>
      <c r="E300" s="12" t="n"/>
      <c r="F300" s="12" t="n"/>
      <c r="G300" s="12" t="n"/>
      <c r="H300" s="12" t="n"/>
    </row>
    <row r="301">
      <c r="A301" s="19" t="n"/>
      <c r="B301" s="12" t="n"/>
      <c r="C301" s="12" t="n"/>
      <c r="D301" s="12" t="n"/>
      <c r="E301" s="12" t="n"/>
      <c r="F301" s="12" t="n"/>
      <c r="G301" s="12" t="n"/>
      <c r="H301" s="12" t="n"/>
    </row>
    <row r="302">
      <c r="A302" s="19" t="n"/>
      <c r="B302" s="12" t="n"/>
      <c r="C302" s="12" t="n"/>
      <c r="D302" s="12" t="n"/>
      <c r="E302" s="12" t="n"/>
      <c r="F302" s="12" t="n"/>
      <c r="G302" s="12" t="n"/>
      <c r="H302" s="12" t="n"/>
    </row>
    <row r="303">
      <c r="A303" s="19" t="n"/>
      <c r="B303" s="12" t="n"/>
      <c r="C303" s="12" t="n"/>
      <c r="D303" s="12" t="n"/>
      <c r="E303" s="12" t="n"/>
      <c r="F303" s="12" t="n"/>
      <c r="G303" s="12" t="n"/>
      <c r="H303" s="12" t="n"/>
    </row>
    <row r="304">
      <c r="A304" s="19" t="n"/>
      <c r="B304" s="12" t="n"/>
      <c r="C304" s="12" t="n"/>
      <c r="D304" s="12" t="n"/>
      <c r="E304" s="12" t="n"/>
      <c r="F304" s="12" t="n"/>
      <c r="G304" s="12" t="n"/>
      <c r="H304" s="12" t="n"/>
    </row>
    <row r="305">
      <c r="A305" s="19" t="n"/>
      <c r="B305" s="12" t="n"/>
      <c r="C305" s="12" t="n"/>
      <c r="D305" s="12" t="n"/>
      <c r="E305" s="12" t="n"/>
      <c r="F305" s="12" t="n"/>
      <c r="G305" s="12" t="n"/>
      <c r="H305" s="12" t="n"/>
    </row>
    <row r="306">
      <c r="A306" s="19" t="n"/>
      <c r="B306" s="12" t="n"/>
      <c r="C306" s="12" t="n"/>
      <c r="D306" s="12" t="n"/>
      <c r="E306" s="12" t="n"/>
      <c r="F306" s="12" t="n"/>
      <c r="G306" s="12" t="n"/>
      <c r="H306" s="12" t="n"/>
    </row>
    <row r="307">
      <c r="A307" s="19" t="n"/>
      <c r="B307" s="12" t="n"/>
      <c r="C307" s="12" t="n"/>
      <c r="D307" s="12" t="n"/>
      <c r="E307" s="12" t="n"/>
      <c r="F307" s="12" t="n"/>
      <c r="G307" s="12" t="n"/>
      <c r="H307" s="12" t="n"/>
    </row>
    <row r="308">
      <c r="A308" s="19" t="n"/>
      <c r="B308" s="12" t="n"/>
      <c r="C308" s="12" t="n"/>
      <c r="D308" s="12" t="n"/>
      <c r="E308" s="12" t="n"/>
      <c r="F308" s="12" t="n"/>
      <c r="G308" s="12" t="n"/>
      <c r="H308" s="12" t="n"/>
    </row>
    <row r="309">
      <c r="A309" s="19" t="n"/>
      <c r="B309" s="12" t="n"/>
      <c r="C309" s="12" t="n"/>
      <c r="D309" s="12" t="n"/>
      <c r="E309" s="12" t="n"/>
      <c r="F309" s="12" t="n"/>
      <c r="G309" s="12" t="n"/>
      <c r="H309" s="12" t="n"/>
    </row>
    <row r="310">
      <c r="A310" s="19" t="n"/>
      <c r="B310" s="12" t="n"/>
      <c r="C310" s="12" t="n"/>
      <c r="D310" s="12" t="n"/>
      <c r="E310" s="12" t="n"/>
      <c r="F310" s="12" t="n"/>
      <c r="G310" s="12" t="n"/>
      <c r="H310" s="12" t="n"/>
    </row>
    <row r="311">
      <c r="A311" s="19" t="n"/>
      <c r="B311" s="12" t="n"/>
      <c r="C311" s="12" t="n"/>
      <c r="D311" s="12" t="n"/>
      <c r="E311" s="12" t="n"/>
      <c r="F311" s="12" t="n"/>
      <c r="G311" s="12" t="n"/>
      <c r="H311" s="12" t="n"/>
    </row>
    <row r="312">
      <c r="A312" s="19" t="n"/>
      <c r="B312" s="12" t="n"/>
      <c r="C312" s="12" t="n"/>
      <c r="D312" s="12" t="n"/>
      <c r="E312" s="12" t="n"/>
      <c r="F312" s="12" t="n"/>
      <c r="G312" s="12" t="n"/>
      <c r="H312" s="12" t="n"/>
    </row>
    <row r="313">
      <c r="A313" s="19" t="n"/>
      <c r="B313" s="12" t="n"/>
      <c r="C313" s="12" t="n"/>
      <c r="D313" s="12" t="n"/>
      <c r="E313" s="12" t="n"/>
      <c r="F313" s="12" t="n"/>
      <c r="G313" s="12" t="n"/>
      <c r="H313" s="12" t="n"/>
    </row>
    <row r="314">
      <c r="A314" s="19" t="n"/>
      <c r="B314" s="12" t="n"/>
      <c r="C314" s="12" t="n"/>
      <c r="D314" s="12" t="n"/>
      <c r="E314" s="12" t="n"/>
      <c r="F314" s="12" t="n"/>
      <c r="G314" s="12" t="n"/>
      <c r="H314" s="12" t="n"/>
    </row>
    <row r="315">
      <c r="A315" s="19" t="n"/>
      <c r="B315" s="12" t="n"/>
      <c r="C315" s="12" t="n"/>
      <c r="D315" s="12" t="n"/>
      <c r="E315" s="12" t="n"/>
      <c r="F315" s="12" t="n"/>
      <c r="G315" s="12" t="n"/>
      <c r="H315" s="12" t="n"/>
    </row>
    <row r="316">
      <c r="A316" s="19" t="n"/>
      <c r="B316" s="12" t="n"/>
      <c r="C316" s="12" t="n"/>
      <c r="D316" s="12" t="n"/>
      <c r="E316" s="12" t="n"/>
      <c r="F316" s="12" t="n"/>
      <c r="G316" s="12" t="n"/>
      <c r="H316" s="12" t="n"/>
    </row>
    <row r="317">
      <c r="A317" s="19" t="n"/>
      <c r="B317" s="12" t="n"/>
      <c r="C317" s="12" t="n"/>
      <c r="D317" s="12" t="n"/>
      <c r="E317" s="12" t="n"/>
      <c r="F317" s="12" t="n"/>
      <c r="G317" s="12" t="n"/>
      <c r="H317" s="12" t="n"/>
    </row>
    <row r="318">
      <c r="A318" s="19" t="n"/>
      <c r="B318" s="12" t="n"/>
      <c r="C318" s="12" t="n"/>
      <c r="D318" s="12" t="n"/>
      <c r="E318" s="12" t="n"/>
      <c r="F318" s="12" t="n"/>
      <c r="G318" s="12" t="n"/>
      <c r="H318" s="12" t="n"/>
    </row>
    <row r="319">
      <c r="A319" s="19" t="n"/>
      <c r="B319" s="12" t="n"/>
      <c r="C319" s="12" t="n"/>
      <c r="D319" s="12" t="n"/>
      <c r="E319" s="12" t="n"/>
      <c r="F319" s="12" t="n"/>
      <c r="G319" s="12" t="n"/>
      <c r="H319" s="12" t="n"/>
    </row>
    <row r="320">
      <c r="A320" s="19" t="n"/>
      <c r="B320" s="12" t="n"/>
      <c r="C320" s="12" t="n"/>
      <c r="D320" s="12" t="n"/>
      <c r="E320" s="12" t="n"/>
      <c r="F320" s="12" t="n"/>
      <c r="G320" s="12" t="n"/>
      <c r="H320" s="12" t="n"/>
    </row>
    <row r="321">
      <c r="A321" s="19" t="n"/>
      <c r="B321" s="12" t="n"/>
      <c r="C321" s="12" t="n"/>
      <c r="D321" s="12" t="n"/>
      <c r="E321" s="12" t="n"/>
      <c r="F321" s="12" t="n"/>
      <c r="G321" s="12" t="n"/>
      <c r="H321" s="12" t="n"/>
    </row>
    <row r="322">
      <c r="A322" s="19" t="n"/>
      <c r="B322" s="12" t="n"/>
      <c r="C322" s="12" t="n"/>
      <c r="D322" s="12" t="n"/>
      <c r="E322" s="12" t="n"/>
      <c r="F322" s="12" t="n"/>
      <c r="G322" s="12" t="n"/>
      <c r="H322" s="12" t="n"/>
    </row>
    <row r="323">
      <c r="A323" s="19" t="n"/>
      <c r="B323" s="12" t="n"/>
      <c r="C323" s="12" t="n"/>
      <c r="D323" s="12" t="n"/>
      <c r="E323" s="12" t="n"/>
      <c r="F323" s="12" t="n"/>
      <c r="G323" s="12" t="n"/>
      <c r="H323" s="12" t="n"/>
    </row>
    <row r="324">
      <c r="A324" s="19" t="n"/>
      <c r="B324" s="12" t="n"/>
      <c r="C324" s="12" t="n"/>
      <c r="D324" s="12" t="n"/>
      <c r="E324" s="12" t="n"/>
      <c r="F324" s="12" t="n"/>
      <c r="G324" s="12" t="n"/>
      <c r="H324" s="12" t="n"/>
    </row>
    <row r="325">
      <c r="A325" s="19" t="n"/>
      <c r="B325" s="12" t="n"/>
      <c r="C325" s="12" t="n"/>
      <c r="D325" s="12" t="n"/>
      <c r="E325" s="12" t="n"/>
      <c r="F325" s="12" t="n"/>
      <c r="G325" s="12" t="n"/>
      <c r="H325" s="12" t="n"/>
    </row>
    <row r="326">
      <c r="A326" s="19" t="n"/>
      <c r="B326" s="12" t="n"/>
      <c r="C326" s="12" t="n"/>
      <c r="D326" s="12" t="n"/>
      <c r="E326" s="12" t="n"/>
      <c r="F326" s="12" t="n"/>
      <c r="G326" s="12" t="n"/>
      <c r="H326" s="12" t="n"/>
    </row>
    <row r="327">
      <c r="A327" s="19" t="n"/>
      <c r="B327" s="12" t="n"/>
      <c r="C327" s="12" t="n"/>
      <c r="D327" s="12" t="n"/>
      <c r="E327" s="12" t="n"/>
      <c r="F327" s="12" t="n"/>
      <c r="G327" s="12" t="n"/>
      <c r="H327" s="12" t="n"/>
    </row>
    <row r="328">
      <c r="A328" s="19" t="n"/>
      <c r="B328" s="12" t="n"/>
      <c r="C328" s="12" t="n"/>
      <c r="D328" s="12" t="n"/>
      <c r="E328" s="12" t="n"/>
      <c r="F328" s="12" t="n"/>
      <c r="G328" s="12" t="n"/>
      <c r="H328" s="12" t="n"/>
    </row>
    <row r="329">
      <c r="A329" s="19" t="n"/>
      <c r="B329" s="12" t="n"/>
      <c r="C329" s="12" t="n"/>
      <c r="D329" s="12" t="n"/>
      <c r="E329" s="12" t="n"/>
      <c r="F329" s="12" t="n"/>
      <c r="G329" s="12" t="n"/>
      <c r="H329" s="12" t="n"/>
    </row>
    <row r="330">
      <c r="A330" s="19" t="n"/>
      <c r="B330" s="12" t="n"/>
      <c r="C330" s="12" t="n"/>
      <c r="D330" s="12" t="n"/>
      <c r="E330" s="12" t="n"/>
      <c r="F330" s="12" t="n"/>
      <c r="G330" s="12" t="n"/>
      <c r="H330" s="12" t="n"/>
    </row>
    <row r="331">
      <c r="A331" s="19" t="n"/>
      <c r="B331" s="12" t="n"/>
      <c r="C331" s="12" t="n"/>
      <c r="D331" s="12" t="n"/>
      <c r="E331" s="12" t="n"/>
      <c r="F331" s="12" t="n"/>
      <c r="G331" s="12" t="n"/>
      <c r="H331" s="12" t="n"/>
    </row>
    <row r="332">
      <c r="A332" s="19" t="n"/>
      <c r="B332" s="12" t="n"/>
      <c r="C332" s="12" t="n"/>
      <c r="D332" s="12" t="n"/>
      <c r="E332" s="12" t="n"/>
      <c r="F332" s="12" t="n"/>
      <c r="G332" s="12" t="n"/>
      <c r="H332" s="12" t="n"/>
    </row>
    <row r="333">
      <c r="A333" s="19" t="n"/>
      <c r="B333" s="12" t="n"/>
      <c r="C333" s="12" t="n"/>
      <c r="D333" s="12" t="n"/>
      <c r="E333" s="12" t="n"/>
      <c r="F333" s="12" t="n"/>
      <c r="G333" s="12" t="n"/>
      <c r="H333" s="12" t="n"/>
    </row>
    <row r="334">
      <c r="A334" s="19" t="n"/>
      <c r="B334" s="12" t="n"/>
      <c r="C334" s="12" t="n"/>
      <c r="D334" s="12" t="n"/>
      <c r="E334" s="12" t="n"/>
      <c r="F334" s="12" t="n"/>
      <c r="G334" s="12" t="n"/>
      <c r="H334" s="12" t="n"/>
    </row>
    <row r="335">
      <c r="A335" s="19" t="n"/>
      <c r="B335" s="12" t="n"/>
      <c r="C335" s="12" t="n"/>
      <c r="D335" s="12" t="n"/>
      <c r="E335" s="12" t="n"/>
      <c r="F335" s="12" t="n"/>
      <c r="G335" s="12" t="n"/>
      <c r="H335" s="12" t="n"/>
    </row>
    <row r="336">
      <c r="A336" s="19" t="n"/>
      <c r="B336" s="12" t="n"/>
      <c r="C336" s="12" t="n"/>
      <c r="D336" s="12" t="n"/>
      <c r="E336" s="12" t="n"/>
      <c r="F336" s="12" t="n"/>
      <c r="G336" s="12" t="n"/>
      <c r="H336" s="12" t="n"/>
    </row>
    <row r="337">
      <c r="A337" s="19" t="n"/>
      <c r="B337" s="12" t="n"/>
      <c r="C337" s="12" t="n"/>
      <c r="D337" s="12" t="n"/>
      <c r="E337" s="12" t="n"/>
      <c r="F337" s="12" t="n"/>
      <c r="G337" s="12" t="n"/>
      <c r="H337" s="12" t="n"/>
    </row>
    <row r="338">
      <c r="A338" s="19" t="n"/>
      <c r="B338" s="12" t="n"/>
      <c r="C338" s="12" t="n"/>
      <c r="D338" s="12" t="n"/>
      <c r="E338" s="12" t="n"/>
      <c r="F338" s="12" t="n"/>
      <c r="G338" s="12" t="n"/>
      <c r="H338" s="12" t="n"/>
    </row>
    <row r="339">
      <c r="A339" s="19" t="n"/>
      <c r="B339" s="12" t="n"/>
      <c r="C339" s="12" t="n"/>
      <c r="D339" s="12" t="n"/>
      <c r="E339" s="12" t="n"/>
      <c r="F339" s="12" t="n"/>
      <c r="G339" s="12" t="n"/>
      <c r="H339" s="12" t="n"/>
    </row>
    <row r="340">
      <c r="A340" s="19" t="n"/>
      <c r="B340" s="12" t="n"/>
      <c r="C340" s="12" t="n"/>
      <c r="D340" s="12" t="n"/>
      <c r="E340" s="12" t="n"/>
      <c r="F340" s="12" t="n"/>
      <c r="G340" s="12" t="n"/>
      <c r="H340" s="12" t="n"/>
    </row>
    <row r="341">
      <c r="A341" s="19" t="n"/>
      <c r="B341" s="12" t="n"/>
      <c r="C341" s="12" t="n"/>
      <c r="D341" s="12" t="n"/>
      <c r="E341" s="12" t="n"/>
      <c r="F341" s="12" t="n"/>
      <c r="G341" s="12" t="n"/>
      <c r="H341" s="12" t="n"/>
    </row>
    <row r="342">
      <c r="A342" s="19" t="n"/>
      <c r="B342" s="12" t="n"/>
      <c r="C342" s="12" t="n"/>
      <c r="D342" s="12" t="n"/>
      <c r="E342" s="12" t="n"/>
      <c r="F342" s="12" t="n"/>
      <c r="G342" s="12" t="n"/>
      <c r="H342" s="12" t="n"/>
    </row>
    <row r="343">
      <c r="A343" s="19" t="n"/>
      <c r="B343" s="12" t="n"/>
      <c r="C343" s="12" t="n"/>
      <c r="D343" s="12" t="n"/>
      <c r="E343" s="12" t="n"/>
      <c r="F343" s="12" t="n"/>
      <c r="G343" s="12" t="n"/>
      <c r="H343" s="12" t="n"/>
    </row>
    <row r="344">
      <c r="A344" s="19" t="n"/>
      <c r="B344" s="12" t="n"/>
      <c r="C344" s="12" t="n"/>
      <c r="D344" s="12" t="n"/>
      <c r="E344" s="12" t="n"/>
      <c r="F344" s="12" t="n"/>
      <c r="G344" s="12" t="n"/>
      <c r="H344" s="12" t="n"/>
    </row>
    <row r="345">
      <c r="A345" s="19" t="n"/>
      <c r="B345" s="12" t="n"/>
      <c r="C345" s="12" t="n"/>
      <c r="D345" s="12" t="n"/>
      <c r="E345" s="12" t="n"/>
      <c r="F345" s="12" t="n"/>
      <c r="G345" s="12" t="n"/>
      <c r="H345" s="12" t="n"/>
    </row>
    <row r="346">
      <c r="A346" s="19" t="n"/>
      <c r="B346" s="12" t="n"/>
      <c r="C346" s="12" t="n"/>
      <c r="D346" s="12" t="n"/>
      <c r="E346" s="12" t="n"/>
      <c r="F346" s="12" t="n"/>
      <c r="G346" s="12" t="n"/>
      <c r="H346" s="12" t="n"/>
    </row>
    <row r="347">
      <c r="A347" s="19" t="n"/>
      <c r="B347" s="12" t="n"/>
      <c r="C347" s="12" t="n"/>
      <c r="D347" s="12" t="n"/>
      <c r="E347" s="12" t="n"/>
      <c r="F347" s="12" t="n"/>
      <c r="G347" s="12" t="n"/>
      <c r="H347" s="12" t="n"/>
    </row>
    <row r="348">
      <c r="A348" s="19" t="n"/>
      <c r="B348" s="12" t="n"/>
      <c r="C348" s="12" t="n"/>
      <c r="D348" s="12" t="n"/>
      <c r="E348" s="12" t="n"/>
      <c r="F348" s="12" t="n"/>
      <c r="G348" s="12" t="n"/>
      <c r="H348" s="12" t="n"/>
    </row>
    <row r="349">
      <c r="A349" s="19" t="n"/>
      <c r="B349" s="12" t="n"/>
      <c r="C349" s="12" t="n"/>
      <c r="D349" s="12" t="n"/>
      <c r="E349" s="12" t="n"/>
      <c r="F349" s="12" t="n"/>
      <c r="G349" s="12" t="n"/>
      <c r="H349" s="12" t="n"/>
    </row>
    <row r="350">
      <c r="A350" s="19" t="n"/>
      <c r="B350" s="12" t="n"/>
      <c r="C350" s="12" t="n"/>
      <c r="D350" s="12" t="n"/>
      <c r="E350" s="12" t="n"/>
      <c r="F350" s="12" t="n"/>
      <c r="G350" s="12" t="n"/>
      <c r="H350" s="12" t="n"/>
    </row>
    <row r="351">
      <c r="A351" s="19" t="n"/>
      <c r="B351" s="12" t="n"/>
      <c r="C351" s="12" t="n"/>
      <c r="D351" s="12" t="n"/>
      <c r="E351" s="12" t="n"/>
      <c r="F351" s="12" t="n"/>
      <c r="G351" s="12" t="n"/>
      <c r="H351" s="12" t="n"/>
    </row>
    <row r="352">
      <c r="A352" s="19" t="n"/>
      <c r="B352" s="12" t="n"/>
      <c r="C352" s="12" t="n"/>
      <c r="D352" s="12" t="n"/>
      <c r="E352" s="12" t="n"/>
      <c r="F352" s="12" t="n"/>
      <c r="G352" s="12" t="n"/>
      <c r="H352" s="12" t="n"/>
    </row>
    <row r="353">
      <c r="A353" s="19" t="n"/>
      <c r="B353" s="12" t="n"/>
      <c r="C353" s="12" t="n"/>
      <c r="D353" s="12" t="n"/>
      <c r="E353" s="12" t="n"/>
      <c r="F353" s="12" t="n"/>
      <c r="G353" s="12" t="n"/>
      <c r="H353" s="12" t="n"/>
    </row>
    <row r="354">
      <c r="A354" s="19" t="n"/>
      <c r="B354" s="12" t="n"/>
      <c r="C354" s="12" t="n"/>
      <c r="D354" s="12" t="n"/>
      <c r="E354" s="12" t="n"/>
      <c r="F354" s="12" t="n"/>
      <c r="G354" s="12" t="n"/>
      <c r="H354" s="12" t="n"/>
    </row>
    <row r="355">
      <c r="A355" s="19" t="n"/>
      <c r="B355" s="12" t="n"/>
      <c r="C355" s="12" t="n"/>
      <c r="D355" s="12" t="n"/>
      <c r="E355" s="12" t="n"/>
      <c r="F355" s="12" t="n"/>
      <c r="G355" s="12" t="n"/>
      <c r="H355" s="12" t="n"/>
    </row>
    <row r="356">
      <c r="A356" s="19" t="n"/>
      <c r="B356" s="12" t="n"/>
      <c r="C356" s="12" t="n"/>
      <c r="D356" s="12" t="n"/>
      <c r="E356" s="12" t="n"/>
      <c r="F356" s="12" t="n"/>
      <c r="G356" s="12" t="n"/>
      <c r="H356" s="12" t="n"/>
    </row>
    <row r="357">
      <c r="A357" s="19" t="n"/>
      <c r="B357" s="12" t="n"/>
      <c r="C357" s="12" t="n"/>
      <c r="D357" s="12" t="n"/>
      <c r="E357" s="12" t="n"/>
      <c r="F357" s="12" t="n"/>
      <c r="G357" s="12" t="n"/>
      <c r="H357" s="12" t="n"/>
    </row>
    <row r="358">
      <c r="A358" s="19" t="n"/>
      <c r="B358" s="12" t="n"/>
      <c r="C358" s="12" t="n"/>
      <c r="D358" s="12" t="n"/>
      <c r="E358" s="12" t="n"/>
      <c r="F358" s="12" t="n"/>
      <c r="G358" s="12" t="n"/>
      <c r="H358" s="12" t="n"/>
    </row>
    <row r="359">
      <c r="A359" s="19" t="n"/>
      <c r="B359" s="12" t="n"/>
      <c r="C359" s="12" t="n"/>
      <c r="D359" s="12" t="n"/>
      <c r="E359" s="12" t="n"/>
      <c r="F359" s="12" t="n"/>
      <c r="G359" s="12" t="n"/>
      <c r="H359" s="12" t="n"/>
    </row>
    <row r="360">
      <c r="A360" s="19" t="n"/>
      <c r="B360" s="12" t="n"/>
      <c r="C360" s="12" t="n"/>
      <c r="D360" s="12" t="n"/>
      <c r="E360" s="12" t="n"/>
      <c r="F360" s="12" t="n"/>
      <c r="G360" s="12" t="n"/>
      <c r="H360" s="12" t="n"/>
    </row>
    <row r="361">
      <c r="A361" s="19" t="n"/>
      <c r="B361" s="12" t="n"/>
      <c r="C361" s="12" t="n"/>
      <c r="D361" s="12" t="n"/>
      <c r="E361" s="12" t="n"/>
      <c r="F361" s="12" t="n"/>
      <c r="G361" s="12" t="n"/>
      <c r="H361" s="12" t="n"/>
    </row>
    <row r="362">
      <c r="A362" s="19" t="n"/>
      <c r="B362" s="12" t="n"/>
      <c r="C362" s="12" t="n"/>
      <c r="D362" s="12" t="n"/>
      <c r="E362" s="12" t="n"/>
      <c r="F362" s="12" t="n"/>
      <c r="G362" s="12" t="n"/>
      <c r="H362" s="12" t="n"/>
    </row>
    <row r="363">
      <c r="A363" s="19" t="n"/>
      <c r="B363" s="12" t="n"/>
      <c r="C363" s="12" t="n"/>
      <c r="D363" s="12" t="n"/>
      <c r="E363" s="12" t="n"/>
      <c r="F363" s="12" t="n"/>
      <c r="G363" s="12" t="n"/>
      <c r="H363" s="12" t="n"/>
    </row>
    <row r="364">
      <c r="A364" s="19" t="n"/>
      <c r="B364" s="12" t="n"/>
      <c r="C364" s="12" t="n"/>
      <c r="D364" s="12" t="n"/>
      <c r="E364" s="12" t="n"/>
      <c r="F364" s="12" t="n"/>
      <c r="G364" s="12" t="n"/>
      <c r="H364" s="12" t="n"/>
    </row>
    <row r="365">
      <c r="A365" s="19" t="n"/>
      <c r="B365" s="12" t="n"/>
      <c r="C365" s="12" t="n"/>
      <c r="D365" s="12" t="n"/>
      <c r="E365" s="12" t="n"/>
      <c r="F365" s="12" t="n"/>
      <c r="G365" s="12" t="n"/>
      <c r="H365" s="12" t="n"/>
    </row>
    <row r="366">
      <c r="A366" s="19" t="n"/>
      <c r="B366" s="12" t="n"/>
      <c r="C366" s="12" t="n"/>
      <c r="D366" s="12" t="n"/>
      <c r="E366" s="12" t="n"/>
      <c r="F366" s="12" t="n"/>
      <c r="G366" s="12" t="n"/>
      <c r="H366" s="12" t="n"/>
    </row>
    <row r="367">
      <c r="A367" s="19" t="n"/>
      <c r="B367" s="12" t="n"/>
      <c r="C367" s="12" t="n"/>
      <c r="D367" s="12" t="n"/>
      <c r="E367" s="12" t="n"/>
      <c r="F367" s="12" t="n"/>
      <c r="G367" s="12" t="n"/>
      <c r="H367" s="12" t="n"/>
    </row>
    <row r="368">
      <c r="A368" s="19" t="n"/>
      <c r="B368" s="12" t="n"/>
      <c r="C368" s="12" t="n"/>
      <c r="D368" s="12" t="n"/>
      <c r="E368" s="12" t="n"/>
      <c r="F368" s="12" t="n"/>
      <c r="G368" s="12" t="n"/>
      <c r="H368" s="12" t="n"/>
    </row>
    <row r="369">
      <c r="A369" s="19" t="n"/>
      <c r="B369" s="12" t="n"/>
      <c r="C369" s="12" t="n"/>
      <c r="D369" s="12" t="n"/>
      <c r="E369" s="12" t="n"/>
      <c r="F369" s="12" t="n"/>
      <c r="G369" s="12" t="n"/>
      <c r="H369" s="12" t="n"/>
    </row>
    <row r="370">
      <c r="A370" s="19" t="n"/>
      <c r="B370" s="12" t="n"/>
      <c r="C370" s="12" t="n"/>
      <c r="D370" s="12" t="n"/>
      <c r="E370" s="12" t="n"/>
      <c r="F370" s="12" t="n"/>
      <c r="G370" s="12" t="n"/>
      <c r="H370" s="12" t="n"/>
    </row>
    <row r="371">
      <c r="A371" s="19" t="n"/>
      <c r="B371" s="12" t="n"/>
      <c r="C371" s="12" t="n"/>
      <c r="D371" s="12" t="n"/>
      <c r="E371" s="12" t="n"/>
      <c r="F371" s="12" t="n"/>
      <c r="G371" s="12" t="n"/>
      <c r="H371" s="12" t="n"/>
    </row>
    <row r="372">
      <c r="A372" s="19" t="n"/>
      <c r="B372" s="12" t="n"/>
      <c r="C372" s="12" t="n"/>
      <c r="D372" s="12" t="n"/>
      <c r="E372" s="12" t="n"/>
      <c r="F372" s="12" t="n"/>
      <c r="G372" s="12" t="n"/>
      <c r="H372" s="12" t="n"/>
    </row>
    <row r="373">
      <c r="A373" s="19" t="n"/>
      <c r="B373" s="12" t="n"/>
      <c r="C373" s="12" t="n"/>
      <c r="D373" s="12" t="n"/>
      <c r="E373" s="12" t="n"/>
      <c r="F373" s="12" t="n"/>
      <c r="G373" s="12" t="n"/>
      <c r="H373" s="12" t="n"/>
    </row>
    <row r="374">
      <c r="A374" s="19" t="n"/>
      <c r="B374" s="12" t="n"/>
      <c r="C374" s="12" t="n"/>
      <c r="D374" s="12" t="n"/>
      <c r="E374" s="12" t="n"/>
      <c r="F374" s="12" t="n"/>
      <c r="G374" s="12" t="n"/>
      <c r="H374" s="12" t="n"/>
    </row>
    <row r="375">
      <c r="A375" s="19" t="n"/>
      <c r="B375" s="12" t="n"/>
      <c r="C375" s="12" t="n"/>
      <c r="D375" s="12" t="n"/>
      <c r="E375" s="12" t="n"/>
      <c r="F375" s="12" t="n"/>
      <c r="G375" s="12" t="n"/>
      <c r="H375" s="12" t="n"/>
    </row>
    <row r="376">
      <c r="A376" s="19" t="n"/>
      <c r="B376" s="12" t="n"/>
      <c r="C376" s="12" t="n"/>
      <c r="D376" s="12" t="n"/>
      <c r="E376" s="12" t="n"/>
      <c r="F376" s="12" t="n"/>
      <c r="G376" s="12" t="n"/>
      <c r="H376" s="12" t="n"/>
    </row>
    <row r="377">
      <c r="A377" s="19" t="n"/>
      <c r="B377" s="12" t="n"/>
      <c r="C377" s="12" t="n"/>
      <c r="D377" s="12" t="n"/>
      <c r="E377" s="12" t="n"/>
      <c r="F377" s="12" t="n"/>
      <c r="G377" s="12" t="n"/>
      <c r="H377" s="12" t="n"/>
    </row>
    <row r="378">
      <c r="A378" s="19" t="n"/>
      <c r="B378" s="12" t="n"/>
      <c r="C378" s="12" t="n"/>
      <c r="D378" s="12" t="n"/>
      <c r="E378" s="12" t="n"/>
      <c r="F378" s="12" t="n"/>
      <c r="G378" s="12" t="n"/>
      <c r="H378" s="12" t="n"/>
    </row>
    <row r="379">
      <c r="A379" s="19" t="n"/>
      <c r="B379" s="12" t="n"/>
      <c r="C379" s="12" t="n"/>
      <c r="D379" s="12" t="n"/>
      <c r="E379" s="12" t="n"/>
      <c r="F379" s="12" t="n"/>
      <c r="G379" s="12" t="n"/>
      <c r="H379" s="12" t="n"/>
    </row>
    <row r="380">
      <c r="A380" s="19" t="n"/>
      <c r="B380" s="12" t="n"/>
      <c r="C380" s="12" t="n"/>
      <c r="D380" s="12" t="n"/>
      <c r="E380" s="12" t="n"/>
      <c r="F380" s="12" t="n"/>
      <c r="G380" s="12" t="n"/>
      <c r="H380" s="12" t="n"/>
    </row>
    <row r="381">
      <c r="A381" s="19" t="n"/>
      <c r="B381" s="12" t="n"/>
      <c r="C381" s="12" t="n"/>
      <c r="D381" s="12" t="n"/>
      <c r="E381" s="12" t="n"/>
      <c r="F381" s="12" t="n"/>
      <c r="G381" s="12" t="n"/>
      <c r="H381" s="12" t="n"/>
    </row>
    <row r="382">
      <c r="A382" s="19" t="n"/>
      <c r="B382" s="12" t="n"/>
      <c r="C382" s="12" t="n"/>
      <c r="D382" s="12" t="n"/>
      <c r="E382" s="12" t="n"/>
      <c r="F382" s="12" t="n"/>
      <c r="G382" s="12" t="n"/>
      <c r="H382" s="12" t="n"/>
    </row>
    <row r="383">
      <c r="A383" s="19" t="n"/>
      <c r="B383" s="12" t="n"/>
      <c r="C383" s="12" t="n"/>
      <c r="D383" s="12" t="n"/>
      <c r="E383" s="12" t="n"/>
      <c r="F383" s="12" t="n"/>
      <c r="G383" s="12" t="n"/>
      <c r="H383" s="12" t="n"/>
    </row>
    <row r="384">
      <c r="A384" s="19" t="n"/>
      <c r="B384" s="12" t="n"/>
      <c r="C384" s="12" t="n"/>
      <c r="D384" s="12" t="n"/>
      <c r="E384" s="12" t="n"/>
      <c r="F384" s="12" t="n"/>
      <c r="G384" s="12" t="n"/>
      <c r="H384" s="12" t="n"/>
    </row>
    <row r="385">
      <c r="A385" s="19" t="n"/>
      <c r="B385" s="12" t="n"/>
      <c r="C385" s="12" t="n"/>
      <c r="D385" s="12" t="n"/>
      <c r="E385" s="12" t="n"/>
      <c r="F385" s="12" t="n"/>
      <c r="G385" s="12" t="n"/>
      <c r="H385" s="12" t="n"/>
    </row>
    <row r="386">
      <c r="A386" s="19" t="n"/>
      <c r="B386" s="12" t="n"/>
      <c r="C386" s="12" t="n"/>
      <c r="D386" s="12" t="n"/>
      <c r="E386" s="12" t="n"/>
      <c r="F386" s="12" t="n"/>
      <c r="G386" s="12" t="n"/>
      <c r="H386" s="12" t="n"/>
    </row>
    <row r="387">
      <c r="A387" s="19" t="n"/>
      <c r="B387" s="12" t="n"/>
      <c r="C387" s="12" t="n"/>
      <c r="D387" s="12" t="n"/>
      <c r="E387" s="12" t="n"/>
      <c r="F387" s="12" t="n"/>
      <c r="G387" s="12" t="n"/>
      <c r="H387" s="12" t="n"/>
    </row>
    <row r="388">
      <c r="A388" s="19" t="n"/>
      <c r="B388" s="12" t="n"/>
      <c r="C388" s="12" t="n"/>
      <c r="D388" s="12" t="n"/>
      <c r="E388" s="12" t="n"/>
      <c r="F388" s="12" t="n"/>
      <c r="G388" s="12" t="n"/>
      <c r="H388" s="12" t="n"/>
    </row>
    <row r="389">
      <c r="A389" s="19" t="n"/>
      <c r="B389" s="12" t="n"/>
      <c r="C389" s="12" t="n"/>
      <c r="D389" s="12" t="n"/>
      <c r="E389" s="12" t="n"/>
      <c r="F389" s="12" t="n"/>
      <c r="G389" s="12" t="n"/>
      <c r="H389" s="12" t="n"/>
    </row>
    <row r="390">
      <c r="A390" s="19" t="n"/>
      <c r="B390" s="12" t="n"/>
      <c r="C390" s="12" t="n"/>
      <c r="D390" s="12" t="n"/>
      <c r="E390" s="12" t="n"/>
      <c r="F390" s="12" t="n"/>
      <c r="G390" s="12" t="n"/>
      <c r="H390" s="12" t="n"/>
    </row>
    <row r="391">
      <c r="A391" s="19" t="n"/>
      <c r="B391" s="12" t="n"/>
      <c r="C391" s="12" t="n"/>
      <c r="D391" s="12" t="n"/>
      <c r="E391" s="12" t="n"/>
      <c r="F391" s="12" t="n"/>
      <c r="G391" s="12" t="n"/>
      <c r="H391" s="12" t="n"/>
    </row>
    <row r="392">
      <c r="A392" s="19" t="n"/>
      <c r="B392" s="12" t="n"/>
      <c r="C392" s="12" t="n"/>
      <c r="D392" s="12" t="n"/>
      <c r="E392" s="12" t="n"/>
      <c r="F392" s="12" t="n"/>
      <c r="G392" s="12" t="n"/>
      <c r="H392" s="12" t="n"/>
    </row>
    <row r="393">
      <c r="A393" s="19" t="n"/>
      <c r="B393" s="12" t="n"/>
      <c r="C393" s="12" t="n"/>
      <c r="D393" s="12" t="n"/>
      <c r="E393" s="12" t="n"/>
      <c r="F393" s="12" t="n"/>
      <c r="G393" s="12" t="n"/>
      <c r="H393" s="12" t="n"/>
    </row>
    <row r="394">
      <c r="A394" s="19" t="n"/>
      <c r="B394" s="12" t="n"/>
      <c r="C394" s="12" t="n"/>
      <c r="D394" s="12" t="n"/>
      <c r="E394" s="12" t="n"/>
      <c r="F394" s="12" t="n"/>
      <c r="G394" s="12" t="n"/>
      <c r="H394" s="12" t="n"/>
    </row>
    <row r="395">
      <c r="A395" s="19" t="n"/>
      <c r="B395" s="12" t="n"/>
      <c r="C395" s="12" t="n"/>
      <c r="D395" s="12" t="n"/>
      <c r="E395" s="12" t="n"/>
      <c r="F395" s="12" t="n"/>
      <c r="G395" s="12" t="n"/>
      <c r="H395" s="12" t="n"/>
    </row>
    <row r="396">
      <c r="A396" s="19" t="n"/>
      <c r="B396" s="12" t="n"/>
      <c r="C396" s="12" t="n"/>
      <c r="D396" s="12" t="n"/>
      <c r="E396" s="12" t="n"/>
      <c r="F396" s="12" t="n"/>
      <c r="G396" s="12" t="n"/>
      <c r="H396" s="12" t="n"/>
    </row>
    <row r="397">
      <c r="A397" s="19" t="n"/>
      <c r="B397" s="12" t="n"/>
      <c r="C397" s="12" t="n"/>
      <c r="D397" s="12" t="n"/>
      <c r="E397" s="12" t="n"/>
      <c r="F397" s="12" t="n"/>
      <c r="G397" s="12" t="n"/>
      <c r="H397" s="12" t="n"/>
    </row>
    <row r="398">
      <c r="A398" s="19" t="n"/>
      <c r="B398" s="12" t="n"/>
      <c r="C398" s="12" t="n"/>
      <c r="D398" s="12" t="n"/>
      <c r="E398" s="12" t="n"/>
      <c r="F398" s="12" t="n"/>
      <c r="G398" s="12" t="n"/>
      <c r="H398" s="12" t="n"/>
    </row>
    <row r="399">
      <c r="A399" s="19" t="n"/>
      <c r="B399" s="12" t="n"/>
      <c r="C399" s="12" t="n"/>
      <c r="D399" s="12" t="n"/>
      <c r="E399" s="12" t="n"/>
      <c r="F399" s="12" t="n"/>
      <c r="G399" s="12" t="n"/>
      <c r="H399" s="12" t="n"/>
    </row>
    <row r="400">
      <c r="A400" s="19" t="n"/>
      <c r="B400" s="12" t="n"/>
      <c r="C400" s="12" t="n"/>
      <c r="D400" s="12" t="n"/>
      <c r="E400" s="12" t="n"/>
      <c r="F400" s="12" t="n"/>
      <c r="G400" s="12" t="n"/>
      <c r="H400" s="12" t="n"/>
    </row>
    <row r="401">
      <c r="A401" s="19" t="n"/>
      <c r="B401" s="12" t="n"/>
      <c r="C401" s="12" t="n"/>
      <c r="D401" s="12" t="n"/>
      <c r="E401" s="12" t="n"/>
      <c r="F401" s="12" t="n"/>
      <c r="G401" s="12" t="n"/>
      <c r="H401" s="12" t="n"/>
    </row>
    <row r="402">
      <c r="A402" s="19" t="n"/>
      <c r="B402" s="12" t="n"/>
      <c r="C402" s="12" t="n"/>
      <c r="D402" s="12" t="n"/>
      <c r="E402" s="12" t="n"/>
      <c r="F402" s="12" t="n"/>
      <c r="G402" s="12" t="n"/>
      <c r="H402" s="12" t="n"/>
    </row>
    <row r="403">
      <c r="A403" s="19" t="n"/>
      <c r="B403" s="12" t="n"/>
      <c r="C403" s="12" t="n"/>
      <c r="D403" s="12" t="n"/>
      <c r="E403" s="12" t="n"/>
      <c r="F403" s="12" t="n"/>
      <c r="G403" s="12" t="n"/>
      <c r="H403" s="12" t="n"/>
    </row>
    <row r="404">
      <c r="A404" s="19" t="n"/>
      <c r="B404" s="12" t="n"/>
      <c r="C404" s="12" t="n"/>
      <c r="D404" s="12" t="n"/>
      <c r="E404" s="12" t="n"/>
      <c r="F404" s="12" t="n"/>
      <c r="G404" s="12" t="n"/>
      <c r="H404" s="12" t="n"/>
    </row>
    <row r="405">
      <c r="A405" s="19" t="n"/>
      <c r="B405" s="12" t="n"/>
      <c r="C405" s="12" t="n"/>
      <c r="D405" s="12" t="n"/>
      <c r="E405" s="12" t="n"/>
      <c r="F405" s="12" t="n"/>
      <c r="G405" s="12" t="n"/>
      <c r="H405" s="12" t="n"/>
    </row>
    <row r="406">
      <c r="A406" s="19" t="n"/>
      <c r="B406" s="12" t="n"/>
      <c r="C406" s="12" t="n"/>
      <c r="D406" s="12" t="n"/>
      <c r="E406" s="12" t="n"/>
      <c r="F406" s="12" t="n"/>
      <c r="G406" s="12" t="n"/>
      <c r="H406" s="12" t="n"/>
    </row>
    <row r="407">
      <c r="A407" s="19" t="n"/>
      <c r="B407" s="12" t="n"/>
      <c r="C407" s="12" t="n"/>
      <c r="D407" s="12" t="n"/>
      <c r="E407" s="12" t="n"/>
      <c r="F407" s="12" t="n"/>
      <c r="G407" s="12" t="n"/>
      <c r="H407" s="12" t="n"/>
    </row>
    <row r="408">
      <c r="A408" s="19" t="n"/>
      <c r="B408" s="12" t="n"/>
      <c r="C408" s="12" t="n"/>
      <c r="D408" s="12" t="n"/>
      <c r="E408" s="12" t="n"/>
      <c r="F408" s="12" t="n"/>
      <c r="G408" s="12" t="n"/>
      <c r="H408" s="12" t="n"/>
    </row>
    <row r="409">
      <c r="A409" s="19" t="n"/>
      <c r="B409" s="12" t="n"/>
      <c r="C409" s="12" t="n"/>
      <c r="D409" s="12" t="n"/>
      <c r="E409" s="12" t="n"/>
      <c r="F409" s="12" t="n"/>
      <c r="G409" s="12" t="n"/>
      <c r="H409" s="12" t="n"/>
    </row>
    <row r="410">
      <c r="A410" s="19" t="n"/>
      <c r="B410" s="12" t="n"/>
      <c r="C410" s="12" t="n"/>
      <c r="D410" s="12" t="n"/>
      <c r="E410" s="12" t="n"/>
      <c r="F410" s="12" t="n"/>
      <c r="G410" s="12" t="n"/>
      <c r="H410" s="12" t="n"/>
    </row>
    <row r="411">
      <c r="A411" s="19" t="n"/>
      <c r="B411" s="12" t="n"/>
      <c r="C411" s="12" t="n"/>
      <c r="D411" s="12" t="n"/>
      <c r="E411" s="12" t="n"/>
      <c r="F411" s="12" t="n"/>
      <c r="G411" s="12" t="n"/>
      <c r="H411" s="12" t="n"/>
    </row>
    <row r="412">
      <c r="A412" s="19" t="n"/>
      <c r="B412" s="12" t="n"/>
      <c r="C412" s="12" t="n"/>
      <c r="D412" s="12" t="n"/>
      <c r="E412" s="12" t="n"/>
      <c r="F412" s="12" t="n"/>
      <c r="G412" s="12" t="n"/>
      <c r="H412" s="12" t="n"/>
    </row>
    <row r="413">
      <c r="A413" s="19" t="n"/>
      <c r="B413" s="12" t="n"/>
      <c r="C413" s="12" t="n"/>
      <c r="D413" s="12" t="n"/>
      <c r="E413" s="12" t="n"/>
      <c r="F413" s="12" t="n"/>
      <c r="G413" s="12" t="n"/>
      <c r="H413" s="12" t="n"/>
    </row>
    <row r="414">
      <c r="A414" s="19" t="n"/>
      <c r="B414" s="12" t="n"/>
      <c r="C414" s="12" t="n"/>
      <c r="D414" s="12" t="n"/>
      <c r="E414" s="12" t="n"/>
      <c r="F414" s="12" t="n"/>
      <c r="G414" s="12" t="n"/>
      <c r="H414" s="12" t="n"/>
    </row>
    <row r="415">
      <c r="A415" s="19" t="n"/>
      <c r="B415" s="12" t="n"/>
      <c r="C415" s="12" t="n"/>
      <c r="D415" s="12" t="n"/>
      <c r="E415" s="12" t="n"/>
      <c r="F415" s="12" t="n"/>
      <c r="G415" s="12" t="n"/>
      <c r="H415" s="12" t="n"/>
    </row>
    <row r="416">
      <c r="A416" s="19" t="n"/>
      <c r="B416" s="12" t="n"/>
      <c r="C416" s="12" t="n"/>
      <c r="D416" s="12" t="n"/>
      <c r="E416" s="12" t="n"/>
      <c r="F416" s="12" t="n"/>
      <c r="G416" s="12" t="n"/>
      <c r="H416" s="12" t="n"/>
    </row>
    <row r="417">
      <c r="A417" s="19" t="n"/>
      <c r="B417" s="12" t="n"/>
      <c r="C417" s="12" t="n"/>
      <c r="D417" s="12" t="n"/>
      <c r="E417" s="12" t="n"/>
      <c r="F417" s="12" t="n"/>
      <c r="G417" s="12" t="n"/>
      <c r="H417" s="12" t="n"/>
    </row>
    <row r="418">
      <c r="A418" s="19" t="n"/>
      <c r="B418" s="12" t="n"/>
      <c r="C418" s="12" t="n"/>
      <c r="D418" s="12" t="n"/>
      <c r="E418" s="12" t="n"/>
      <c r="F418" s="12" t="n"/>
      <c r="G418" s="12" t="n"/>
      <c r="H418" s="12" t="n"/>
    </row>
    <row r="419">
      <c r="A419" s="19" t="n"/>
      <c r="B419" s="12" t="n"/>
      <c r="C419" s="12" t="n"/>
      <c r="D419" s="12" t="n"/>
      <c r="E419" s="12" t="n"/>
      <c r="F419" s="12" t="n"/>
      <c r="G419" s="12" t="n"/>
      <c r="H419" s="12" t="n"/>
    </row>
    <row r="420">
      <c r="A420" s="19" t="n"/>
      <c r="B420" s="12" t="n"/>
      <c r="C420" s="12" t="n"/>
      <c r="D420" s="12" t="n"/>
      <c r="E420" s="12" t="n"/>
      <c r="F420" s="12" t="n"/>
      <c r="G420" s="12" t="n"/>
      <c r="H420" s="12" t="n"/>
    </row>
    <row r="421">
      <c r="A421" s="19" t="n"/>
      <c r="B421" s="12" t="n"/>
      <c r="C421" s="12" t="n"/>
      <c r="D421" s="12" t="n"/>
      <c r="E421" s="12" t="n"/>
      <c r="F421" s="12" t="n"/>
      <c r="G421" s="12" t="n"/>
      <c r="H421" s="12" t="n"/>
    </row>
    <row r="422">
      <c r="A422" s="19" t="n"/>
      <c r="B422" s="12" t="n"/>
      <c r="C422" s="12" t="n"/>
      <c r="D422" s="12" t="n"/>
      <c r="E422" s="12" t="n"/>
      <c r="F422" s="12" t="n"/>
      <c r="G422" s="12" t="n"/>
      <c r="H422" s="12" t="n"/>
    </row>
    <row r="423">
      <c r="A423" s="19" t="n"/>
      <c r="B423" s="12" t="n"/>
      <c r="C423" s="12" t="n"/>
      <c r="D423" s="12" t="n"/>
      <c r="E423" s="12" t="n"/>
      <c r="F423" s="12" t="n"/>
      <c r="G423" s="12" t="n"/>
      <c r="H423" s="12" t="n"/>
    </row>
    <row r="424">
      <c r="A424" s="19" t="n"/>
      <c r="B424" s="12" t="n"/>
      <c r="C424" s="12" t="n"/>
      <c r="D424" s="12" t="n"/>
      <c r="E424" s="12" t="n"/>
      <c r="F424" s="12" t="n"/>
      <c r="G424" s="12" t="n"/>
      <c r="H424" s="12" t="n"/>
    </row>
    <row r="425">
      <c r="A425" s="19" t="n"/>
      <c r="B425" s="12" t="n"/>
      <c r="C425" s="12" t="n"/>
      <c r="D425" s="12" t="n"/>
      <c r="E425" s="12" t="n"/>
      <c r="F425" s="12" t="n"/>
      <c r="G425" s="12" t="n"/>
      <c r="H425" s="12" t="n"/>
    </row>
    <row r="426">
      <c r="A426" s="19" t="n"/>
      <c r="B426" s="12" t="n"/>
      <c r="C426" s="12" t="n"/>
      <c r="D426" s="12" t="n"/>
      <c r="E426" s="12" t="n"/>
      <c r="F426" s="12" t="n"/>
      <c r="G426" s="12" t="n"/>
      <c r="H426" s="12" t="n"/>
    </row>
    <row r="427">
      <c r="A427" s="19" t="n"/>
      <c r="B427" s="12" t="n"/>
      <c r="C427" s="12" t="n"/>
      <c r="D427" s="12" t="n"/>
      <c r="E427" s="12" t="n"/>
      <c r="F427" s="12" t="n"/>
      <c r="G427" s="12" t="n"/>
      <c r="H427" s="12" t="n"/>
    </row>
    <row r="428">
      <c r="A428" s="19" t="n"/>
      <c r="B428" s="12" t="n"/>
      <c r="C428" s="12" t="n"/>
      <c r="D428" s="12" t="n"/>
      <c r="E428" s="12" t="n"/>
      <c r="F428" s="12" t="n"/>
      <c r="G428" s="12" t="n"/>
      <c r="H428" s="12" t="n"/>
    </row>
    <row r="429">
      <c r="A429" s="19" t="n"/>
      <c r="B429" s="12" t="n"/>
      <c r="C429" s="12" t="n"/>
      <c r="D429" s="12" t="n"/>
      <c r="E429" s="12" t="n"/>
      <c r="F429" s="12" t="n"/>
      <c r="G429" s="12" t="n"/>
      <c r="H429" s="12" t="n"/>
    </row>
    <row r="430">
      <c r="A430" s="19" t="n"/>
      <c r="B430" s="12" t="n"/>
      <c r="C430" s="12" t="n"/>
      <c r="D430" s="12" t="n"/>
      <c r="E430" s="12" t="n"/>
      <c r="F430" s="12" t="n"/>
      <c r="G430" s="12" t="n"/>
      <c r="H430" s="12" t="n"/>
    </row>
    <row r="431">
      <c r="A431" s="19" t="n"/>
      <c r="B431" s="12" t="n"/>
      <c r="C431" s="12" t="n"/>
      <c r="D431" s="12" t="n"/>
      <c r="E431" s="12" t="n"/>
      <c r="F431" s="12" t="n"/>
      <c r="G431" s="12" t="n"/>
      <c r="H431" s="12" t="n"/>
    </row>
    <row r="432">
      <c r="A432" s="19" t="n"/>
      <c r="B432" s="12" t="n"/>
      <c r="C432" s="12" t="n"/>
      <c r="D432" s="12" t="n"/>
      <c r="E432" s="12" t="n"/>
      <c r="F432" s="12" t="n"/>
      <c r="G432" s="12" t="n"/>
      <c r="H432" s="12" t="n"/>
    </row>
    <row r="433">
      <c r="A433" s="19" t="n"/>
      <c r="B433" s="12" t="n"/>
      <c r="C433" s="12" t="n"/>
      <c r="D433" s="12" t="n"/>
      <c r="E433" s="12" t="n"/>
      <c r="F433" s="12" t="n"/>
      <c r="G433" s="12" t="n"/>
      <c r="H433" s="12" t="n"/>
    </row>
    <row r="434">
      <c r="A434" s="19" t="n"/>
      <c r="B434" s="12" t="n"/>
      <c r="C434" s="12" t="n"/>
      <c r="D434" s="12" t="n"/>
      <c r="E434" s="12" t="n"/>
      <c r="F434" s="12" t="n"/>
      <c r="G434" s="12" t="n"/>
      <c r="H434" s="12" t="n"/>
    </row>
    <row r="435">
      <c r="A435" s="19" t="n"/>
      <c r="B435" s="12" t="n"/>
      <c r="C435" s="12" t="n"/>
      <c r="D435" s="12" t="n"/>
      <c r="E435" s="12" t="n"/>
      <c r="F435" s="12" t="n"/>
      <c r="G435" s="12" t="n"/>
      <c r="H435" s="12" t="n"/>
    </row>
    <row r="436">
      <c r="A436" s="19" t="n"/>
      <c r="B436" s="12" t="n"/>
      <c r="C436" s="12" t="n"/>
      <c r="D436" s="12" t="n"/>
      <c r="E436" s="12" t="n"/>
      <c r="F436" s="12" t="n"/>
      <c r="G436" s="12" t="n"/>
      <c r="H436" s="12" t="n"/>
    </row>
    <row r="437">
      <c r="A437" s="19" t="n"/>
      <c r="B437" s="12" t="n"/>
      <c r="C437" s="12" t="n"/>
      <c r="D437" s="12" t="n"/>
      <c r="E437" s="12" t="n"/>
      <c r="F437" s="12" t="n"/>
      <c r="G437" s="12" t="n"/>
      <c r="H437" s="12" t="n"/>
    </row>
    <row r="438">
      <c r="A438" s="19" t="n"/>
      <c r="B438" s="12" t="n"/>
      <c r="C438" s="12" t="n"/>
      <c r="D438" s="12" t="n"/>
      <c r="E438" s="12" t="n"/>
      <c r="F438" s="12" t="n"/>
      <c r="G438" s="12" t="n"/>
      <c r="H438" s="12" t="n"/>
    </row>
    <row r="439">
      <c r="A439" s="19" t="n"/>
      <c r="B439" s="12" t="n"/>
      <c r="C439" s="12" t="n"/>
      <c r="D439" s="12" t="n"/>
      <c r="E439" s="12" t="n"/>
      <c r="F439" s="12" t="n"/>
      <c r="G439" s="12" t="n"/>
      <c r="H439" s="12" t="n"/>
    </row>
    <row r="440">
      <c r="A440" s="19" t="n"/>
      <c r="B440" s="12" t="n"/>
      <c r="C440" s="12" t="n"/>
      <c r="D440" s="12" t="n"/>
      <c r="E440" s="12" t="n"/>
      <c r="F440" s="12" t="n"/>
      <c r="G440" s="12" t="n"/>
      <c r="H440" s="12" t="n"/>
    </row>
    <row r="441">
      <c r="A441" s="19" t="n"/>
      <c r="B441" s="12" t="n"/>
      <c r="C441" s="12" t="n"/>
      <c r="D441" s="12" t="n"/>
      <c r="E441" s="12" t="n"/>
      <c r="F441" s="12" t="n"/>
      <c r="G441" s="12" t="n"/>
      <c r="H441" s="12" t="n"/>
    </row>
    <row r="442">
      <c r="A442" s="19" t="n"/>
      <c r="B442" s="12" t="n"/>
      <c r="C442" s="12" t="n"/>
      <c r="D442" s="12" t="n"/>
      <c r="E442" s="12" t="n"/>
      <c r="F442" s="12" t="n"/>
      <c r="G442" s="12" t="n"/>
      <c r="H442" s="12" t="n"/>
    </row>
    <row r="443">
      <c r="A443" s="19" t="n"/>
      <c r="B443" s="12" t="n"/>
      <c r="C443" s="12" t="n"/>
      <c r="D443" s="12" t="n"/>
      <c r="E443" s="12" t="n"/>
      <c r="F443" s="12" t="n"/>
      <c r="G443" s="12" t="n"/>
      <c r="H443" s="12" t="n"/>
    </row>
    <row r="444">
      <c r="A444" s="19" t="n"/>
      <c r="B444" s="12" t="n"/>
      <c r="C444" s="12" t="n"/>
      <c r="D444" s="12" t="n"/>
      <c r="E444" s="12" t="n"/>
      <c r="F444" s="12" t="n"/>
      <c r="G444" s="12" t="n"/>
      <c r="H444" s="12" t="n"/>
    </row>
    <row r="445">
      <c r="A445" s="19" t="n"/>
      <c r="B445" s="12" t="n"/>
      <c r="C445" s="12" t="n"/>
      <c r="D445" s="12" t="n"/>
      <c r="E445" s="12" t="n"/>
      <c r="F445" s="12" t="n"/>
      <c r="G445" s="12" t="n"/>
      <c r="H445" s="12" t="n"/>
    </row>
    <row r="446">
      <c r="A446" s="19" t="n"/>
      <c r="B446" s="12" t="n"/>
      <c r="C446" s="12" t="n"/>
      <c r="D446" s="12" t="n"/>
      <c r="E446" s="12" t="n"/>
      <c r="F446" s="12" t="n"/>
      <c r="G446" s="12" t="n"/>
      <c r="H446" s="12" t="n"/>
    </row>
    <row r="447">
      <c r="A447" s="19" t="n"/>
      <c r="B447" s="12" t="n"/>
      <c r="C447" s="12" t="n"/>
      <c r="D447" s="12" t="n"/>
      <c r="E447" s="12" t="n"/>
      <c r="F447" s="12" t="n"/>
      <c r="G447" s="12" t="n"/>
      <c r="H447" s="12" t="n"/>
    </row>
    <row r="448">
      <c r="A448" s="19" t="n"/>
      <c r="B448" s="12" t="n"/>
      <c r="C448" s="12" t="n"/>
      <c r="D448" s="12" t="n"/>
      <c r="E448" s="12" t="n"/>
      <c r="F448" s="12" t="n"/>
      <c r="G448" s="12" t="n"/>
      <c r="H448" s="12" t="n"/>
    </row>
    <row r="449">
      <c r="A449" s="19" t="n"/>
      <c r="B449" s="12" t="n"/>
      <c r="C449" s="12" t="n"/>
      <c r="D449" s="12" t="n"/>
      <c r="E449" s="12" t="n"/>
      <c r="F449" s="12" t="n"/>
      <c r="G449" s="12" t="n"/>
      <c r="H449" s="12" t="n"/>
    </row>
    <row r="450">
      <c r="A450" s="19" t="n"/>
      <c r="B450" s="12" t="n"/>
      <c r="C450" s="12" t="n"/>
      <c r="D450" s="12" t="n"/>
      <c r="E450" s="12" t="n"/>
      <c r="F450" s="12" t="n"/>
      <c r="G450" s="12" t="n"/>
      <c r="H450" s="12" t="n"/>
    </row>
    <row r="451">
      <c r="A451" s="19" t="n"/>
      <c r="B451" s="12" t="n"/>
      <c r="C451" s="12" t="n"/>
      <c r="D451" s="12" t="n"/>
      <c r="E451" s="12" t="n"/>
      <c r="F451" s="12" t="n"/>
      <c r="G451" s="12" t="n"/>
      <c r="H451" s="12" t="n"/>
    </row>
    <row r="452">
      <c r="A452" s="19" t="n"/>
      <c r="B452" s="12" t="n"/>
      <c r="C452" s="12" t="n"/>
      <c r="D452" s="12" t="n"/>
      <c r="E452" s="12" t="n"/>
      <c r="F452" s="12" t="n"/>
      <c r="G452" s="12" t="n"/>
      <c r="H452" s="12" t="n"/>
    </row>
    <row r="453">
      <c r="A453" s="19" t="n"/>
      <c r="B453" s="12" t="n"/>
      <c r="C453" s="12" t="n"/>
      <c r="D453" s="12" t="n"/>
      <c r="E453" s="12" t="n"/>
      <c r="F453" s="12" t="n"/>
      <c r="G453" s="12" t="n"/>
      <c r="H453" s="12" t="n"/>
    </row>
    <row r="454">
      <c r="A454" s="19" t="n"/>
      <c r="B454" s="12" t="n"/>
      <c r="C454" s="12" t="n"/>
      <c r="D454" s="12" t="n"/>
      <c r="E454" s="12" t="n"/>
      <c r="F454" s="12" t="n"/>
      <c r="G454" s="12" t="n"/>
      <c r="H454" s="12" t="n"/>
    </row>
    <row r="455">
      <c r="A455" s="19" t="n"/>
      <c r="B455" s="12" t="n"/>
      <c r="C455" s="12" t="n"/>
      <c r="D455" s="12" t="n"/>
      <c r="E455" s="12" t="n"/>
      <c r="F455" s="12" t="n"/>
      <c r="G455" s="12" t="n"/>
      <c r="H455" s="12" t="n"/>
    </row>
    <row r="456">
      <c r="A456" s="19" t="n"/>
      <c r="B456" s="12" t="n"/>
      <c r="C456" s="12" t="n"/>
      <c r="D456" s="12" t="n"/>
      <c r="E456" s="12" t="n"/>
      <c r="F456" s="12" t="n"/>
      <c r="G456" s="12" t="n"/>
      <c r="H456" s="12" t="n"/>
    </row>
    <row r="457">
      <c r="A457" s="19" t="n"/>
      <c r="B457" s="12" t="n"/>
      <c r="C457" s="12" t="n"/>
      <c r="D457" s="12" t="n"/>
      <c r="E457" s="12" t="n"/>
      <c r="F457" s="12" t="n"/>
      <c r="G457" s="12" t="n"/>
      <c r="H457" s="12" t="n"/>
    </row>
    <row r="458">
      <c r="A458" s="19" t="n"/>
      <c r="B458" s="12" t="n"/>
      <c r="C458" s="12" t="n"/>
      <c r="D458" s="12" t="n"/>
      <c r="E458" s="12" t="n"/>
      <c r="F458" s="12" t="n"/>
      <c r="G458" s="12" t="n"/>
      <c r="H458" s="12" t="n"/>
    </row>
    <row r="459">
      <c r="A459" s="19" t="n"/>
      <c r="B459" s="12" t="n"/>
      <c r="C459" s="12" t="n"/>
      <c r="D459" s="12" t="n"/>
      <c r="E459" s="12" t="n"/>
      <c r="F459" s="12" t="n"/>
      <c r="G459" s="12" t="n"/>
      <c r="H459" s="12" t="n"/>
    </row>
    <row r="460">
      <c r="A460" s="19" t="n"/>
      <c r="B460" s="12" t="n"/>
      <c r="C460" s="12" t="n"/>
      <c r="D460" s="12" t="n"/>
      <c r="E460" s="12" t="n"/>
      <c r="F460" s="12" t="n"/>
      <c r="G460" s="12" t="n"/>
      <c r="H460" s="12" t="n"/>
    </row>
    <row r="461">
      <c r="A461" s="19" t="n"/>
      <c r="B461" s="12" t="n"/>
      <c r="C461" s="12" t="n"/>
      <c r="D461" s="12" t="n"/>
      <c r="E461" s="12" t="n"/>
      <c r="F461" s="12" t="n"/>
      <c r="G461" s="12" t="n"/>
      <c r="H461" s="12" t="n"/>
    </row>
    <row r="462">
      <c r="A462" s="19" t="n"/>
      <c r="B462" s="12" t="n"/>
      <c r="C462" s="12" t="n"/>
      <c r="D462" s="12" t="n"/>
      <c r="E462" s="12" t="n"/>
      <c r="F462" s="12" t="n"/>
      <c r="G462" s="12" t="n"/>
      <c r="H462" s="12" t="n"/>
    </row>
    <row r="463">
      <c r="A463" s="19" t="n"/>
      <c r="B463" s="12" t="n"/>
      <c r="C463" s="12" t="n"/>
      <c r="D463" s="12" t="n"/>
      <c r="E463" s="12" t="n"/>
      <c r="F463" s="12" t="n"/>
      <c r="G463" s="12" t="n"/>
      <c r="H463" s="12" t="n"/>
    </row>
    <row r="464">
      <c r="A464" s="19" t="n"/>
      <c r="B464" s="12" t="n"/>
      <c r="C464" s="12" t="n"/>
      <c r="D464" s="12" t="n"/>
      <c r="E464" s="12" t="n"/>
      <c r="F464" s="12" t="n"/>
      <c r="G464" s="12" t="n"/>
      <c r="H464" s="12" t="n"/>
    </row>
    <row r="465">
      <c r="A465" s="19" t="n"/>
      <c r="B465" s="12" t="n"/>
      <c r="C465" s="12" t="n"/>
      <c r="D465" s="12" t="n"/>
      <c r="E465" s="12" t="n"/>
      <c r="F465" s="12" t="n"/>
      <c r="G465" s="12" t="n"/>
      <c r="H465" s="12" t="n"/>
    </row>
    <row r="466">
      <c r="A466" s="19" t="n"/>
      <c r="B466" s="12" t="n"/>
      <c r="C466" s="12" t="n"/>
      <c r="D466" s="12" t="n"/>
      <c r="E466" s="12" t="n"/>
      <c r="F466" s="12" t="n"/>
      <c r="G466" s="12" t="n"/>
      <c r="H466" s="12" t="n"/>
    </row>
    <row r="467">
      <c r="A467" s="19" t="n"/>
      <c r="B467" s="12" t="n"/>
      <c r="C467" s="12" t="n"/>
      <c r="D467" s="12" t="n"/>
      <c r="E467" s="12" t="n"/>
      <c r="F467" s="12" t="n"/>
      <c r="G467" s="12" t="n"/>
      <c r="H467" s="12" t="n"/>
    </row>
    <row r="468">
      <c r="A468" s="19" t="n"/>
      <c r="B468" s="12" t="n"/>
      <c r="C468" s="12" t="n"/>
      <c r="D468" s="12" t="n"/>
      <c r="E468" s="12" t="n"/>
      <c r="F468" s="12" t="n"/>
      <c r="G468" s="12" t="n"/>
      <c r="H468" s="12" t="n"/>
    </row>
    <row r="469">
      <c r="A469" s="19" t="n"/>
      <c r="B469" s="12" t="n"/>
      <c r="C469" s="12" t="n"/>
      <c r="D469" s="12" t="n"/>
      <c r="E469" s="12" t="n"/>
      <c r="F469" s="12" t="n"/>
      <c r="G469" s="12" t="n"/>
      <c r="H469" s="12" t="n"/>
    </row>
    <row r="470">
      <c r="A470" s="19" t="n"/>
      <c r="B470" s="12" t="n"/>
      <c r="C470" s="12" t="n"/>
      <c r="D470" s="12" t="n"/>
      <c r="E470" s="12" t="n"/>
      <c r="F470" s="12" t="n"/>
      <c r="G470" s="12" t="n"/>
      <c r="H470" s="12" t="n"/>
    </row>
    <row r="471">
      <c r="A471" s="19" t="n"/>
      <c r="B471" s="12" t="n"/>
      <c r="C471" s="12" t="n"/>
      <c r="D471" s="12" t="n"/>
      <c r="E471" s="12" t="n"/>
      <c r="F471" s="12" t="n"/>
      <c r="G471" s="12" t="n"/>
      <c r="H471" s="12" t="n"/>
    </row>
    <row r="472">
      <c r="A472" s="19" t="n"/>
      <c r="B472" s="12" t="n"/>
      <c r="C472" s="12" t="n"/>
      <c r="D472" s="12" t="n"/>
      <c r="E472" s="12" t="n"/>
      <c r="F472" s="12" t="n"/>
      <c r="G472" s="12" t="n"/>
      <c r="H472" s="12" t="n"/>
    </row>
    <row r="473">
      <c r="A473" s="19" t="n"/>
      <c r="B473" s="12" t="n"/>
      <c r="C473" s="12" t="n"/>
      <c r="D473" s="12" t="n"/>
      <c r="E473" s="12" t="n"/>
      <c r="F473" s="12" t="n"/>
      <c r="G473" s="12" t="n"/>
      <c r="H473" s="12" t="n"/>
    </row>
    <row r="474">
      <c r="A474" s="19" t="n"/>
      <c r="B474" s="12" t="n"/>
      <c r="C474" s="12" t="n"/>
      <c r="D474" s="12" t="n"/>
      <c r="E474" s="12" t="n"/>
      <c r="F474" s="12" t="n"/>
      <c r="G474" s="12" t="n"/>
      <c r="H474" s="12" t="n"/>
    </row>
    <row r="475">
      <c r="A475" s="19" t="n"/>
      <c r="B475" s="12" t="n"/>
      <c r="C475" s="12" t="n"/>
      <c r="D475" s="12" t="n"/>
      <c r="E475" s="12" t="n"/>
      <c r="F475" s="12" t="n"/>
      <c r="G475" s="12" t="n"/>
      <c r="H475" s="12" t="n"/>
    </row>
    <row r="476">
      <c r="A476" s="19" t="n"/>
      <c r="B476" s="12" t="n"/>
      <c r="C476" s="12" t="n"/>
      <c r="D476" s="12" t="n"/>
      <c r="E476" s="12" t="n"/>
      <c r="F476" s="12" t="n"/>
      <c r="G476" s="12" t="n"/>
      <c r="H476" s="12" t="n"/>
    </row>
    <row r="477">
      <c r="A477" s="19" t="n"/>
      <c r="B477" s="12" t="n"/>
      <c r="C477" s="12" t="n"/>
      <c r="D477" s="12" t="n"/>
      <c r="E477" s="12" t="n"/>
      <c r="F477" s="12" t="n"/>
      <c r="G477" s="12" t="n"/>
      <c r="H477" s="12" t="n"/>
    </row>
    <row r="478">
      <c r="A478" s="19" t="n"/>
      <c r="B478" s="12" t="n"/>
      <c r="C478" s="12" t="n"/>
      <c r="D478" s="12" t="n"/>
      <c r="E478" s="12" t="n"/>
      <c r="F478" s="12" t="n"/>
      <c r="G478" s="12" t="n"/>
      <c r="H478" s="12" t="n"/>
    </row>
    <row r="479">
      <c r="A479" s="19" t="n"/>
      <c r="B479" s="12" t="n"/>
      <c r="C479" s="12" t="n"/>
      <c r="D479" s="12" t="n"/>
      <c r="E479" s="12" t="n"/>
      <c r="F479" s="12" t="n"/>
      <c r="G479" s="12" t="n"/>
      <c r="H479" s="12" t="n"/>
    </row>
    <row r="480">
      <c r="A480" s="19" t="n"/>
      <c r="B480" s="12" t="n"/>
      <c r="C480" s="12" t="n"/>
      <c r="D480" s="12" t="n"/>
      <c r="E480" s="12" t="n"/>
      <c r="F480" s="12" t="n"/>
      <c r="G480" s="12" t="n"/>
      <c r="H480" s="12" t="n"/>
    </row>
    <row r="481">
      <c r="A481" s="19" t="n"/>
      <c r="B481" s="12" t="n"/>
      <c r="C481" s="12" t="n"/>
      <c r="D481" s="12" t="n"/>
      <c r="E481" s="12" t="n"/>
      <c r="F481" s="12" t="n"/>
      <c r="G481" s="12" t="n"/>
      <c r="H481" s="12" t="n"/>
    </row>
    <row r="482">
      <c r="A482" s="19" t="n"/>
      <c r="B482" s="12" t="n"/>
      <c r="C482" s="12" t="n"/>
      <c r="D482" s="12" t="n"/>
      <c r="E482" s="12" t="n"/>
      <c r="F482" s="12" t="n"/>
      <c r="G482" s="12" t="n"/>
      <c r="H482" s="12" t="n"/>
    </row>
    <row r="483">
      <c r="A483" s="19" t="n"/>
      <c r="B483" s="12" t="n"/>
      <c r="C483" s="12" t="n"/>
      <c r="D483" s="12" t="n"/>
      <c r="E483" s="12" t="n"/>
      <c r="F483" s="12" t="n"/>
      <c r="G483" s="12" t="n"/>
      <c r="H483" s="12" t="n"/>
    </row>
    <row r="484">
      <c r="A484" s="19" t="n"/>
      <c r="B484" s="12" t="n"/>
      <c r="C484" s="12" t="n"/>
      <c r="D484" s="12" t="n"/>
      <c r="E484" s="12" t="n"/>
      <c r="F484" s="12" t="n"/>
      <c r="G484" s="12" t="n"/>
      <c r="H484" s="12" t="n"/>
    </row>
    <row r="485">
      <c r="A485" s="19" t="n"/>
      <c r="B485" s="12" t="n"/>
      <c r="C485" s="12" t="n"/>
      <c r="D485" s="12" t="n"/>
      <c r="E485" s="12" t="n"/>
      <c r="F485" s="12" t="n"/>
      <c r="G485" s="12" t="n"/>
      <c r="H485" s="12" t="n"/>
    </row>
    <row r="486">
      <c r="A486" s="19" t="n"/>
      <c r="B486" s="12" t="n"/>
      <c r="C486" s="12" t="n"/>
      <c r="D486" s="12" t="n"/>
      <c r="E486" s="12" t="n"/>
      <c r="F486" s="12" t="n"/>
      <c r="G486" s="12" t="n"/>
      <c r="H486" s="12" t="n"/>
    </row>
    <row r="487">
      <c r="A487" s="19" t="n"/>
      <c r="B487" s="12" t="n"/>
      <c r="C487" s="12" t="n"/>
      <c r="D487" s="12" t="n"/>
      <c r="E487" s="12" t="n"/>
      <c r="F487" s="12" t="n"/>
      <c r="G487" s="12" t="n"/>
      <c r="H487" s="12" t="n"/>
    </row>
    <row r="488">
      <c r="A488" s="19" t="n"/>
      <c r="B488" s="12" t="n"/>
      <c r="C488" s="12" t="n"/>
      <c r="D488" s="12" t="n"/>
      <c r="E488" s="12" t="n"/>
      <c r="F488" s="12" t="n"/>
      <c r="G488" s="12" t="n"/>
      <c r="H488" s="12" t="n"/>
    </row>
    <row r="489">
      <c r="A489" s="19" t="n"/>
      <c r="B489" s="12" t="n"/>
      <c r="C489" s="12" t="n"/>
      <c r="D489" s="12" t="n"/>
      <c r="E489" s="12" t="n"/>
      <c r="F489" s="12" t="n"/>
      <c r="G489" s="12" t="n"/>
      <c r="H489" s="12" t="n"/>
    </row>
    <row r="490">
      <c r="A490" s="19" t="n"/>
      <c r="B490" s="12" t="n"/>
      <c r="C490" s="12" t="n"/>
      <c r="D490" s="12" t="n"/>
      <c r="E490" s="12" t="n"/>
      <c r="F490" s="12" t="n"/>
      <c r="G490" s="12" t="n"/>
      <c r="H490" s="12" t="n"/>
    </row>
    <row r="491">
      <c r="A491" s="19" t="n"/>
      <c r="B491" s="12" t="n"/>
      <c r="C491" s="12" t="n"/>
      <c r="D491" s="12" t="n"/>
      <c r="E491" s="12" t="n"/>
      <c r="F491" s="12" t="n"/>
      <c r="G491" s="12" t="n"/>
      <c r="H491" s="12" t="n"/>
    </row>
    <row r="492">
      <c r="A492" s="19" t="n"/>
      <c r="B492" s="12" t="n"/>
      <c r="C492" s="12" t="n"/>
      <c r="D492" s="12" t="n"/>
      <c r="E492" s="12" t="n"/>
      <c r="F492" s="12" t="n"/>
      <c r="G492" s="12" t="n"/>
      <c r="H492" s="12" t="n"/>
    </row>
    <row r="493">
      <c r="A493" s="19" t="n"/>
      <c r="B493" s="12" t="n"/>
      <c r="C493" s="12" t="n"/>
      <c r="D493" s="12" t="n"/>
      <c r="E493" s="12" t="n"/>
      <c r="F493" s="12" t="n"/>
      <c r="G493" s="12" t="n"/>
      <c r="H493" s="12" t="n"/>
    </row>
    <row r="494">
      <c r="A494" s="19" t="n"/>
      <c r="B494" s="12" t="n"/>
      <c r="C494" s="12" t="n"/>
      <c r="D494" s="12" t="n"/>
      <c r="E494" s="12" t="n"/>
      <c r="F494" s="12" t="n"/>
      <c r="G494" s="12" t="n"/>
      <c r="H494" s="12" t="n"/>
    </row>
    <row r="495">
      <c r="A495" s="19" t="n"/>
      <c r="B495" s="12" t="n"/>
      <c r="C495" s="12" t="n"/>
      <c r="D495" s="12" t="n"/>
      <c r="E495" s="12" t="n"/>
      <c r="F495" s="12" t="n"/>
      <c r="G495" s="12" t="n"/>
      <c r="H495" s="12" t="n"/>
    </row>
    <row r="496">
      <c r="A496" s="19" t="n"/>
      <c r="B496" s="12" t="n"/>
      <c r="C496" s="12" t="n"/>
      <c r="D496" s="12" t="n"/>
      <c r="E496" s="12" t="n"/>
      <c r="F496" s="12" t="n"/>
      <c r="G496" s="12" t="n"/>
      <c r="H496" s="12" t="n"/>
    </row>
    <row r="497">
      <c r="A497" s="19" t="n"/>
      <c r="B497" s="12" t="n"/>
      <c r="C497" s="12" t="n"/>
      <c r="D497" s="12" t="n"/>
      <c r="E497" s="12" t="n"/>
      <c r="F497" s="12" t="n"/>
      <c r="G497" s="12" t="n"/>
      <c r="H497" s="12" t="n"/>
    </row>
    <row r="498">
      <c r="A498" s="19" t="n"/>
      <c r="B498" s="12" t="n"/>
      <c r="C498" s="12" t="n"/>
      <c r="D498" s="12" t="n"/>
      <c r="E498" s="12" t="n"/>
      <c r="F498" s="12" t="n"/>
      <c r="G498" s="12" t="n"/>
      <c r="H498" s="12" t="n"/>
    </row>
    <row r="499">
      <c r="A499" s="19" t="n"/>
      <c r="B499" s="12" t="n"/>
      <c r="C499" s="12" t="n"/>
      <c r="D499" s="12" t="n"/>
      <c r="E499" s="12" t="n"/>
      <c r="F499" s="12" t="n"/>
      <c r="G499" s="12" t="n"/>
      <c r="H499" s="12" t="n"/>
    </row>
    <row r="500">
      <c r="A500" s="19" t="n"/>
      <c r="B500" s="12" t="n"/>
      <c r="C500" s="12" t="n"/>
      <c r="D500" s="12" t="n"/>
      <c r="E500" s="12" t="n"/>
      <c r="F500" s="12" t="n"/>
      <c r="G500" s="12" t="n"/>
      <c r="H500" s="12" t="n"/>
    </row>
    <row r="501">
      <c r="A501" s="19" t="n"/>
      <c r="B501" s="12" t="n"/>
      <c r="C501" s="12" t="n"/>
      <c r="D501" s="12" t="n"/>
      <c r="E501" s="12" t="n"/>
      <c r="F501" s="12" t="n"/>
      <c r="G501" s="12" t="n"/>
      <c r="H501" s="12" t="n"/>
    </row>
    <row r="502">
      <c r="A502" s="19" t="n"/>
      <c r="B502" s="12" t="n"/>
      <c r="C502" s="12" t="n"/>
      <c r="D502" s="12" t="n"/>
      <c r="E502" s="12" t="n"/>
      <c r="F502" s="12" t="n"/>
      <c r="G502" s="12" t="n"/>
      <c r="H502" s="12" t="n"/>
    </row>
    <row r="503">
      <c r="A503" s="19" t="n"/>
      <c r="B503" s="12" t="n"/>
      <c r="C503" s="12" t="n"/>
      <c r="D503" s="12" t="n"/>
      <c r="E503" s="12" t="n"/>
      <c r="F503" s="12" t="n"/>
      <c r="G503" s="12" t="n"/>
      <c r="H503" s="12" t="n"/>
    </row>
    <row r="504">
      <c r="A504" s="19" t="n"/>
      <c r="B504" s="12" t="n"/>
      <c r="C504" s="12" t="n"/>
      <c r="D504" s="12" t="n"/>
      <c r="E504" s="12" t="n"/>
      <c r="F504" s="12" t="n"/>
      <c r="G504" s="12" t="n"/>
      <c r="H504" s="12" t="n"/>
    </row>
    <row r="505">
      <c r="A505" s="19" t="n"/>
      <c r="B505" s="12" t="n"/>
      <c r="C505" s="12" t="n"/>
      <c r="D505" s="12" t="n"/>
      <c r="E505" s="12" t="n"/>
      <c r="F505" s="12" t="n"/>
      <c r="G505" s="12" t="n"/>
      <c r="H505" s="12" t="n"/>
    </row>
    <row r="506">
      <c r="A506" s="19" t="n"/>
      <c r="B506" s="12" t="n"/>
      <c r="C506" s="12" t="n"/>
      <c r="D506" s="12" t="n"/>
      <c r="E506" s="12" t="n"/>
      <c r="F506" s="12" t="n"/>
      <c r="G506" s="12" t="n"/>
      <c r="H506" s="12" t="n"/>
    </row>
    <row r="507">
      <c r="A507" s="19" t="n"/>
      <c r="B507" s="12" t="n"/>
      <c r="C507" s="12" t="n"/>
      <c r="D507" s="12" t="n"/>
      <c r="E507" s="12" t="n"/>
      <c r="F507" s="12" t="n"/>
      <c r="G507" s="12" t="n"/>
      <c r="H507" s="12" t="n"/>
    </row>
    <row r="508">
      <c r="A508" s="19" t="n"/>
      <c r="B508" s="12" t="n"/>
      <c r="C508" s="12" t="n"/>
      <c r="D508" s="12" t="n"/>
      <c r="E508" s="12" t="n"/>
      <c r="F508" s="12" t="n"/>
      <c r="G508" s="12" t="n"/>
      <c r="H508" s="12" t="n"/>
    </row>
    <row r="509">
      <c r="A509" s="19" t="n"/>
      <c r="B509" s="12" t="n"/>
      <c r="C509" s="12" t="n"/>
      <c r="D509" s="12" t="n"/>
      <c r="E509" s="12" t="n"/>
      <c r="F509" s="12" t="n"/>
      <c r="G509" s="12" t="n"/>
      <c r="H509" s="12" t="n"/>
    </row>
    <row r="510">
      <c r="A510" s="19" t="n"/>
      <c r="B510" s="12" t="n"/>
      <c r="C510" s="12" t="n"/>
      <c r="D510" s="12" t="n"/>
      <c r="E510" s="12" t="n"/>
      <c r="F510" s="12" t="n"/>
      <c r="G510" s="12" t="n"/>
      <c r="H510" s="12" t="n"/>
    </row>
    <row r="511">
      <c r="A511" s="19" t="n"/>
      <c r="B511" s="12" t="n"/>
      <c r="C511" s="12" t="n"/>
      <c r="D511" s="12" t="n"/>
      <c r="E511" s="12" t="n"/>
      <c r="F511" s="12" t="n"/>
      <c r="G511" s="12" t="n"/>
      <c r="H511" s="12" t="n"/>
    </row>
    <row r="512">
      <c r="A512" s="19" t="n"/>
      <c r="B512" s="12" t="n"/>
      <c r="C512" s="12" t="n"/>
      <c r="D512" s="12" t="n"/>
      <c r="E512" s="12" t="n"/>
      <c r="F512" s="12" t="n"/>
      <c r="G512" s="12" t="n"/>
      <c r="H512" s="12" t="n"/>
    </row>
    <row r="513">
      <c r="A513" s="19" t="n"/>
      <c r="B513" s="12" t="n"/>
      <c r="C513" s="12" t="n"/>
      <c r="D513" s="12" t="n"/>
      <c r="E513" s="12" t="n"/>
      <c r="F513" s="12" t="n"/>
      <c r="G513" s="12" t="n"/>
      <c r="H513" s="12" t="n"/>
    </row>
    <row r="514">
      <c r="A514" s="19" t="n"/>
      <c r="B514" s="12" t="n"/>
      <c r="C514" s="12" t="n"/>
      <c r="D514" s="12" t="n"/>
      <c r="E514" s="12" t="n"/>
      <c r="F514" s="12" t="n"/>
      <c r="G514" s="12" t="n"/>
      <c r="H514" s="12" t="n"/>
    </row>
    <row r="515">
      <c r="A515" s="19" t="n"/>
      <c r="B515" s="12" t="n"/>
      <c r="C515" s="12" t="n"/>
      <c r="D515" s="12" t="n"/>
      <c r="E515" s="12" t="n"/>
      <c r="F515" s="12" t="n"/>
      <c r="G515" s="12" t="n"/>
      <c r="H515" s="12" t="n"/>
    </row>
    <row r="516">
      <c r="A516" s="19" t="n"/>
      <c r="B516" s="12" t="n"/>
      <c r="C516" s="12" t="n"/>
      <c r="D516" s="12" t="n"/>
      <c r="E516" s="12" t="n"/>
      <c r="F516" s="12" t="n"/>
      <c r="G516" s="12" t="n"/>
      <c r="H516" s="12" t="n"/>
    </row>
    <row r="517">
      <c r="A517" s="19" t="n"/>
      <c r="B517" s="12" t="n"/>
      <c r="C517" s="12" t="n"/>
      <c r="D517" s="12" t="n"/>
      <c r="E517" s="12" t="n"/>
      <c r="F517" s="12" t="n"/>
      <c r="G517" s="12" t="n"/>
      <c r="H517" s="12" t="n"/>
    </row>
    <row r="518">
      <c r="A518" s="19" t="n"/>
      <c r="B518" s="12" t="n"/>
      <c r="C518" s="12" t="n"/>
      <c r="D518" s="12" t="n"/>
      <c r="E518" s="12" t="n"/>
      <c r="F518" s="12" t="n"/>
      <c r="G518" s="12" t="n"/>
      <c r="H518" s="12" t="n"/>
    </row>
    <row r="519">
      <c r="A519" s="19" t="n"/>
      <c r="B519" s="12" t="n"/>
      <c r="C519" s="12" t="n"/>
      <c r="D519" s="12" t="n"/>
      <c r="E519" s="12" t="n"/>
      <c r="F519" s="12" t="n"/>
      <c r="G519" s="12" t="n"/>
      <c r="H519" s="12" t="n"/>
    </row>
    <row r="520">
      <c r="A520" s="19" t="n"/>
      <c r="B520" s="12" t="n"/>
      <c r="C520" s="12" t="n"/>
      <c r="D520" s="12" t="n"/>
      <c r="E520" s="12" t="n"/>
      <c r="F520" s="12" t="n"/>
      <c r="G520" s="12" t="n"/>
      <c r="H520" s="12" t="n"/>
    </row>
    <row r="521">
      <c r="A521" s="19" t="n"/>
      <c r="B521" s="12" t="n"/>
      <c r="C521" s="12" t="n"/>
      <c r="D521" s="12" t="n"/>
      <c r="E521" s="12" t="n"/>
      <c r="F521" s="12" t="n"/>
      <c r="G521" s="12" t="n"/>
      <c r="H521" s="12" t="n"/>
    </row>
    <row r="522">
      <c r="A522" s="19" t="n"/>
      <c r="B522" s="12" t="n"/>
      <c r="C522" s="12" t="n"/>
      <c r="D522" s="12" t="n"/>
      <c r="E522" s="12" t="n"/>
      <c r="F522" s="12" t="n"/>
      <c r="G522" s="12" t="n"/>
      <c r="H522" s="12" t="n"/>
    </row>
    <row r="523">
      <c r="A523" s="19" t="n"/>
      <c r="B523" s="12" t="n"/>
      <c r="C523" s="12" t="n"/>
      <c r="D523" s="12" t="n"/>
      <c r="E523" s="12" t="n"/>
      <c r="F523" s="12" t="n"/>
      <c r="G523" s="12" t="n"/>
      <c r="H523" s="12" t="n"/>
    </row>
    <row r="524">
      <c r="A524" s="19" t="n"/>
      <c r="B524" s="12" t="n"/>
      <c r="C524" s="12" t="n"/>
      <c r="D524" s="12" t="n"/>
      <c r="E524" s="12" t="n"/>
      <c r="F524" s="12" t="n"/>
      <c r="G524" s="12" t="n"/>
      <c r="H524" s="12" t="n"/>
    </row>
    <row r="525">
      <c r="A525" s="19" t="n"/>
      <c r="B525" s="12" t="n"/>
      <c r="C525" s="12" t="n"/>
      <c r="D525" s="12" t="n"/>
      <c r="E525" s="12" t="n"/>
      <c r="F525" s="12" t="n"/>
      <c r="G525" s="12" t="n"/>
      <c r="H525" s="12" t="n"/>
    </row>
    <row r="526">
      <c r="A526" s="19" t="n"/>
      <c r="B526" s="12" t="n"/>
      <c r="C526" s="12" t="n"/>
      <c r="D526" s="12" t="n"/>
      <c r="E526" s="12" t="n"/>
      <c r="F526" s="12" t="n"/>
      <c r="G526" s="12" t="n"/>
      <c r="H526" s="12" t="n"/>
    </row>
    <row r="527">
      <c r="A527" s="19" t="n"/>
      <c r="B527" s="12" t="n"/>
      <c r="C527" s="12" t="n"/>
      <c r="D527" s="12" t="n"/>
      <c r="E527" s="12" t="n"/>
      <c r="F527" s="12" t="n"/>
      <c r="G527" s="12" t="n"/>
      <c r="H527" s="12" t="n"/>
    </row>
    <row r="528">
      <c r="A528" s="19" t="n"/>
      <c r="B528" s="12" t="n"/>
      <c r="C528" s="12" t="n"/>
      <c r="D528" s="12" t="n"/>
      <c r="E528" s="12" t="n"/>
      <c r="F528" s="12" t="n"/>
      <c r="G528" s="12" t="n"/>
      <c r="H528" s="12" t="n"/>
    </row>
    <row r="529">
      <c r="A529" s="19" t="n"/>
      <c r="B529" s="12" t="n"/>
      <c r="C529" s="12" t="n"/>
      <c r="D529" s="12" t="n"/>
      <c r="E529" s="12" t="n"/>
      <c r="F529" s="12" t="n"/>
      <c r="G529" s="12" t="n"/>
      <c r="H529" s="12" t="n"/>
    </row>
    <row r="530">
      <c r="A530" s="19" t="n"/>
      <c r="B530" s="12" t="n"/>
      <c r="C530" s="12" t="n"/>
      <c r="D530" s="12" t="n"/>
      <c r="E530" s="12" t="n"/>
      <c r="F530" s="12" t="n"/>
      <c r="G530" s="12" t="n"/>
      <c r="H530" s="12" t="n"/>
    </row>
    <row r="531">
      <c r="A531" s="19" t="n"/>
      <c r="B531" s="12" t="n"/>
      <c r="C531" s="12" t="n"/>
      <c r="D531" s="12" t="n"/>
      <c r="E531" s="12" t="n"/>
      <c r="F531" s="12" t="n"/>
      <c r="G531" s="12" t="n"/>
      <c r="H531" s="12" t="n"/>
    </row>
    <row r="532">
      <c r="A532" s="19" t="n"/>
      <c r="B532" s="12" t="n"/>
      <c r="C532" s="12" t="n"/>
      <c r="D532" s="12" t="n"/>
      <c r="E532" s="12" t="n"/>
      <c r="F532" s="12" t="n"/>
      <c r="G532" s="12" t="n"/>
      <c r="H532" s="12" t="n"/>
    </row>
    <row r="533">
      <c r="A533" s="19" t="n"/>
      <c r="B533" s="12" t="n"/>
      <c r="C533" s="12" t="n"/>
      <c r="D533" s="12" t="n"/>
      <c r="E533" s="12" t="n"/>
      <c r="F533" s="12" t="n"/>
      <c r="G533" s="12" t="n"/>
      <c r="H533" s="12" t="n"/>
    </row>
    <row r="534">
      <c r="A534" s="19" t="n"/>
      <c r="B534" s="12" t="n"/>
      <c r="C534" s="12" t="n"/>
      <c r="D534" s="12" t="n"/>
      <c r="E534" s="12" t="n"/>
      <c r="F534" s="12" t="n"/>
      <c r="G534" s="12" t="n"/>
      <c r="H534" s="12" t="n"/>
    </row>
    <row r="535">
      <c r="A535" s="19" t="n"/>
      <c r="B535" s="12" t="n"/>
      <c r="C535" s="12" t="n"/>
      <c r="D535" s="12" t="n"/>
      <c r="E535" s="12" t="n"/>
      <c r="F535" s="12" t="n"/>
      <c r="G535" s="12" t="n"/>
      <c r="H535" s="12" t="n"/>
    </row>
    <row r="536">
      <c r="A536" s="19" t="n"/>
      <c r="B536" s="12" t="n"/>
      <c r="C536" s="12" t="n"/>
      <c r="D536" s="12" t="n"/>
      <c r="E536" s="12" t="n"/>
      <c r="F536" s="12" t="n"/>
      <c r="G536" s="12" t="n"/>
      <c r="H536" s="12" t="n"/>
    </row>
    <row r="537">
      <c r="A537" s="19" t="n"/>
      <c r="B537" s="12" t="n"/>
      <c r="C537" s="12" t="n"/>
      <c r="D537" s="12" t="n"/>
      <c r="E537" s="12" t="n"/>
      <c r="F537" s="12" t="n"/>
      <c r="G537" s="12" t="n"/>
      <c r="H537" s="12" t="n"/>
    </row>
    <row r="538">
      <c r="A538" s="19" t="n"/>
      <c r="B538" s="12" t="n"/>
      <c r="C538" s="12" t="n"/>
      <c r="D538" s="12" t="n"/>
      <c r="E538" s="12" t="n"/>
      <c r="F538" s="12" t="n"/>
      <c r="G538" s="12" t="n"/>
      <c r="H538" s="12" t="n"/>
    </row>
    <row r="539">
      <c r="A539" s="19" t="n"/>
      <c r="B539" s="12" t="n"/>
      <c r="C539" s="12" t="n"/>
      <c r="D539" s="12" t="n"/>
      <c r="E539" s="12" t="n"/>
      <c r="F539" s="12" t="n"/>
      <c r="G539" s="12" t="n"/>
      <c r="H539" s="12" t="n"/>
    </row>
    <row r="540">
      <c r="A540" s="19" t="n"/>
      <c r="B540" s="12" t="n"/>
      <c r="C540" s="12" t="n"/>
      <c r="D540" s="12" t="n"/>
      <c r="E540" s="12" t="n"/>
      <c r="F540" s="12" t="n"/>
      <c r="G540" s="12" t="n"/>
      <c r="H540" s="12" t="n"/>
    </row>
    <row r="541">
      <c r="A541" s="19" t="n"/>
      <c r="B541" s="12" t="n"/>
      <c r="C541" s="12" t="n"/>
      <c r="D541" s="12" t="n"/>
      <c r="E541" s="12" t="n"/>
      <c r="F541" s="12" t="n"/>
      <c r="G541" s="12" t="n"/>
      <c r="H541" s="12" t="n"/>
    </row>
    <row r="542">
      <c r="A542" s="19" t="n"/>
      <c r="B542" s="12" t="n"/>
      <c r="C542" s="12" t="n"/>
      <c r="D542" s="12" t="n"/>
      <c r="E542" s="12" t="n"/>
      <c r="F542" s="12" t="n"/>
      <c r="G542" s="12" t="n"/>
      <c r="H542" s="12" t="n"/>
    </row>
    <row r="543">
      <c r="A543" s="19" t="n"/>
      <c r="B543" s="12" t="n"/>
      <c r="C543" s="12" t="n"/>
      <c r="D543" s="12" t="n"/>
      <c r="E543" s="12" t="n"/>
      <c r="F543" s="12" t="n"/>
      <c r="G543" s="12" t="n"/>
      <c r="H543" s="12" t="n"/>
    </row>
    <row r="544">
      <c r="A544" s="19" t="n"/>
      <c r="B544" s="12" t="n"/>
      <c r="C544" s="12" t="n"/>
      <c r="D544" s="12" t="n"/>
      <c r="E544" s="12" t="n"/>
      <c r="F544" s="12" t="n"/>
      <c r="G544" s="12" t="n"/>
      <c r="H544" s="12" t="n"/>
    </row>
    <row r="545">
      <c r="A545" s="19" t="n"/>
      <c r="B545" s="12" t="n"/>
      <c r="C545" s="12" t="n"/>
      <c r="D545" s="12" t="n"/>
      <c r="E545" s="12" t="n"/>
      <c r="F545" s="12" t="n"/>
      <c r="G545" s="12" t="n"/>
      <c r="H545" s="12" t="n"/>
    </row>
    <row r="546">
      <c r="A546" s="19" t="n"/>
      <c r="B546" s="12" t="n"/>
      <c r="C546" s="12" t="n"/>
      <c r="D546" s="12" t="n"/>
      <c r="E546" s="12" t="n"/>
      <c r="F546" s="12" t="n"/>
      <c r="G546" s="12" t="n"/>
      <c r="H546" s="12" t="n"/>
    </row>
    <row r="547">
      <c r="A547" s="19" t="n"/>
      <c r="B547" s="12" t="n"/>
      <c r="C547" s="12" t="n"/>
      <c r="D547" s="12" t="n"/>
      <c r="E547" s="12" t="n"/>
      <c r="F547" s="12" t="n"/>
      <c r="G547" s="12" t="n"/>
      <c r="H547" s="12" t="n"/>
    </row>
    <row r="548">
      <c r="A548" s="19" t="n"/>
      <c r="B548" s="12" t="n"/>
      <c r="C548" s="12" t="n"/>
      <c r="D548" s="12" t="n"/>
      <c r="E548" s="12" t="n"/>
      <c r="F548" s="12" t="n"/>
      <c r="G548" s="12" t="n"/>
      <c r="H548" s="12" t="n"/>
    </row>
    <row r="549">
      <c r="A549" s="19" t="n"/>
      <c r="B549" s="12" t="n"/>
      <c r="C549" s="12" t="n"/>
      <c r="D549" s="12" t="n"/>
      <c r="E549" s="12" t="n"/>
      <c r="F549" s="12" t="n"/>
      <c r="G549" s="12" t="n"/>
      <c r="H549" s="12" t="n"/>
    </row>
    <row r="550">
      <c r="A550" s="19" t="n"/>
      <c r="B550" s="12" t="n"/>
      <c r="C550" s="12" t="n"/>
      <c r="D550" s="12" t="n"/>
      <c r="E550" s="12" t="n"/>
      <c r="F550" s="12" t="n"/>
      <c r="G550" s="12" t="n"/>
      <c r="H550" s="12" t="n"/>
    </row>
    <row r="551">
      <c r="A551" s="19" t="n"/>
      <c r="B551" s="12" t="n"/>
      <c r="C551" s="12" t="n"/>
      <c r="D551" s="12" t="n"/>
      <c r="E551" s="12" t="n"/>
      <c r="F551" s="12" t="n"/>
      <c r="G551" s="12" t="n"/>
      <c r="H551" s="12" t="n"/>
    </row>
    <row r="552">
      <c r="A552" s="19" t="n"/>
      <c r="B552" s="12" t="n"/>
      <c r="C552" s="12" t="n"/>
      <c r="D552" s="12" t="n"/>
      <c r="E552" s="12" t="n"/>
      <c r="F552" s="12" t="n"/>
      <c r="G552" s="12" t="n"/>
      <c r="H552" s="12" t="n"/>
    </row>
    <row r="553">
      <c r="A553" s="19" t="n"/>
      <c r="B553" s="12" t="n"/>
      <c r="C553" s="12" t="n"/>
      <c r="D553" s="12" t="n"/>
      <c r="E553" s="12" t="n"/>
      <c r="F553" s="12" t="n"/>
      <c r="G553" s="12" t="n"/>
      <c r="H553" s="12" t="n"/>
    </row>
    <row r="554">
      <c r="A554" s="19" t="n"/>
      <c r="B554" s="12" t="n"/>
      <c r="C554" s="12" t="n"/>
      <c r="D554" s="12" t="n"/>
      <c r="E554" s="12" t="n"/>
      <c r="F554" s="12" t="n"/>
      <c r="G554" s="12" t="n"/>
      <c r="H554" s="12" t="n"/>
    </row>
    <row r="555">
      <c r="A555" s="19" t="n"/>
      <c r="B555" s="12" t="n"/>
      <c r="C555" s="12" t="n"/>
      <c r="D555" s="12" t="n"/>
      <c r="E555" s="12" t="n"/>
      <c r="F555" s="12" t="n"/>
      <c r="G555" s="12" t="n"/>
      <c r="H555" s="12" t="n"/>
    </row>
    <row r="556">
      <c r="A556" s="19" t="n"/>
      <c r="B556" s="12" t="n"/>
      <c r="C556" s="12" t="n"/>
      <c r="D556" s="12" t="n"/>
      <c r="E556" s="12" t="n"/>
      <c r="F556" s="12" t="n"/>
      <c r="G556" s="12" t="n"/>
      <c r="H556" s="12" t="n"/>
    </row>
    <row r="557">
      <c r="A557" s="19" t="n"/>
      <c r="B557" s="12" t="n"/>
      <c r="C557" s="12" t="n"/>
      <c r="D557" s="12" t="n"/>
      <c r="E557" s="12" t="n"/>
      <c r="F557" s="12" t="n"/>
      <c r="G557" s="12" t="n"/>
      <c r="H557" s="12" t="n"/>
    </row>
    <row r="558">
      <c r="A558" s="19" t="n"/>
      <c r="B558" s="12" t="n"/>
      <c r="C558" s="12" t="n"/>
      <c r="D558" s="12" t="n"/>
      <c r="E558" s="12" t="n"/>
      <c r="F558" s="12" t="n"/>
      <c r="G558" s="12" t="n"/>
      <c r="H558" s="12" t="n"/>
    </row>
    <row r="559">
      <c r="A559" s="19" t="n"/>
      <c r="B559" s="12" t="n"/>
      <c r="C559" s="12" t="n"/>
      <c r="D559" s="12" t="n"/>
      <c r="E559" s="12" t="n"/>
      <c r="F559" s="12" t="n"/>
      <c r="G559" s="12" t="n"/>
      <c r="H559" s="12" t="n"/>
    </row>
    <row r="560">
      <c r="A560" s="19" t="n"/>
      <c r="B560" s="12" t="n"/>
      <c r="C560" s="12" t="n"/>
      <c r="D560" s="12" t="n"/>
      <c r="E560" s="12" t="n"/>
      <c r="F560" s="12" t="n"/>
      <c r="G560" s="12" t="n"/>
      <c r="H560" s="12" t="n"/>
    </row>
    <row r="561">
      <c r="A561" s="19" t="n"/>
      <c r="B561" s="12" t="n"/>
      <c r="C561" s="12" t="n"/>
      <c r="D561" s="12" t="n"/>
      <c r="E561" s="12" t="n"/>
      <c r="F561" s="12" t="n"/>
      <c r="G561" s="12" t="n"/>
      <c r="H561" s="12" t="n"/>
    </row>
    <row r="562">
      <c r="A562" s="19" t="n"/>
      <c r="B562" s="12" t="n"/>
      <c r="C562" s="12" t="n"/>
      <c r="D562" s="12" t="n"/>
      <c r="E562" s="12" t="n"/>
      <c r="F562" s="12" t="n"/>
      <c r="G562" s="12" t="n"/>
      <c r="H562" s="12" t="n"/>
    </row>
    <row r="563">
      <c r="A563" s="19" t="n"/>
      <c r="B563" s="12" t="n"/>
      <c r="C563" s="12" t="n"/>
      <c r="D563" s="12" t="n"/>
      <c r="E563" s="12" t="n"/>
      <c r="F563" s="12" t="n"/>
      <c r="G563" s="12" t="n"/>
      <c r="H563" s="12" t="n"/>
    </row>
    <row r="564">
      <c r="A564" s="19" t="n"/>
      <c r="B564" s="12" t="n"/>
      <c r="C564" s="12" t="n"/>
      <c r="D564" s="12" t="n"/>
      <c r="E564" s="12" t="n"/>
      <c r="F564" s="12" t="n"/>
      <c r="G564" s="12" t="n"/>
      <c r="H564" s="12" t="n"/>
    </row>
    <row r="565">
      <c r="A565" s="19" t="n"/>
      <c r="B565" s="12" t="n"/>
      <c r="C565" s="12" t="n"/>
      <c r="D565" s="12" t="n"/>
      <c r="E565" s="12" t="n"/>
      <c r="F565" s="12" t="n"/>
      <c r="G565" s="12" t="n"/>
      <c r="H565" s="12" t="n"/>
    </row>
    <row r="566">
      <c r="A566" s="19" t="n"/>
      <c r="B566" s="12" t="n"/>
      <c r="C566" s="12" t="n"/>
      <c r="D566" s="12" t="n"/>
      <c r="E566" s="12" t="n"/>
      <c r="F566" s="12" t="n"/>
      <c r="G566" s="12" t="n"/>
      <c r="H566" s="12" t="n"/>
    </row>
    <row r="567">
      <c r="A567" s="19" t="n"/>
      <c r="B567" s="12" t="n"/>
      <c r="C567" s="12" t="n"/>
      <c r="D567" s="12" t="n"/>
      <c r="E567" s="12" t="n"/>
      <c r="F567" s="12" t="n"/>
      <c r="G567" s="12" t="n"/>
      <c r="H567" s="12" t="n"/>
    </row>
    <row r="568">
      <c r="A568" s="19" t="n"/>
      <c r="B568" s="12" t="n"/>
      <c r="C568" s="12" t="n"/>
      <c r="D568" s="12" t="n"/>
      <c r="E568" s="12" t="n"/>
      <c r="F568" s="12" t="n"/>
      <c r="G568" s="12" t="n"/>
      <c r="H568" s="12" t="n"/>
    </row>
    <row r="569">
      <c r="A569" s="19" t="n"/>
      <c r="B569" s="12" t="n"/>
      <c r="C569" s="12" t="n"/>
      <c r="D569" s="12" t="n"/>
      <c r="E569" s="12" t="n"/>
      <c r="F569" s="12" t="n"/>
      <c r="G569" s="12" t="n"/>
      <c r="H569" s="12" t="n"/>
    </row>
    <row r="570">
      <c r="A570" s="19" t="n"/>
      <c r="B570" s="12" t="n"/>
      <c r="C570" s="12" t="n"/>
      <c r="D570" s="12" t="n"/>
      <c r="E570" s="12" t="n"/>
      <c r="F570" s="12" t="n"/>
      <c r="G570" s="12" t="n"/>
      <c r="H570" s="12" t="n"/>
    </row>
    <row r="571">
      <c r="A571" s="19" t="n"/>
      <c r="B571" s="12" t="n"/>
      <c r="C571" s="12" t="n"/>
      <c r="D571" s="12" t="n"/>
      <c r="E571" s="12" t="n"/>
      <c r="F571" s="12" t="n"/>
      <c r="G571" s="12" t="n"/>
      <c r="H571" s="12" t="n"/>
    </row>
    <row r="572">
      <c r="A572" s="19" t="n"/>
      <c r="B572" s="12" t="n"/>
      <c r="C572" s="12" t="n"/>
      <c r="D572" s="12" t="n"/>
      <c r="E572" s="12" t="n"/>
      <c r="F572" s="12" t="n"/>
      <c r="G572" s="12" t="n"/>
      <c r="H572" s="12" t="n"/>
    </row>
    <row r="573">
      <c r="A573" s="19" t="n"/>
      <c r="B573" s="12" t="n"/>
      <c r="C573" s="12" t="n"/>
      <c r="D573" s="12" t="n"/>
      <c r="E573" s="12" t="n"/>
      <c r="F573" s="12" t="n"/>
      <c r="G573" s="12" t="n"/>
      <c r="H573" s="12" t="n"/>
    </row>
    <row r="574">
      <c r="A574" s="19" t="n"/>
      <c r="B574" s="12" t="n"/>
      <c r="C574" s="12" t="n"/>
      <c r="D574" s="12" t="n"/>
      <c r="E574" s="12" t="n"/>
      <c r="F574" s="12" t="n"/>
      <c r="G574" s="12" t="n"/>
      <c r="H574" s="12" t="n"/>
    </row>
    <row r="575">
      <c r="A575" s="19" t="n"/>
      <c r="B575" s="12" t="n"/>
      <c r="C575" s="12" t="n"/>
      <c r="D575" s="12" t="n"/>
      <c r="E575" s="12" t="n"/>
      <c r="F575" s="12" t="n"/>
      <c r="G575" s="12" t="n"/>
      <c r="H575" s="12" t="n"/>
    </row>
    <row r="576">
      <c r="A576" s="19" t="n"/>
      <c r="B576" s="12" t="n"/>
      <c r="C576" s="12" t="n"/>
      <c r="D576" s="12" t="n"/>
      <c r="E576" s="12" t="n"/>
      <c r="F576" s="12" t="n"/>
      <c r="G576" s="12" t="n"/>
      <c r="H576" s="12" t="n"/>
    </row>
    <row r="577">
      <c r="A577" s="19" t="n"/>
      <c r="B577" s="12" t="n"/>
      <c r="C577" s="12" t="n"/>
      <c r="D577" s="12" t="n"/>
      <c r="E577" s="12" t="n"/>
      <c r="F577" s="12" t="n"/>
      <c r="G577" s="12" t="n"/>
      <c r="H577" s="12" t="n"/>
    </row>
    <row r="578">
      <c r="A578" s="19" t="n"/>
      <c r="B578" s="12" t="n"/>
      <c r="C578" s="12" t="n"/>
      <c r="D578" s="12" t="n"/>
      <c r="E578" s="12" t="n"/>
      <c r="F578" s="12" t="n"/>
      <c r="G578" s="12" t="n"/>
      <c r="H578" s="12" t="n"/>
    </row>
    <row r="579">
      <c r="A579" s="19" t="n"/>
      <c r="B579" s="12" t="n"/>
      <c r="C579" s="12" t="n"/>
      <c r="D579" s="12" t="n"/>
      <c r="E579" s="12" t="n"/>
      <c r="F579" s="12" t="n"/>
      <c r="G579" s="12" t="n"/>
      <c r="H579" s="12" t="n"/>
    </row>
    <row r="580">
      <c r="A580" s="19" t="n"/>
      <c r="B580" s="12" t="n"/>
      <c r="C580" s="12" t="n"/>
      <c r="D580" s="12" t="n"/>
      <c r="E580" s="12" t="n"/>
      <c r="F580" s="12" t="n"/>
      <c r="G580" s="12" t="n"/>
      <c r="H580" s="12" t="n"/>
    </row>
    <row r="581">
      <c r="A581" s="19" t="n"/>
      <c r="B581" s="12" t="n"/>
      <c r="C581" s="12" t="n"/>
      <c r="D581" s="12" t="n"/>
      <c r="E581" s="12" t="n"/>
      <c r="F581" s="12" t="n"/>
      <c r="G581" s="12" t="n"/>
      <c r="H581" s="12" t="n"/>
    </row>
    <row r="582">
      <c r="A582" s="19" t="n"/>
      <c r="B582" s="12" t="n"/>
      <c r="C582" s="12" t="n"/>
      <c r="D582" s="12" t="n"/>
      <c r="E582" s="12" t="n"/>
      <c r="F582" s="12" t="n"/>
      <c r="G582" s="12" t="n"/>
      <c r="H582" s="12" t="n"/>
    </row>
    <row r="583">
      <c r="A583" s="19" t="n"/>
      <c r="B583" s="12" t="n"/>
      <c r="C583" s="12" t="n"/>
      <c r="D583" s="12" t="n"/>
      <c r="E583" s="12" t="n"/>
      <c r="F583" s="12" t="n"/>
      <c r="G583" s="12" t="n"/>
      <c r="H583" s="12" t="n"/>
    </row>
    <row r="584">
      <c r="A584" s="19" t="n"/>
      <c r="B584" s="12" t="n"/>
      <c r="C584" s="12" t="n"/>
      <c r="D584" s="12" t="n"/>
      <c r="E584" s="12" t="n"/>
      <c r="F584" s="12" t="n"/>
      <c r="G584" s="12" t="n"/>
      <c r="H584" s="12" t="n"/>
    </row>
    <row r="585">
      <c r="A585" s="19" t="n"/>
      <c r="B585" s="12" t="n"/>
      <c r="C585" s="12" t="n"/>
      <c r="D585" s="12" t="n"/>
      <c r="E585" s="12" t="n"/>
      <c r="F585" s="12" t="n"/>
      <c r="G585" s="12" t="n"/>
      <c r="H585" s="12" t="n"/>
    </row>
    <row r="586">
      <c r="A586" s="19" t="n"/>
      <c r="B586" s="12" t="n"/>
      <c r="C586" s="12" t="n"/>
      <c r="D586" s="12" t="n"/>
      <c r="E586" s="12" t="n"/>
      <c r="F586" s="12" t="n"/>
      <c r="G586" s="12" t="n"/>
      <c r="H586" s="12" t="n"/>
    </row>
    <row r="587">
      <c r="A587" s="19" t="n"/>
      <c r="B587" s="12" t="n"/>
      <c r="C587" s="12" t="n"/>
      <c r="D587" s="12" t="n"/>
      <c r="E587" s="12" t="n"/>
      <c r="F587" s="12" t="n"/>
      <c r="G587" s="12" t="n"/>
      <c r="H587" s="12" t="n"/>
    </row>
    <row r="588">
      <c r="A588" s="19" t="n"/>
      <c r="B588" s="12" t="n"/>
      <c r="C588" s="12" t="n"/>
      <c r="D588" s="12" t="n"/>
      <c r="E588" s="12" t="n"/>
      <c r="F588" s="12" t="n"/>
      <c r="G588" s="12" t="n"/>
      <c r="H588" s="12" t="n"/>
    </row>
    <row r="589">
      <c r="A589" s="19" t="n"/>
      <c r="B589" s="12" t="n"/>
      <c r="C589" s="12" t="n"/>
      <c r="D589" s="12" t="n"/>
      <c r="E589" s="12" t="n"/>
      <c r="F589" s="12" t="n"/>
      <c r="G589" s="12" t="n"/>
      <c r="H589" s="12" t="n"/>
    </row>
    <row r="590">
      <c r="A590" s="19" t="n"/>
      <c r="B590" s="12" t="n"/>
      <c r="C590" s="12" t="n"/>
      <c r="D590" s="12" t="n"/>
      <c r="E590" s="12" t="n"/>
      <c r="F590" s="12" t="n"/>
      <c r="G590" s="12" t="n"/>
      <c r="H590" s="12" t="n"/>
    </row>
    <row r="591">
      <c r="A591" s="19" t="n"/>
      <c r="B591" s="12" t="n"/>
      <c r="C591" s="12" t="n"/>
      <c r="D591" s="12" t="n"/>
      <c r="E591" s="12" t="n"/>
      <c r="F591" s="12" t="n"/>
      <c r="G591" s="12" t="n"/>
      <c r="H591" s="12" t="n"/>
    </row>
    <row r="592">
      <c r="A592" s="19" t="n"/>
      <c r="B592" s="12" t="n"/>
      <c r="C592" s="12" t="n"/>
      <c r="D592" s="12" t="n"/>
      <c r="E592" s="12" t="n"/>
      <c r="F592" s="12" t="n"/>
      <c r="G592" s="12" t="n"/>
      <c r="H592" s="12" t="n"/>
    </row>
    <row r="593">
      <c r="A593" s="19" t="n"/>
      <c r="B593" s="12" t="n"/>
      <c r="C593" s="12" t="n"/>
      <c r="D593" s="12" t="n"/>
      <c r="E593" s="12" t="n"/>
      <c r="F593" s="12" t="n"/>
      <c r="G593" s="12" t="n"/>
      <c r="H593" s="12" t="n"/>
    </row>
    <row r="594">
      <c r="A594" s="19" t="n"/>
      <c r="B594" s="12" t="n"/>
      <c r="C594" s="12" t="n"/>
      <c r="D594" s="12" t="n"/>
      <c r="E594" s="12" t="n"/>
      <c r="F594" s="12" t="n"/>
      <c r="G594" s="12" t="n"/>
      <c r="H594" s="12" t="n"/>
    </row>
    <row r="595">
      <c r="A595" s="19" t="n"/>
      <c r="B595" s="12" t="n"/>
      <c r="C595" s="12" t="n"/>
      <c r="D595" s="12" t="n"/>
      <c r="E595" s="12" t="n"/>
      <c r="F595" s="12" t="n"/>
      <c r="G595" s="12" t="n"/>
      <c r="H595" s="12" t="n"/>
    </row>
    <row r="596">
      <c r="A596" s="19" t="n"/>
      <c r="B596" s="12" t="n"/>
      <c r="C596" s="12" t="n"/>
      <c r="D596" s="12" t="n"/>
      <c r="E596" s="12" t="n"/>
      <c r="F596" s="12" t="n"/>
      <c r="G596" s="12" t="n"/>
      <c r="H596" s="12" t="n"/>
    </row>
    <row r="597">
      <c r="A597" s="19" t="n"/>
      <c r="B597" s="12" t="n"/>
      <c r="C597" s="12" t="n"/>
      <c r="D597" s="12" t="n"/>
      <c r="E597" s="12" t="n"/>
      <c r="F597" s="12" t="n"/>
      <c r="G597" s="12" t="n"/>
      <c r="H597" s="12" t="n"/>
    </row>
    <row r="598">
      <c r="A598" s="19" t="n"/>
      <c r="B598" s="12" t="n"/>
      <c r="C598" s="12" t="n"/>
      <c r="D598" s="12" t="n"/>
      <c r="E598" s="12" t="n"/>
      <c r="F598" s="12" t="n"/>
      <c r="G598" s="12" t="n"/>
      <c r="H598" s="12" t="n"/>
    </row>
    <row r="599">
      <c r="A599" s="19" t="n"/>
      <c r="B599" s="12" t="n"/>
      <c r="C599" s="12" t="n"/>
      <c r="D599" s="12" t="n"/>
      <c r="E599" s="12" t="n"/>
      <c r="F599" s="12" t="n"/>
      <c r="G599" s="12" t="n"/>
      <c r="H599" s="12" t="n"/>
    </row>
    <row r="600">
      <c r="A600" s="19" t="n"/>
      <c r="B600" s="12" t="n"/>
      <c r="C600" s="12" t="n"/>
      <c r="D600" s="12" t="n"/>
      <c r="E600" s="12" t="n"/>
      <c r="F600" s="12" t="n"/>
      <c r="G600" s="12" t="n"/>
      <c r="H600" s="12" t="n"/>
    </row>
    <row r="601">
      <c r="A601" s="19" t="n"/>
      <c r="B601" s="12" t="n"/>
      <c r="C601" s="12" t="n"/>
      <c r="D601" s="12" t="n"/>
      <c r="E601" s="12" t="n"/>
      <c r="F601" s="12" t="n"/>
      <c r="G601" s="12" t="n"/>
      <c r="H601" s="12" t="n"/>
    </row>
    <row r="602">
      <c r="A602" s="19" t="n"/>
      <c r="B602" s="12" t="n"/>
      <c r="C602" s="12" t="n"/>
      <c r="D602" s="12" t="n"/>
      <c r="E602" s="12" t="n"/>
      <c r="F602" s="12" t="n"/>
      <c r="G602" s="12" t="n"/>
      <c r="H602" s="12" t="n"/>
    </row>
    <row r="603">
      <c r="A603" s="19" t="n"/>
      <c r="B603" s="12" t="n"/>
      <c r="C603" s="12" t="n"/>
      <c r="D603" s="12" t="n"/>
      <c r="E603" s="12" t="n"/>
      <c r="F603" s="12" t="n"/>
      <c r="G603" s="12" t="n"/>
      <c r="H603" s="12" t="n"/>
    </row>
    <row r="604">
      <c r="A604" s="19" t="n"/>
      <c r="B604" s="12" t="n"/>
      <c r="C604" s="12" t="n"/>
      <c r="D604" s="12" t="n"/>
      <c r="E604" s="12" t="n"/>
      <c r="F604" s="12" t="n"/>
      <c r="G604" s="12" t="n"/>
      <c r="H604" s="12" t="n"/>
    </row>
    <row r="605">
      <c r="A605" s="19" t="n"/>
      <c r="B605" s="12" t="n"/>
      <c r="C605" s="12" t="n"/>
      <c r="D605" s="12" t="n"/>
      <c r="E605" s="12" t="n"/>
      <c r="F605" s="12" t="n"/>
      <c r="G605" s="12" t="n"/>
      <c r="H605" s="12" t="n"/>
    </row>
    <row r="606">
      <c r="A606" s="19" t="n"/>
      <c r="B606" s="12" t="n"/>
      <c r="C606" s="12" t="n"/>
      <c r="D606" s="12" t="n"/>
      <c r="E606" s="12" t="n"/>
      <c r="F606" s="12" t="n"/>
      <c r="G606" s="12" t="n"/>
      <c r="H606" s="12" t="n"/>
    </row>
    <row r="607">
      <c r="A607" s="19" t="n"/>
      <c r="B607" s="12" t="n"/>
      <c r="C607" s="12" t="n"/>
      <c r="D607" s="12" t="n"/>
      <c r="E607" s="12" t="n"/>
      <c r="F607" s="12" t="n"/>
      <c r="G607" s="12" t="n"/>
      <c r="H607" s="12" t="n"/>
    </row>
    <row r="608">
      <c r="A608" s="19" t="n"/>
      <c r="B608" s="12" t="n"/>
      <c r="C608" s="12" t="n"/>
      <c r="D608" s="12" t="n"/>
      <c r="E608" s="12" t="n"/>
      <c r="F608" s="12" t="n"/>
      <c r="G608" s="12" t="n"/>
      <c r="H608" s="12" t="n"/>
    </row>
    <row r="609">
      <c r="A609" s="19" t="n"/>
      <c r="B609" s="12" t="n"/>
      <c r="C609" s="12" t="n"/>
      <c r="D609" s="12" t="n"/>
      <c r="E609" s="12" t="n"/>
      <c r="F609" s="12" t="n"/>
      <c r="G609" s="12" t="n"/>
      <c r="H609" s="12" t="n"/>
    </row>
    <row r="610">
      <c r="A610" s="19" t="n"/>
      <c r="B610" s="12" t="n"/>
      <c r="C610" s="12" t="n"/>
      <c r="D610" s="12" t="n"/>
      <c r="E610" s="12" t="n"/>
      <c r="F610" s="12" t="n"/>
      <c r="G610" s="12" t="n"/>
      <c r="H610" s="12" t="n"/>
    </row>
    <row r="611">
      <c r="A611" s="19" t="n"/>
      <c r="B611" s="12" t="n"/>
      <c r="C611" s="12" t="n"/>
      <c r="D611" s="12" t="n"/>
      <c r="E611" s="12" t="n"/>
      <c r="F611" s="12" t="n"/>
      <c r="G611" s="12" t="n"/>
      <c r="H611" s="12" t="n"/>
    </row>
    <row r="612">
      <c r="A612" s="19" t="n"/>
      <c r="B612" s="12" t="n"/>
      <c r="C612" s="12" t="n"/>
      <c r="D612" s="12" t="n"/>
      <c r="E612" s="12" t="n"/>
      <c r="F612" s="12" t="n"/>
      <c r="G612" s="12" t="n"/>
      <c r="H612" s="12" t="n"/>
    </row>
    <row r="613">
      <c r="A613" s="19" t="n"/>
      <c r="B613" s="12" t="n"/>
      <c r="C613" s="12" t="n"/>
      <c r="D613" s="12" t="n"/>
      <c r="E613" s="12" t="n"/>
      <c r="F613" s="12" t="n"/>
      <c r="G613" s="12" t="n"/>
      <c r="H613" s="12" t="n"/>
    </row>
    <row r="614">
      <c r="A614" s="19" t="n"/>
      <c r="B614" s="12" t="n"/>
      <c r="C614" s="12" t="n"/>
      <c r="D614" s="12" t="n"/>
      <c r="E614" s="12" t="n"/>
      <c r="F614" s="12" t="n"/>
      <c r="G614" s="12" t="n"/>
      <c r="H614" s="12" t="n"/>
    </row>
    <row r="615">
      <c r="A615" s="19" t="n"/>
      <c r="B615" s="12" t="n"/>
      <c r="C615" s="12" t="n"/>
      <c r="D615" s="12" t="n"/>
      <c r="E615" s="12" t="n"/>
      <c r="F615" s="12" t="n"/>
      <c r="G615" s="12" t="n"/>
      <c r="H615" s="12" t="n"/>
    </row>
    <row r="616">
      <c r="A616" s="19" t="n"/>
      <c r="B616" s="12" t="n"/>
      <c r="C616" s="12" t="n"/>
      <c r="D616" s="12" t="n"/>
      <c r="E616" s="12" t="n"/>
      <c r="F616" s="12" t="n"/>
      <c r="G616" s="12" t="n"/>
      <c r="H616" s="12" t="n"/>
    </row>
    <row r="617">
      <c r="A617" s="19" t="n"/>
      <c r="B617" s="12" t="n"/>
      <c r="C617" s="12" t="n"/>
      <c r="D617" s="12" t="n"/>
      <c r="E617" s="12" t="n"/>
      <c r="F617" s="12" t="n"/>
      <c r="G617" s="12" t="n"/>
      <c r="H617" s="12" t="n"/>
    </row>
    <row r="618">
      <c r="A618" s="19" t="n"/>
      <c r="B618" s="12" t="n"/>
      <c r="C618" s="12" t="n"/>
      <c r="D618" s="12" t="n"/>
      <c r="E618" s="12" t="n"/>
      <c r="F618" s="12" t="n"/>
      <c r="G618" s="12" t="n"/>
      <c r="H618" s="12" t="n"/>
    </row>
    <row r="619">
      <c r="A619" s="19" t="n"/>
      <c r="B619" s="12" t="n"/>
      <c r="C619" s="12" t="n"/>
      <c r="D619" s="12" t="n"/>
      <c r="E619" s="12" t="n"/>
      <c r="F619" s="12" t="n"/>
      <c r="G619" s="12" t="n"/>
      <c r="H619" s="12" t="n"/>
    </row>
    <row r="620">
      <c r="A620" s="19" t="n"/>
      <c r="B620" s="12" t="n"/>
      <c r="C620" s="12" t="n"/>
      <c r="D620" s="12" t="n"/>
      <c r="E620" s="12" t="n"/>
      <c r="F620" s="12" t="n"/>
      <c r="G620" s="12" t="n"/>
      <c r="H620" s="12" t="n"/>
    </row>
    <row r="621">
      <c r="A621" s="19" t="n"/>
      <c r="B621" s="12" t="n"/>
      <c r="C621" s="12" t="n"/>
      <c r="D621" s="12" t="n"/>
      <c r="E621" s="12" t="n"/>
      <c r="F621" s="12" t="n"/>
      <c r="G621" s="12" t="n"/>
      <c r="H621" s="12" t="n"/>
    </row>
    <row r="622">
      <c r="A622" s="19" t="n"/>
      <c r="B622" s="12" t="n"/>
      <c r="C622" s="12" t="n"/>
      <c r="D622" s="12" t="n"/>
      <c r="E622" s="12" t="n"/>
      <c r="F622" s="12" t="n"/>
      <c r="G622" s="12" t="n"/>
      <c r="H622" s="12" t="n"/>
    </row>
    <row r="623">
      <c r="A623" s="19" t="n"/>
      <c r="B623" s="12" t="n"/>
      <c r="C623" s="12" t="n"/>
      <c r="D623" s="12" t="n"/>
      <c r="E623" s="12" t="n"/>
      <c r="F623" s="12" t="n"/>
      <c r="G623" s="12" t="n"/>
      <c r="H623" s="12" t="n"/>
    </row>
    <row r="624">
      <c r="A624" s="19" t="n"/>
      <c r="B624" s="12" t="n"/>
      <c r="C624" s="12" t="n"/>
      <c r="D624" s="12" t="n"/>
      <c r="E624" s="12" t="n"/>
      <c r="F624" s="12" t="n"/>
      <c r="G624" s="12" t="n"/>
      <c r="H624" s="12" t="n"/>
    </row>
    <row r="625">
      <c r="A625" s="19" t="n"/>
      <c r="B625" s="12" t="n"/>
      <c r="C625" s="12" t="n"/>
      <c r="D625" s="12" t="n"/>
      <c r="E625" s="12" t="n"/>
      <c r="F625" s="12" t="n"/>
      <c r="G625" s="12" t="n"/>
      <c r="H625" s="12" t="n"/>
    </row>
    <row r="626">
      <c r="A626" s="19" t="n"/>
      <c r="B626" s="12" t="n"/>
      <c r="C626" s="12" t="n"/>
      <c r="D626" s="12" t="n"/>
      <c r="E626" s="12" t="n"/>
      <c r="F626" s="12" t="n"/>
      <c r="G626" s="12" t="n"/>
      <c r="H626" s="12" t="n"/>
    </row>
    <row r="627">
      <c r="A627" s="19" t="n"/>
      <c r="B627" s="12" t="n"/>
      <c r="C627" s="12" t="n"/>
      <c r="D627" s="12" t="n"/>
      <c r="E627" s="12" t="n"/>
      <c r="F627" s="12" t="n"/>
      <c r="G627" s="12" t="n"/>
      <c r="H627" s="12" t="n"/>
    </row>
    <row r="628">
      <c r="A628" s="19" t="n"/>
      <c r="B628" s="12" t="n"/>
      <c r="C628" s="12" t="n"/>
      <c r="D628" s="12" t="n"/>
      <c r="E628" s="12" t="n"/>
      <c r="F628" s="12" t="n"/>
      <c r="G628" s="12" t="n"/>
      <c r="H628" s="12" t="n"/>
    </row>
    <row r="629">
      <c r="A629" s="19" t="n"/>
      <c r="B629" s="12" t="n"/>
      <c r="C629" s="12" t="n"/>
      <c r="D629" s="12" t="n"/>
      <c r="E629" s="12" t="n"/>
      <c r="F629" s="12" t="n"/>
      <c r="G629" s="12" t="n"/>
      <c r="H629" s="12" t="n"/>
    </row>
    <row r="630">
      <c r="A630" s="19" t="n"/>
      <c r="B630" s="12" t="n"/>
      <c r="C630" s="12" t="n"/>
      <c r="D630" s="12" t="n"/>
      <c r="E630" s="12" t="n"/>
      <c r="F630" s="12" t="n"/>
      <c r="G630" s="12" t="n"/>
      <c r="H630" s="12" t="n"/>
    </row>
    <row r="631">
      <c r="A631" s="19" t="n"/>
      <c r="B631" s="12" t="n"/>
      <c r="C631" s="12" t="n"/>
      <c r="D631" s="12" t="n"/>
      <c r="E631" s="12" t="n"/>
      <c r="F631" s="12" t="n"/>
      <c r="G631" s="12" t="n"/>
      <c r="H631" s="12" t="n"/>
    </row>
    <row r="632">
      <c r="A632" s="19" t="n"/>
      <c r="B632" s="12" t="n"/>
      <c r="C632" s="12" t="n"/>
      <c r="D632" s="12" t="n"/>
      <c r="E632" s="12" t="n"/>
      <c r="F632" s="12" t="n"/>
      <c r="G632" s="12" t="n"/>
      <c r="H632" s="12" t="n"/>
    </row>
    <row r="633">
      <c r="A633" s="19" t="n"/>
      <c r="B633" s="12" t="n"/>
      <c r="C633" s="12" t="n"/>
      <c r="D633" s="12" t="n"/>
      <c r="E633" s="12" t="n"/>
      <c r="F633" s="12" t="n"/>
      <c r="G633" s="12" t="n"/>
      <c r="H633" s="12" t="n"/>
    </row>
    <row r="634">
      <c r="A634" s="19" t="n"/>
      <c r="B634" s="12" t="n"/>
      <c r="C634" s="12" t="n"/>
      <c r="D634" s="12" t="n"/>
      <c r="E634" s="12" t="n"/>
      <c r="F634" s="12" t="n"/>
      <c r="G634" s="12" t="n"/>
      <c r="H634" s="12" t="n"/>
    </row>
    <row r="635">
      <c r="A635" s="19" t="n"/>
      <c r="B635" s="12" t="n"/>
      <c r="C635" s="12" t="n"/>
      <c r="D635" s="12" t="n"/>
      <c r="E635" s="12" t="n"/>
      <c r="F635" s="12" t="n"/>
      <c r="G635" s="12" t="n"/>
      <c r="H635" s="12" t="n"/>
    </row>
    <row r="636">
      <c r="A636" s="19" t="n"/>
      <c r="B636" s="12" t="n"/>
      <c r="C636" s="12" t="n"/>
      <c r="D636" s="12" t="n"/>
      <c r="E636" s="12" t="n"/>
      <c r="F636" s="12" t="n"/>
      <c r="G636" s="12" t="n"/>
      <c r="H636" s="12" t="n"/>
    </row>
    <row r="637">
      <c r="A637" s="19" t="n"/>
      <c r="B637" s="12" t="n"/>
      <c r="C637" s="12" t="n"/>
      <c r="D637" s="12" t="n"/>
      <c r="E637" s="12" t="n"/>
      <c r="F637" s="12" t="n"/>
      <c r="G637" s="12" t="n"/>
      <c r="H637" s="12" t="n"/>
    </row>
    <row r="638">
      <c r="A638" s="19" t="n"/>
      <c r="B638" s="12" t="n"/>
      <c r="C638" s="12" t="n"/>
      <c r="D638" s="12" t="n"/>
      <c r="E638" s="12" t="n"/>
      <c r="F638" s="12" t="n"/>
      <c r="G638" s="12" t="n"/>
      <c r="H638" s="12" t="n"/>
    </row>
    <row r="639">
      <c r="A639" s="19" t="n"/>
      <c r="B639" s="12" t="n"/>
      <c r="C639" s="12" t="n"/>
      <c r="D639" s="12" t="n"/>
      <c r="E639" s="12" t="n"/>
      <c r="F639" s="12" t="n"/>
      <c r="G639" s="12" t="n"/>
      <c r="H639" s="12" t="n"/>
    </row>
    <row r="640">
      <c r="A640" s="19" t="n"/>
      <c r="B640" s="12" t="n"/>
      <c r="C640" s="12" t="n"/>
      <c r="D640" s="12" t="n"/>
      <c r="E640" s="12" t="n"/>
      <c r="F640" s="12" t="n"/>
      <c r="G640" s="12" t="n"/>
      <c r="H640" s="12" t="n"/>
    </row>
    <row r="641">
      <c r="A641" s="19" t="n"/>
      <c r="B641" s="12" t="n"/>
      <c r="C641" s="12" t="n"/>
      <c r="D641" s="12" t="n"/>
      <c r="E641" s="12" t="n"/>
      <c r="F641" s="12" t="n"/>
      <c r="G641" s="12" t="n"/>
      <c r="H641" s="12" t="n"/>
    </row>
    <row r="642">
      <c r="A642" s="19" t="n"/>
      <c r="B642" s="12" t="n"/>
      <c r="C642" s="12" t="n"/>
      <c r="D642" s="12" t="n"/>
      <c r="E642" s="12" t="n"/>
      <c r="F642" s="12" t="n"/>
      <c r="G642" s="12" t="n"/>
      <c r="H642" s="12" t="n"/>
    </row>
    <row r="643">
      <c r="A643" s="19" t="n"/>
      <c r="B643" s="12" t="n"/>
      <c r="C643" s="12" t="n"/>
      <c r="D643" s="12" t="n"/>
      <c r="E643" s="12" t="n"/>
      <c r="F643" s="12" t="n"/>
      <c r="G643" s="12" t="n"/>
      <c r="H643" s="12" t="n"/>
    </row>
    <row r="644">
      <c r="A644" s="19" t="n"/>
      <c r="B644" s="12" t="n"/>
      <c r="C644" s="12" t="n"/>
      <c r="D644" s="12" t="n"/>
      <c r="E644" s="12" t="n"/>
      <c r="F644" s="12" t="n"/>
      <c r="G644" s="12" t="n"/>
      <c r="H644" s="12" t="n"/>
    </row>
    <row r="645">
      <c r="A645" s="19" t="n"/>
      <c r="B645" s="12" t="n"/>
      <c r="C645" s="12" t="n"/>
      <c r="D645" s="12" t="n"/>
      <c r="E645" s="12" t="n"/>
      <c r="F645" s="12" t="n"/>
      <c r="G645" s="12" t="n"/>
      <c r="H645" s="12" t="n"/>
    </row>
    <row r="646">
      <c r="A646" s="19" t="n"/>
      <c r="B646" s="12" t="n"/>
      <c r="C646" s="12" t="n"/>
      <c r="D646" s="12" t="n"/>
      <c r="E646" s="12" t="n"/>
      <c r="F646" s="12" t="n"/>
      <c r="G646" s="12" t="n"/>
      <c r="H646" s="12" t="n"/>
    </row>
    <row r="647">
      <c r="A647" s="19" t="n"/>
      <c r="B647" s="12" t="n"/>
      <c r="C647" s="12" t="n"/>
      <c r="D647" s="12" t="n"/>
      <c r="E647" s="12" t="n"/>
      <c r="F647" s="12" t="n"/>
      <c r="G647" s="12" t="n"/>
      <c r="H647" s="12" t="n"/>
    </row>
    <row r="648">
      <c r="A648" s="19" t="n"/>
      <c r="B648" s="12" t="n"/>
      <c r="C648" s="12" t="n"/>
      <c r="D648" s="12" t="n"/>
      <c r="E648" s="12" t="n"/>
      <c r="F648" s="12" t="n"/>
      <c r="G648" s="12" t="n"/>
      <c r="H648" s="12" t="n"/>
    </row>
    <row r="649">
      <c r="A649" s="19" t="n"/>
      <c r="B649" s="12" t="n"/>
      <c r="C649" s="12" t="n"/>
      <c r="D649" s="12" t="n"/>
      <c r="E649" s="12" t="n"/>
      <c r="F649" s="12" t="n"/>
      <c r="G649" s="12" t="n"/>
      <c r="H649" s="12" t="n"/>
    </row>
    <row r="650">
      <c r="A650" s="19" t="n"/>
      <c r="B650" s="12" t="n"/>
      <c r="C650" s="12" t="n"/>
      <c r="D650" s="12" t="n"/>
      <c r="E650" s="12" t="n"/>
      <c r="F650" s="12" t="n"/>
      <c r="G650" s="12" t="n"/>
      <c r="H650" s="12" t="n"/>
    </row>
    <row r="651">
      <c r="A651" s="19" t="n"/>
      <c r="B651" s="12" t="n"/>
      <c r="C651" s="12" t="n"/>
      <c r="D651" s="12" t="n"/>
      <c r="E651" s="12" t="n"/>
      <c r="F651" s="12" t="n"/>
      <c r="G651" s="12" t="n"/>
      <c r="H651" s="12" t="n"/>
    </row>
    <row r="652">
      <c r="A652" s="19" t="n"/>
      <c r="B652" s="12" t="n"/>
      <c r="C652" s="12" t="n"/>
      <c r="D652" s="12" t="n"/>
      <c r="E652" s="12" t="n"/>
      <c r="F652" s="12" t="n"/>
      <c r="G652" s="12" t="n"/>
      <c r="H652" s="12" t="n"/>
    </row>
    <row r="653">
      <c r="A653" s="19" t="n"/>
      <c r="B653" s="12" t="n"/>
      <c r="C653" s="12" t="n"/>
      <c r="D653" s="12" t="n"/>
      <c r="E653" s="12" t="n"/>
      <c r="F653" s="12" t="n"/>
      <c r="G653" s="12" t="n"/>
      <c r="H653" s="12" t="n"/>
    </row>
    <row r="654">
      <c r="A654" s="19" t="n"/>
      <c r="B654" s="12" t="n"/>
      <c r="C654" s="12" t="n"/>
      <c r="D654" s="12" t="n"/>
      <c r="E654" s="12" t="n"/>
      <c r="F654" s="12" t="n"/>
      <c r="G654" s="12" t="n"/>
      <c r="H654" s="12" t="n"/>
    </row>
    <row r="655">
      <c r="A655" s="19" t="n"/>
      <c r="B655" s="12" t="n"/>
      <c r="C655" s="12" t="n"/>
      <c r="D655" s="12" t="n"/>
      <c r="E655" s="12" t="n"/>
      <c r="F655" s="12" t="n"/>
      <c r="G655" s="12" t="n"/>
      <c r="H655" s="12" t="n"/>
    </row>
    <row r="656">
      <c r="A656" s="19" t="n"/>
      <c r="B656" s="12" t="n"/>
      <c r="C656" s="12" t="n"/>
      <c r="D656" s="12" t="n"/>
      <c r="E656" s="12" t="n"/>
      <c r="F656" s="12" t="n"/>
      <c r="G656" s="12" t="n"/>
      <c r="H656" s="12" t="n"/>
    </row>
    <row r="657">
      <c r="A657" s="19" t="n"/>
      <c r="B657" s="12" t="n"/>
      <c r="C657" s="12" t="n"/>
      <c r="D657" s="12" t="n"/>
      <c r="E657" s="12" t="n"/>
      <c r="F657" s="12" t="n"/>
      <c r="G657" s="12" t="n"/>
      <c r="H657" s="12" t="n"/>
    </row>
    <row r="658">
      <c r="A658" s="19" t="n"/>
      <c r="B658" s="12" t="n"/>
      <c r="C658" s="12" t="n"/>
      <c r="D658" s="12" t="n"/>
      <c r="E658" s="12" t="n"/>
      <c r="F658" s="12" t="n"/>
      <c r="G658" s="12" t="n"/>
      <c r="H658" s="12" t="n"/>
    </row>
    <row r="659">
      <c r="A659" s="19" t="n"/>
      <c r="B659" s="12" t="n"/>
      <c r="C659" s="12" t="n"/>
      <c r="D659" s="12" t="n"/>
      <c r="E659" s="12" t="n"/>
      <c r="F659" s="12" t="n"/>
      <c r="G659" s="12" t="n"/>
      <c r="H659" s="12" t="n"/>
    </row>
    <row r="660">
      <c r="A660" s="19" t="n"/>
      <c r="B660" s="12" t="n"/>
      <c r="C660" s="12" t="n"/>
      <c r="D660" s="12" t="n"/>
      <c r="E660" s="12" t="n"/>
      <c r="F660" s="12" t="n"/>
      <c r="G660" s="12" t="n"/>
      <c r="H660" s="12" t="n"/>
    </row>
    <row r="661">
      <c r="A661" s="19" t="n"/>
      <c r="B661" s="12" t="n"/>
      <c r="C661" s="12" t="n"/>
      <c r="D661" s="12" t="n"/>
      <c r="E661" s="12" t="n"/>
      <c r="F661" s="12" t="n"/>
      <c r="G661" s="12" t="n"/>
      <c r="H661" s="12" t="n"/>
    </row>
    <row r="662">
      <c r="A662" s="19" t="n"/>
      <c r="B662" s="12" t="n"/>
      <c r="C662" s="12" t="n"/>
      <c r="D662" s="12" t="n"/>
      <c r="E662" s="12" t="n"/>
      <c r="F662" s="12" t="n"/>
      <c r="G662" s="12" t="n"/>
      <c r="H662" s="12" t="n"/>
    </row>
    <row r="663">
      <c r="A663" s="19" t="n"/>
      <c r="B663" s="12" t="n"/>
      <c r="C663" s="12" t="n"/>
      <c r="D663" s="12" t="n"/>
      <c r="E663" s="12" t="n"/>
      <c r="F663" s="12" t="n"/>
      <c r="G663" s="12" t="n"/>
      <c r="H663" s="12" t="n"/>
    </row>
    <row r="664">
      <c r="A664" s="19" t="n"/>
      <c r="B664" s="12" t="n"/>
      <c r="C664" s="12" t="n"/>
      <c r="D664" s="12" t="n"/>
      <c r="E664" s="12" t="n"/>
      <c r="F664" s="12" t="n"/>
      <c r="G664" s="12" t="n"/>
      <c r="H664" s="12" t="n"/>
    </row>
    <row r="665">
      <c r="A665" s="19" t="n"/>
      <c r="B665" s="12" t="n"/>
      <c r="C665" s="12" t="n"/>
      <c r="D665" s="12" t="n"/>
      <c r="E665" s="12" t="n"/>
      <c r="F665" s="12" t="n"/>
      <c r="G665" s="12" t="n"/>
      <c r="H665" s="12" t="n"/>
    </row>
    <row r="666">
      <c r="A666" s="19" t="n"/>
      <c r="B666" s="12" t="n"/>
      <c r="C666" s="12" t="n"/>
      <c r="D666" s="12" t="n"/>
      <c r="E666" s="12" t="n"/>
      <c r="F666" s="12" t="n"/>
      <c r="G666" s="12" t="n"/>
      <c r="H666" s="12" t="n"/>
    </row>
    <row r="667">
      <c r="A667" s="19" t="n"/>
      <c r="B667" s="12" t="n"/>
      <c r="C667" s="12" t="n"/>
      <c r="D667" s="12" t="n"/>
      <c r="E667" s="12" t="n"/>
      <c r="F667" s="12" t="n"/>
      <c r="G667" s="12" t="n"/>
      <c r="H667" s="12" t="n"/>
    </row>
    <row r="668">
      <c r="A668" s="19" t="n"/>
      <c r="B668" s="12" t="n"/>
      <c r="C668" s="12" t="n"/>
      <c r="D668" s="12" t="n"/>
      <c r="E668" s="12" t="n"/>
      <c r="F668" s="12" t="n"/>
      <c r="G668" s="12" t="n"/>
      <c r="H668" s="12" t="n"/>
    </row>
    <row r="669">
      <c r="A669" s="19" t="n"/>
      <c r="B669" s="12" t="n"/>
      <c r="C669" s="12" t="n"/>
      <c r="D669" s="12" t="n"/>
      <c r="E669" s="12" t="n"/>
      <c r="F669" s="12" t="n"/>
      <c r="G669" s="12" t="n"/>
      <c r="H669" s="12" t="n"/>
    </row>
    <row r="670">
      <c r="A670" s="19" t="n"/>
      <c r="B670" s="12" t="n"/>
      <c r="C670" s="12" t="n"/>
      <c r="D670" s="12" t="n"/>
      <c r="E670" s="12" t="n"/>
      <c r="F670" s="12" t="n"/>
      <c r="G670" s="12" t="n"/>
      <c r="H670" s="12" t="n"/>
    </row>
    <row r="671">
      <c r="A671" s="19" t="n"/>
      <c r="B671" s="12" t="n"/>
      <c r="C671" s="12" t="n"/>
      <c r="D671" s="12" t="n"/>
      <c r="E671" s="12" t="n"/>
      <c r="F671" s="12" t="n"/>
      <c r="G671" s="12" t="n"/>
      <c r="H671" s="12" t="n"/>
    </row>
    <row r="672">
      <c r="A672" s="19" t="n"/>
      <c r="B672" s="12" t="n"/>
      <c r="C672" s="12" t="n"/>
      <c r="D672" s="12" t="n"/>
      <c r="E672" s="12" t="n"/>
      <c r="F672" s="12" t="n"/>
      <c r="G672" s="12" t="n"/>
      <c r="H672" s="12" t="n"/>
    </row>
    <row r="673">
      <c r="A673" s="19" t="n"/>
      <c r="B673" s="12" t="n"/>
      <c r="C673" s="12" t="n"/>
      <c r="D673" s="12" t="n"/>
      <c r="E673" s="12" t="n"/>
      <c r="F673" s="12" t="n"/>
      <c r="G673" s="12" t="n"/>
      <c r="H673" s="12" t="n"/>
    </row>
    <row r="674">
      <c r="A674" s="19" t="n"/>
      <c r="B674" s="12" t="n"/>
      <c r="C674" s="12" t="n"/>
      <c r="D674" s="12" t="n"/>
      <c r="E674" s="12" t="n"/>
      <c r="F674" s="12" t="n"/>
      <c r="G674" s="12" t="n"/>
      <c r="H674" s="12" t="n"/>
    </row>
    <row r="675">
      <c r="A675" s="19" t="n"/>
      <c r="B675" s="12" t="n"/>
      <c r="C675" s="12" t="n"/>
      <c r="D675" s="12" t="n"/>
      <c r="E675" s="12" t="n"/>
      <c r="F675" s="12" t="n"/>
      <c r="G675" s="12" t="n"/>
      <c r="H675" s="12" t="n"/>
    </row>
    <row r="676">
      <c r="A676" s="19" t="n"/>
      <c r="B676" s="12" t="n"/>
      <c r="C676" s="12" t="n"/>
      <c r="D676" s="12" t="n"/>
      <c r="E676" s="12" t="n"/>
      <c r="F676" s="12" t="n"/>
      <c r="G676" s="12" t="n"/>
      <c r="H676" s="12" t="n"/>
    </row>
    <row r="677">
      <c r="A677" s="19" t="n"/>
      <c r="B677" s="12" t="n"/>
      <c r="C677" s="12" t="n"/>
      <c r="D677" s="12" t="n"/>
      <c r="E677" s="12" t="n"/>
      <c r="F677" s="12" t="n"/>
      <c r="G677" s="12" t="n"/>
      <c r="H677" s="12" t="n"/>
    </row>
    <row r="678">
      <c r="A678" s="19" t="n"/>
      <c r="B678" s="12" t="n"/>
      <c r="C678" s="12" t="n"/>
      <c r="D678" s="12" t="n"/>
      <c r="E678" s="12" t="n"/>
      <c r="F678" s="12" t="n"/>
      <c r="G678" s="12" t="n"/>
      <c r="H678" s="12" t="n"/>
    </row>
    <row r="679">
      <c r="A679" s="19" t="n"/>
      <c r="B679" s="12" t="n"/>
      <c r="C679" s="12" t="n"/>
      <c r="D679" s="12" t="n"/>
      <c r="E679" s="12" t="n"/>
      <c r="F679" s="12" t="n"/>
      <c r="G679" s="12" t="n"/>
      <c r="H679" s="12" t="n"/>
    </row>
    <row r="680">
      <c r="A680" s="19" t="n"/>
      <c r="B680" s="12" t="n"/>
      <c r="C680" s="12" t="n"/>
      <c r="D680" s="12" t="n"/>
      <c r="E680" s="12" t="n"/>
      <c r="F680" s="12" t="n"/>
      <c r="G680" s="12" t="n"/>
      <c r="H680" s="12" t="n"/>
    </row>
    <row r="681">
      <c r="A681" s="19" t="n"/>
      <c r="B681" s="12" t="n"/>
      <c r="C681" s="12" t="n"/>
      <c r="D681" s="12" t="n"/>
      <c r="E681" s="12" t="n"/>
      <c r="F681" s="12" t="n"/>
      <c r="G681" s="12" t="n"/>
      <c r="H681" s="12" t="n"/>
    </row>
    <row r="682">
      <c r="A682" s="19" t="n"/>
      <c r="B682" s="12" t="n"/>
      <c r="C682" s="12" t="n"/>
      <c r="D682" s="12" t="n"/>
      <c r="E682" s="12" t="n"/>
      <c r="F682" s="12" t="n"/>
      <c r="G682" s="12" t="n"/>
      <c r="H682" s="12" t="n"/>
    </row>
    <row r="683">
      <c r="A683" s="19" t="n"/>
      <c r="B683" s="12" t="n"/>
      <c r="C683" s="12" t="n"/>
      <c r="D683" s="12" t="n"/>
      <c r="E683" s="12" t="n"/>
      <c r="F683" s="12" t="n"/>
      <c r="G683" s="12" t="n"/>
      <c r="H683" s="12" t="n"/>
    </row>
    <row r="684">
      <c r="A684" s="19" t="n"/>
      <c r="B684" s="12" t="n"/>
      <c r="C684" s="12" t="n"/>
      <c r="D684" s="12" t="n"/>
      <c r="E684" s="12" t="n"/>
      <c r="F684" s="12" t="n"/>
      <c r="G684" s="12" t="n"/>
      <c r="H684" s="12" t="n"/>
    </row>
    <row r="685">
      <c r="A685" s="19" t="n"/>
      <c r="B685" s="12" t="n"/>
      <c r="C685" s="12" t="n"/>
      <c r="D685" s="12" t="n"/>
      <c r="E685" s="12" t="n"/>
      <c r="F685" s="12" t="n"/>
      <c r="G685" s="12" t="n"/>
      <c r="H685" s="12" t="n"/>
    </row>
    <row r="686">
      <c r="A686" s="19" t="n"/>
      <c r="B686" s="12" t="n"/>
      <c r="C686" s="12" t="n"/>
      <c r="D686" s="12" t="n"/>
      <c r="E686" s="12" t="n"/>
      <c r="F686" s="12" t="n"/>
      <c r="G686" s="12" t="n"/>
      <c r="H686" s="12" t="n"/>
    </row>
    <row r="687">
      <c r="A687" s="19" t="n"/>
      <c r="B687" s="12" t="n"/>
      <c r="C687" s="12" t="n"/>
      <c r="D687" s="12" t="n"/>
      <c r="E687" s="12" t="n"/>
      <c r="F687" s="12" t="n"/>
      <c r="G687" s="12" t="n"/>
      <c r="H687" s="12" t="n"/>
    </row>
    <row r="688">
      <c r="A688" s="19" t="n"/>
      <c r="B688" s="12" t="n"/>
      <c r="C688" s="12" t="n"/>
      <c r="D688" s="12" t="n"/>
      <c r="E688" s="12" t="n"/>
      <c r="F688" s="12" t="n"/>
      <c r="G688" s="12" t="n"/>
      <c r="H688" s="12" t="n"/>
    </row>
    <row r="689">
      <c r="A689" s="19" t="n"/>
      <c r="B689" s="12" t="n"/>
      <c r="C689" s="12" t="n"/>
      <c r="D689" s="12" t="n"/>
      <c r="E689" s="12" t="n"/>
      <c r="F689" s="12" t="n"/>
      <c r="G689" s="12" t="n"/>
      <c r="H689" s="12" t="n"/>
    </row>
    <row r="690">
      <c r="A690" s="19" t="n"/>
      <c r="B690" s="12" t="n"/>
      <c r="C690" s="12" t="n"/>
      <c r="D690" s="12" t="n"/>
      <c r="E690" s="12" t="n"/>
      <c r="F690" s="12" t="n"/>
      <c r="G690" s="12" t="n"/>
      <c r="H690" s="12" t="n"/>
    </row>
    <row r="691">
      <c r="A691" s="19" t="n"/>
      <c r="B691" s="12" t="n"/>
      <c r="C691" s="12" t="n"/>
      <c r="D691" s="12" t="n"/>
      <c r="E691" s="12" t="n"/>
      <c r="F691" s="12" t="n"/>
      <c r="G691" s="12" t="n"/>
      <c r="H691" s="12" t="n"/>
    </row>
    <row r="692">
      <c r="A692" s="19" t="n"/>
      <c r="B692" s="12" t="n"/>
      <c r="C692" s="12" t="n"/>
      <c r="D692" s="12" t="n"/>
      <c r="E692" s="12" t="n"/>
      <c r="F692" s="12" t="n"/>
      <c r="G692" s="12" t="n"/>
      <c r="H692" s="12" t="n"/>
    </row>
    <row r="693">
      <c r="A693" s="19" t="n"/>
      <c r="B693" s="12" t="n"/>
      <c r="C693" s="12" t="n"/>
      <c r="D693" s="12" t="n"/>
      <c r="E693" s="12" t="n"/>
      <c r="F693" s="12" t="n"/>
      <c r="G693" s="12" t="n"/>
      <c r="H693" s="12" t="n"/>
    </row>
    <row r="694">
      <c r="A694" s="19" t="n"/>
      <c r="B694" s="12" t="n"/>
      <c r="C694" s="12" t="n"/>
      <c r="D694" s="12" t="n"/>
      <c r="E694" s="12" t="n"/>
      <c r="F694" s="12" t="n"/>
      <c r="G694" s="12" t="n"/>
      <c r="H694" s="12" t="n"/>
    </row>
    <row r="695">
      <c r="A695" s="19" t="n"/>
      <c r="B695" s="12" t="n"/>
      <c r="C695" s="12" t="n"/>
      <c r="D695" s="12" t="n"/>
      <c r="E695" s="12" t="n"/>
      <c r="F695" s="12" t="n"/>
      <c r="G695" s="12" t="n"/>
      <c r="H695" s="12" t="n"/>
    </row>
    <row r="696">
      <c r="A696" s="19" t="n"/>
      <c r="B696" s="12" t="n"/>
      <c r="C696" s="12" t="n"/>
      <c r="D696" s="12" t="n"/>
      <c r="E696" s="12" t="n"/>
      <c r="F696" s="12" t="n"/>
      <c r="G696" s="12" t="n"/>
      <c r="H696" s="12" t="n"/>
    </row>
    <row r="697">
      <c r="A697" s="19" t="n"/>
      <c r="B697" s="12" t="n"/>
      <c r="C697" s="12" t="n"/>
      <c r="D697" s="12" t="n"/>
      <c r="E697" s="12" t="n"/>
      <c r="F697" s="12" t="n"/>
      <c r="G697" s="12" t="n"/>
      <c r="H697" s="12" t="n"/>
    </row>
    <row r="698">
      <c r="A698" s="19" t="n"/>
      <c r="B698" s="12" t="n"/>
      <c r="C698" s="12" t="n"/>
      <c r="D698" s="12" t="n"/>
      <c r="E698" s="12" t="n"/>
      <c r="F698" s="12" t="n"/>
      <c r="G698" s="12" t="n"/>
      <c r="H698" s="12" t="n"/>
    </row>
    <row r="699">
      <c r="A699" s="19" t="n"/>
      <c r="B699" s="12" t="n"/>
      <c r="C699" s="12" t="n"/>
      <c r="D699" s="12" t="n"/>
      <c r="E699" s="12" t="n"/>
      <c r="F699" s="12" t="n"/>
      <c r="G699" s="12" t="n"/>
      <c r="H699" s="12" t="n"/>
    </row>
    <row r="700">
      <c r="A700" s="19" t="n"/>
      <c r="B700" s="12" t="n"/>
      <c r="C700" s="12" t="n"/>
      <c r="D700" s="12" t="n"/>
      <c r="E700" s="12" t="n"/>
      <c r="F700" s="12" t="n"/>
      <c r="G700" s="12" t="n"/>
      <c r="H700" s="12" t="n"/>
    </row>
    <row r="701">
      <c r="A701" s="19" t="n"/>
      <c r="B701" s="12" t="n"/>
      <c r="C701" s="12" t="n"/>
      <c r="D701" s="12" t="n"/>
      <c r="E701" s="12" t="n"/>
      <c r="F701" s="12" t="n"/>
      <c r="G701" s="12" t="n"/>
      <c r="H701" s="12" t="n"/>
    </row>
    <row r="702">
      <c r="A702" s="19" t="n"/>
      <c r="B702" s="12" t="n"/>
      <c r="C702" s="12" t="n"/>
      <c r="D702" s="12" t="n"/>
      <c r="E702" s="12" t="n"/>
      <c r="F702" s="12" t="n"/>
      <c r="G702" s="12" t="n"/>
      <c r="H702" s="12" t="n"/>
    </row>
    <row r="703">
      <c r="A703" s="19" t="n"/>
      <c r="B703" s="12" t="n"/>
      <c r="C703" s="12" t="n"/>
      <c r="D703" s="12" t="n"/>
      <c r="E703" s="12" t="n"/>
      <c r="F703" s="12" t="n"/>
      <c r="G703" s="12" t="n"/>
      <c r="H703" s="12" t="n"/>
    </row>
    <row r="704">
      <c r="A704" s="19" t="n"/>
      <c r="B704" s="12" t="n"/>
      <c r="C704" s="12" t="n"/>
      <c r="D704" s="12" t="n"/>
      <c r="E704" s="12" t="n"/>
      <c r="F704" s="12" t="n"/>
      <c r="G704" s="12" t="n"/>
      <c r="H704" s="12" t="n"/>
    </row>
    <row r="705">
      <c r="A705" s="19" t="n"/>
      <c r="B705" s="12" t="n"/>
      <c r="C705" s="12" t="n"/>
      <c r="D705" s="12" t="n"/>
      <c r="E705" s="12" t="n"/>
      <c r="F705" s="12" t="n"/>
      <c r="G705" s="12" t="n"/>
      <c r="H705" s="12" t="n"/>
    </row>
    <row r="706">
      <c r="A706" s="19" t="n"/>
      <c r="B706" s="12" t="n"/>
      <c r="C706" s="12" t="n"/>
      <c r="D706" s="12" t="n"/>
      <c r="E706" s="12" t="n"/>
      <c r="F706" s="12" t="n"/>
      <c r="G706" s="12" t="n"/>
      <c r="H706" s="12" t="n"/>
    </row>
    <row r="707">
      <c r="A707" s="19" t="n"/>
      <c r="B707" s="12" t="n"/>
      <c r="C707" s="12" t="n"/>
      <c r="D707" s="12" t="n"/>
      <c r="E707" s="12" t="n"/>
      <c r="F707" s="12" t="n"/>
      <c r="G707" s="12" t="n"/>
      <c r="H707" s="12" t="n"/>
    </row>
    <row r="708">
      <c r="A708" s="19" t="n"/>
      <c r="B708" s="12" t="n"/>
      <c r="C708" s="12" t="n"/>
      <c r="D708" s="12" t="n"/>
      <c r="E708" s="12" t="n"/>
      <c r="F708" s="12" t="n"/>
      <c r="G708" s="12" t="n"/>
      <c r="H708" s="12" t="n"/>
    </row>
    <row r="709">
      <c r="A709" s="19" t="n"/>
      <c r="B709" s="12" t="n"/>
      <c r="C709" s="12" t="n"/>
      <c r="D709" s="12" t="n"/>
      <c r="E709" s="12" t="n"/>
      <c r="F709" s="12" t="n"/>
      <c r="G709" s="12" t="n"/>
      <c r="H709" s="12" t="n"/>
    </row>
    <row r="710">
      <c r="A710" s="19" t="n"/>
      <c r="B710" s="12" t="n"/>
      <c r="C710" s="12" t="n"/>
      <c r="D710" s="12" t="n"/>
      <c r="E710" s="12" t="n"/>
      <c r="F710" s="12" t="n"/>
      <c r="G710" s="12" t="n"/>
      <c r="H710" s="12" t="n"/>
    </row>
    <row r="711">
      <c r="A711" s="19" t="n"/>
      <c r="B711" s="12" t="n"/>
      <c r="C711" s="12" t="n"/>
      <c r="D711" s="12" t="n"/>
      <c r="E711" s="12" t="n"/>
      <c r="F711" s="12" t="n"/>
      <c r="G711" s="12" t="n"/>
      <c r="H711" s="12" t="n"/>
    </row>
    <row r="712">
      <c r="A712" s="19" t="n"/>
      <c r="B712" s="12" t="n"/>
      <c r="C712" s="12" t="n"/>
      <c r="D712" s="12" t="n"/>
      <c r="E712" s="12" t="n"/>
      <c r="F712" s="12" t="n"/>
      <c r="G712" s="12" t="n"/>
      <c r="H712" s="12" t="n"/>
    </row>
    <row r="713">
      <c r="A713" s="19" t="n"/>
      <c r="B713" s="12" t="n"/>
      <c r="C713" s="12" t="n"/>
      <c r="D713" s="12" t="n"/>
      <c r="E713" s="12" t="n"/>
      <c r="F713" s="12" t="n"/>
      <c r="G713" s="12" t="n"/>
      <c r="H713" s="12" t="n"/>
    </row>
    <row r="714">
      <c r="A714" s="19" t="n"/>
      <c r="B714" s="12" t="n"/>
      <c r="C714" s="12" t="n"/>
      <c r="D714" s="12" t="n"/>
      <c r="E714" s="12" t="n"/>
      <c r="F714" s="12" t="n"/>
      <c r="G714" s="12" t="n"/>
      <c r="H714" s="12" t="n"/>
    </row>
    <row r="715">
      <c r="A715" s="19" t="n"/>
      <c r="B715" s="12" t="n"/>
      <c r="C715" s="12" t="n"/>
      <c r="D715" s="12" t="n"/>
      <c r="E715" s="12" t="n"/>
      <c r="F715" s="12" t="n"/>
      <c r="G715" s="12" t="n"/>
      <c r="H715" s="12" t="n"/>
    </row>
    <row r="716">
      <c r="A716" s="19" t="n"/>
      <c r="B716" s="12" t="n"/>
      <c r="C716" s="12" t="n"/>
      <c r="D716" s="12" t="n"/>
      <c r="E716" s="12" t="n"/>
      <c r="F716" s="12" t="n"/>
      <c r="G716" s="12" t="n"/>
      <c r="H716" s="12" t="n"/>
    </row>
    <row r="717">
      <c r="A717" s="19" t="n"/>
      <c r="B717" s="12" t="n"/>
      <c r="C717" s="12" t="n"/>
      <c r="D717" s="12" t="n"/>
      <c r="E717" s="12" t="n"/>
      <c r="F717" s="12" t="n"/>
      <c r="G717" s="12" t="n"/>
      <c r="H717" s="12" t="n"/>
    </row>
    <row r="718">
      <c r="A718" s="19" t="n"/>
      <c r="B718" s="12" t="n"/>
      <c r="C718" s="12" t="n"/>
      <c r="D718" s="12" t="n"/>
      <c r="E718" s="12" t="n"/>
      <c r="F718" s="12" t="n"/>
      <c r="G718" s="12" t="n"/>
      <c r="H718" s="12" t="n"/>
    </row>
    <row r="719">
      <c r="A719" s="19" t="n"/>
      <c r="B719" s="12" t="n"/>
      <c r="C719" s="12" t="n"/>
      <c r="D719" s="12" t="n"/>
      <c r="E719" s="12" t="n"/>
      <c r="F719" s="12" t="n"/>
      <c r="G719" s="12" t="n"/>
      <c r="H719" s="12" t="n"/>
    </row>
    <row r="720">
      <c r="A720" s="19" t="n"/>
      <c r="B720" s="12" t="n"/>
      <c r="C720" s="12" t="n"/>
      <c r="D720" s="12" t="n"/>
      <c r="E720" s="12" t="n"/>
      <c r="F720" s="12" t="n"/>
      <c r="G720" s="12" t="n"/>
      <c r="H720" s="12" t="n"/>
    </row>
    <row r="721">
      <c r="A721" s="19" t="n"/>
      <c r="B721" s="12" t="n"/>
      <c r="C721" s="12" t="n"/>
      <c r="D721" s="12" t="n"/>
      <c r="E721" s="12" t="n"/>
      <c r="F721" s="12" t="n"/>
      <c r="G721" s="12" t="n"/>
      <c r="H721" s="12" t="n"/>
    </row>
    <row r="722">
      <c r="A722" s="19" t="n"/>
      <c r="B722" s="12" t="n"/>
      <c r="C722" s="12" t="n"/>
      <c r="D722" s="12" t="n"/>
      <c r="E722" s="12" t="n"/>
      <c r="F722" s="12" t="n"/>
      <c r="G722" s="12" t="n"/>
      <c r="H722" s="12" t="n"/>
    </row>
    <row r="723">
      <c r="A723" s="19" t="n"/>
      <c r="B723" s="12" t="n"/>
      <c r="C723" s="12" t="n"/>
      <c r="D723" s="12" t="n"/>
      <c r="E723" s="12" t="n"/>
      <c r="F723" s="12" t="n"/>
      <c r="G723" s="12" t="n"/>
      <c r="H723" s="12" t="n"/>
    </row>
    <row r="724">
      <c r="A724" s="19" t="n"/>
      <c r="B724" s="12" t="n"/>
      <c r="C724" s="12" t="n"/>
      <c r="D724" s="12" t="n"/>
      <c r="E724" s="12" t="n"/>
      <c r="F724" s="12" t="n"/>
      <c r="G724" s="12" t="n"/>
      <c r="H724" s="12" t="n"/>
    </row>
    <row r="725">
      <c r="A725" s="19" t="n"/>
      <c r="B725" s="12" t="n"/>
      <c r="C725" s="12" t="n"/>
      <c r="D725" s="12" t="n"/>
      <c r="E725" s="12" t="n"/>
      <c r="F725" s="12" t="n"/>
      <c r="G725" s="12" t="n"/>
      <c r="H725" s="12" t="n"/>
    </row>
    <row r="726">
      <c r="A726" s="19" t="n"/>
      <c r="B726" s="12" t="n"/>
      <c r="C726" s="12" t="n"/>
      <c r="D726" s="12" t="n"/>
      <c r="E726" s="12" t="n"/>
      <c r="F726" s="12" t="n"/>
      <c r="G726" s="12" t="n"/>
      <c r="H726" s="12" t="n"/>
    </row>
    <row r="727">
      <c r="A727" s="19" t="n"/>
      <c r="B727" s="12" t="n"/>
      <c r="C727" s="12" t="n"/>
      <c r="D727" s="12" t="n"/>
      <c r="E727" s="12" t="n"/>
      <c r="F727" s="12" t="n"/>
      <c r="G727" s="12" t="n"/>
      <c r="H727" s="12" t="n"/>
    </row>
    <row r="728">
      <c r="A728" s="19" t="n"/>
      <c r="B728" s="12" t="n"/>
      <c r="C728" s="12" t="n"/>
      <c r="D728" s="12" t="n"/>
      <c r="E728" s="12" t="n"/>
      <c r="F728" s="12" t="n"/>
      <c r="G728" s="12" t="n"/>
      <c r="H728" s="12" t="n"/>
    </row>
    <row r="729">
      <c r="A729" s="19" t="n"/>
      <c r="B729" s="12" t="n"/>
      <c r="C729" s="12" t="n"/>
      <c r="D729" s="12" t="n"/>
      <c r="E729" s="12" t="n"/>
      <c r="F729" s="12" t="n"/>
      <c r="G729" s="12" t="n"/>
      <c r="H729" s="12" t="n"/>
    </row>
    <row r="730">
      <c r="A730" s="19" t="n"/>
      <c r="B730" s="12" t="n"/>
      <c r="C730" s="12" t="n"/>
      <c r="D730" s="12" t="n"/>
      <c r="E730" s="12" t="n"/>
      <c r="F730" s="12" t="n"/>
      <c r="G730" s="12" t="n"/>
      <c r="H730" s="12" t="n"/>
    </row>
    <row r="731">
      <c r="A731" s="19" t="n"/>
      <c r="B731" s="12" t="n"/>
      <c r="C731" s="12" t="n"/>
      <c r="D731" s="12" t="n"/>
      <c r="E731" s="12" t="n"/>
      <c r="F731" s="12" t="n"/>
      <c r="G731" s="12" t="n"/>
      <c r="H731" s="12" t="n"/>
    </row>
    <row r="732">
      <c r="A732" s="19" t="n"/>
      <c r="B732" s="12" t="n"/>
      <c r="C732" s="12" t="n"/>
      <c r="D732" s="12" t="n"/>
      <c r="E732" s="12" t="n"/>
      <c r="F732" s="12" t="n"/>
      <c r="G732" s="12" t="n"/>
      <c r="H732" s="12" t="n"/>
    </row>
    <row r="733">
      <c r="A733" s="19" t="n"/>
      <c r="B733" s="12" t="n"/>
      <c r="C733" s="12" t="n"/>
      <c r="D733" s="12" t="n"/>
      <c r="E733" s="12" t="n"/>
      <c r="F733" s="12" t="n"/>
      <c r="G733" s="12" t="n"/>
      <c r="H733" s="12" t="n"/>
    </row>
    <row r="734">
      <c r="A734" s="19" t="n"/>
      <c r="B734" s="12" t="n"/>
      <c r="C734" s="12" t="n"/>
      <c r="D734" s="12" t="n"/>
      <c r="E734" s="12" t="n"/>
      <c r="F734" s="12" t="n"/>
      <c r="G734" s="12" t="n"/>
      <c r="H734" s="12" t="n"/>
    </row>
    <row r="735">
      <c r="A735" s="19" t="n"/>
      <c r="B735" s="12" t="n"/>
      <c r="C735" s="12" t="n"/>
      <c r="D735" s="12" t="n"/>
      <c r="E735" s="12" t="n"/>
      <c r="F735" s="12" t="n"/>
      <c r="G735" s="12" t="n"/>
      <c r="H735" s="12" t="n"/>
    </row>
    <row r="736">
      <c r="A736" s="19" t="n"/>
      <c r="B736" s="12" t="n"/>
      <c r="C736" s="12" t="n"/>
      <c r="D736" s="12" t="n"/>
      <c r="E736" s="12" t="n"/>
      <c r="F736" s="12" t="n"/>
      <c r="G736" s="12" t="n"/>
      <c r="H736" s="12" t="n"/>
    </row>
    <row r="737">
      <c r="A737" s="19" t="n"/>
      <c r="B737" s="12" t="n"/>
      <c r="C737" s="12" t="n"/>
      <c r="D737" s="12" t="n"/>
      <c r="E737" s="12" t="n"/>
      <c r="F737" s="12" t="n"/>
      <c r="G737" s="12" t="n"/>
      <c r="H737" s="12" t="n"/>
    </row>
    <row r="738">
      <c r="A738" s="19" t="n"/>
      <c r="B738" s="12" t="n"/>
      <c r="C738" s="12" t="n"/>
      <c r="D738" s="12" t="n"/>
      <c r="E738" s="12" t="n"/>
      <c r="F738" s="12" t="n"/>
      <c r="G738" s="12" t="n"/>
      <c r="H738" s="12" t="n"/>
    </row>
    <row r="739">
      <c r="A739" s="19" t="n"/>
      <c r="B739" s="12" t="n"/>
      <c r="C739" s="12" t="n"/>
      <c r="D739" s="12" t="n"/>
      <c r="E739" s="12" t="n"/>
      <c r="F739" s="12" t="n"/>
      <c r="G739" s="12" t="n"/>
      <c r="H739" s="12" t="n"/>
    </row>
    <row r="740">
      <c r="A740" s="19" t="n"/>
      <c r="B740" s="12" t="n"/>
      <c r="C740" s="12" t="n"/>
      <c r="D740" s="12" t="n"/>
      <c r="E740" s="12" t="n"/>
      <c r="F740" s="12" t="n"/>
      <c r="G740" s="12" t="n"/>
      <c r="H740" s="12" t="n"/>
    </row>
    <row r="741">
      <c r="A741" s="19" t="n"/>
      <c r="B741" s="12" t="n"/>
      <c r="C741" s="12" t="n"/>
      <c r="D741" s="12" t="n"/>
      <c r="E741" s="12" t="n"/>
      <c r="F741" s="12" t="n"/>
      <c r="G741" s="12" t="n"/>
      <c r="H741" s="12" t="n"/>
    </row>
    <row r="742">
      <c r="A742" s="19" t="n"/>
      <c r="B742" s="12" t="n"/>
      <c r="C742" s="12" t="n"/>
      <c r="D742" s="12" t="n"/>
      <c r="E742" s="12" t="n"/>
      <c r="F742" s="12" t="n"/>
      <c r="G742" s="12" t="n"/>
      <c r="H742" s="12" t="n"/>
    </row>
    <row r="743">
      <c r="A743" s="19" t="n"/>
      <c r="B743" s="12" t="n"/>
      <c r="C743" s="12" t="n"/>
      <c r="D743" s="12" t="n"/>
      <c r="E743" s="12" t="n"/>
      <c r="F743" s="12" t="n"/>
      <c r="G743" s="12" t="n"/>
      <c r="H743" s="12" t="n"/>
    </row>
    <row r="744">
      <c r="A744" s="19" t="n"/>
      <c r="B744" s="12" t="n"/>
      <c r="C744" s="12" t="n"/>
      <c r="D744" s="12" t="n"/>
      <c r="E744" s="12" t="n"/>
      <c r="F744" s="12" t="n"/>
      <c r="G744" s="12" t="n"/>
      <c r="H744" s="12" t="n"/>
    </row>
    <row r="745">
      <c r="A745" s="19" t="n"/>
      <c r="B745" s="12" t="n"/>
      <c r="C745" s="12" t="n"/>
      <c r="D745" s="12" t="n"/>
      <c r="E745" s="12" t="n"/>
      <c r="F745" s="12" t="n"/>
      <c r="G745" s="12" t="n"/>
      <c r="H745" s="12" t="n"/>
    </row>
    <row r="746">
      <c r="A746" s="19" t="n"/>
      <c r="B746" s="12" t="n"/>
      <c r="C746" s="12" t="n"/>
      <c r="D746" s="12" t="n"/>
      <c r="E746" s="12" t="n"/>
      <c r="F746" s="12" t="n"/>
      <c r="G746" s="12" t="n"/>
      <c r="H746" s="12" t="n"/>
    </row>
    <row r="747">
      <c r="A747" s="19" t="n"/>
      <c r="B747" s="12" t="n"/>
      <c r="C747" s="12" t="n"/>
      <c r="D747" s="12" t="n"/>
      <c r="E747" s="12" t="n"/>
      <c r="F747" s="12" t="n"/>
      <c r="G747" s="12" t="n"/>
      <c r="H747" s="12" t="n"/>
    </row>
    <row r="748">
      <c r="A748" s="19" t="n"/>
      <c r="B748" s="12" t="n"/>
      <c r="C748" s="12" t="n"/>
      <c r="D748" s="12" t="n"/>
      <c r="E748" s="12" t="n"/>
      <c r="F748" s="12" t="n"/>
      <c r="G748" s="12" t="n"/>
      <c r="H748" s="12" t="n"/>
    </row>
    <row r="749">
      <c r="A749" s="19" t="n"/>
      <c r="B749" s="12" t="n"/>
      <c r="C749" s="12" t="n"/>
      <c r="D749" s="12" t="n"/>
      <c r="E749" s="12" t="n"/>
      <c r="F749" s="12" t="n"/>
      <c r="G749" s="12" t="n"/>
      <c r="H749" s="12" t="n"/>
    </row>
    <row r="750">
      <c r="A750" s="19" t="n"/>
      <c r="B750" s="12" t="n"/>
      <c r="C750" s="12" t="n"/>
      <c r="D750" s="12" t="n"/>
      <c r="E750" s="12" t="n"/>
      <c r="F750" s="12" t="n"/>
      <c r="G750" s="12" t="n"/>
      <c r="H750" s="12" t="n"/>
    </row>
    <row r="751">
      <c r="A751" s="19" t="n"/>
      <c r="B751" s="12" t="n"/>
      <c r="C751" s="12" t="n"/>
      <c r="D751" s="12" t="n"/>
      <c r="E751" s="12" t="n"/>
      <c r="F751" s="12" t="n"/>
      <c r="G751" s="12" t="n"/>
      <c r="H751" s="12" t="n"/>
    </row>
    <row r="752">
      <c r="A752" s="19" t="n"/>
      <c r="B752" s="12" t="n"/>
      <c r="C752" s="12" t="n"/>
      <c r="D752" s="12" t="n"/>
      <c r="E752" s="12" t="n"/>
      <c r="F752" s="12" t="n"/>
      <c r="G752" s="12" t="n"/>
      <c r="H752" s="12" t="n"/>
    </row>
    <row r="753">
      <c r="A753" s="19" t="n"/>
      <c r="B753" s="12" t="n"/>
      <c r="C753" s="12" t="n"/>
      <c r="D753" s="12" t="n"/>
      <c r="E753" s="12" t="n"/>
      <c r="F753" s="12" t="n"/>
      <c r="G753" s="12" t="n"/>
      <c r="H753" s="12" t="n"/>
    </row>
    <row r="754">
      <c r="A754" s="19" t="n"/>
      <c r="B754" s="12" t="n"/>
      <c r="C754" s="12" t="n"/>
      <c r="D754" s="12" t="n"/>
      <c r="E754" s="12" t="n"/>
      <c r="F754" s="12" t="n"/>
      <c r="G754" s="12" t="n"/>
      <c r="H754" s="12" t="n"/>
    </row>
    <row r="755">
      <c r="A755" s="19" t="n"/>
      <c r="B755" s="12" t="n"/>
      <c r="C755" s="12" t="n"/>
      <c r="D755" s="12" t="n"/>
      <c r="E755" s="12" t="n"/>
      <c r="F755" s="12" t="n"/>
      <c r="G755" s="12" t="n"/>
      <c r="H755" s="12" t="n"/>
    </row>
    <row r="756">
      <c r="A756" s="19" t="n"/>
      <c r="B756" s="12" t="n"/>
      <c r="C756" s="12" t="n"/>
      <c r="D756" s="12" t="n"/>
      <c r="E756" s="12" t="n"/>
      <c r="F756" s="12" t="n"/>
      <c r="G756" s="12" t="n"/>
      <c r="H756" s="12" t="n"/>
    </row>
    <row r="757">
      <c r="A757" s="19" t="n"/>
      <c r="B757" s="12" t="n"/>
      <c r="C757" s="12" t="n"/>
      <c r="D757" s="12" t="n"/>
      <c r="E757" s="12" t="n"/>
      <c r="F757" s="12" t="n"/>
      <c r="G757" s="12" t="n"/>
      <c r="H757" s="12" t="n"/>
    </row>
    <row r="758">
      <c r="A758" s="19" t="n"/>
      <c r="B758" s="12" t="n"/>
      <c r="C758" s="12" t="n"/>
      <c r="D758" s="12" t="n"/>
      <c r="E758" s="12" t="n"/>
      <c r="F758" s="12" t="n"/>
      <c r="G758" s="12" t="n"/>
      <c r="H758" s="12" t="n"/>
    </row>
    <row r="759">
      <c r="A759" s="19" t="n"/>
      <c r="B759" s="12" t="n"/>
      <c r="C759" s="12" t="n"/>
      <c r="D759" s="12" t="n"/>
      <c r="E759" s="12" t="n"/>
      <c r="F759" s="12" t="n"/>
      <c r="G759" s="12" t="n"/>
      <c r="H759" s="12" t="n"/>
    </row>
    <row r="760">
      <c r="A760" s="19" t="n"/>
      <c r="B760" s="12" t="n"/>
      <c r="C760" s="12" t="n"/>
      <c r="D760" s="12" t="n"/>
      <c r="E760" s="12" t="n"/>
      <c r="F760" s="12" t="n"/>
      <c r="G760" s="12" t="n"/>
      <c r="H760" s="12" t="n"/>
    </row>
    <row r="761">
      <c r="A761" s="19" t="n"/>
      <c r="B761" s="12" t="n"/>
      <c r="C761" s="12" t="n"/>
      <c r="D761" s="12" t="n"/>
      <c r="E761" s="12" t="n"/>
      <c r="F761" s="12" t="n"/>
      <c r="G761" s="12" t="n"/>
      <c r="H761" s="12" t="n"/>
    </row>
    <row r="762">
      <c r="A762" s="19" t="n"/>
      <c r="B762" s="12" t="n"/>
      <c r="C762" s="12" t="n"/>
      <c r="D762" s="12" t="n"/>
      <c r="E762" s="12" t="n"/>
      <c r="F762" s="12" t="n"/>
      <c r="G762" s="12" t="n"/>
      <c r="H762" s="12" t="n"/>
    </row>
    <row r="763">
      <c r="A763" s="19" t="n"/>
      <c r="B763" s="12" t="n"/>
      <c r="C763" s="12" t="n"/>
      <c r="D763" s="12" t="n"/>
      <c r="E763" s="12" t="n"/>
      <c r="F763" s="12" t="n"/>
      <c r="G763" s="12" t="n"/>
      <c r="H763" s="12" t="n"/>
    </row>
    <row r="764">
      <c r="A764" s="19" t="n"/>
      <c r="B764" s="12" t="n"/>
      <c r="C764" s="12" t="n"/>
      <c r="D764" s="12" t="n"/>
      <c r="E764" s="12" t="n"/>
      <c r="F764" s="12" t="n"/>
      <c r="G764" s="12" t="n"/>
      <c r="H764" s="12" t="n"/>
    </row>
    <row r="765">
      <c r="A765" s="19" t="n"/>
      <c r="B765" s="12" t="n"/>
      <c r="C765" s="12" t="n"/>
      <c r="D765" s="12" t="n"/>
      <c r="E765" s="12" t="n"/>
      <c r="F765" s="12" t="n"/>
      <c r="G765" s="12" t="n"/>
      <c r="H765" s="12" t="n"/>
    </row>
    <row r="766">
      <c r="A766" s="19" t="n"/>
      <c r="B766" s="12" t="n"/>
      <c r="C766" s="12" t="n"/>
      <c r="D766" s="12" t="n"/>
      <c r="E766" s="12" t="n"/>
      <c r="F766" s="12" t="n"/>
      <c r="G766" s="12" t="n"/>
      <c r="H766" s="12" t="n"/>
    </row>
    <row r="767">
      <c r="A767" s="19" t="n"/>
      <c r="B767" s="12" t="n"/>
      <c r="C767" s="12" t="n"/>
      <c r="D767" s="12" t="n"/>
      <c r="E767" s="12" t="n"/>
      <c r="F767" s="12" t="n"/>
      <c r="G767" s="12" t="n"/>
      <c r="H767" s="12" t="n"/>
    </row>
    <row r="768">
      <c r="A768" s="19" t="n"/>
      <c r="B768" s="12" t="n"/>
      <c r="C768" s="12" t="n"/>
      <c r="D768" s="12" t="n"/>
      <c r="E768" s="12" t="n"/>
      <c r="F768" s="12" t="n"/>
      <c r="G768" s="12" t="n"/>
      <c r="H768" s="12" t="n"/>
    </row>
    <row r="769">
      <c r="A769" s="19" t="n"/>
      <c r="B769" s="12" t="n"/>
      <c r="C769" s="12" t="n"/>
      <c r="D769" s="12" t="n"/>
      <c r="E769" s="12" t="n"/>
      <c r="F769" s="12" t="n"/>
      <c r="G769" s="12" t="n"/>
      <c r="H769" s="12" t="n"/>
    </row>
    <row r="770">
      <c r="A770" s="19" t="n"/>
      <c r="B770" s="12" t="n"/>
      <c r="C770" s="12" t="n"/>
      <c r="D770" s="12" t="n"/>
      <c r="E770" s="12" t="n"/>
      <c r="F770" s="12" t="n"/>
      <c r="G770" s="12" t="n"/>
      <c r="H770" s="12" t="n"/>
    </row>
    <row r="771">
      <c r="A771" s="19" t="n"/>
      <c r="B771" s="12" t="n"/>
      <c r="C771" s="12" t="n"/>
      <c r="D771" s="12" t="n"/>
      <c r="E771" s="12" t="n"/>
      <c r="F771" s="12" t="n"/>
      <c r="G771" s="12" t="n"/>
      <c r="H771" s="12" t="n"/>
    </row>
    <row r="772">
      <c r="A772" s="19" t="n"/>
      <c r="B772" s="12" t="n"/>
      <c r="C772" s="12" t="n"/>
      <c r="D772" s="12" t="n"/>
      <c r="E772" s="12" t="n"/>
      <c r="F772" s="12" t="n"/>
      <c r="G772" s="12" t="n"/>
      <c r="H772" s="12" t="n"/>
    </row>
    <row r="773">
      <c r="A773" s="19" t="n"/>
      <c r="B773" s="12" t="n"/>
      <c r="C773" s="12" t="n"/>
      <c r="D773" s="12" t="n"/>
      <c r="E773" s="12" t="n"/>
      <c r="F773" s="12" t="n"/>
      <c r="G773" s="12" t="n"/>
      <c r="H773" s="12" t="n"/>
    </row>
    <row r="774">
      <c r="A774" s="19" t="n"/>
      <c r="B774" s="12" t="n"/>
      <c r="C774" s="12" t="n"/>
      <c r="D774" s="12" t="n"/>
      <c r="E774" s="12" t="n"/>
      <c r="F774" s="12" t="n"/>
      <c r="G774" s="12" t="n"/>
      <c r="H774" s="12" t="n"/>
    </row>
    <row r="775">
      <c r="A775" s="19" t="n"/>
      <c r="B775" s="12" t="n"/>
      <c r="C775" s="12" t="n"/>
      <c r="D775" s="12" t="n"/>
      <c r="E775" s="12" t="n"/>
      <c r="F775" s="12" t="n"/>
      <c r="G775" s="12" t="n"/>
      <c r="H775" s="12" t="n"/>
    </row>
    <row r="776">
      <c r="A776" s="19" t="n"/>
      <c r="B776" s="12" t="n"/>
      <c r="C776" s="12" t="n"/>
      <c r="D776" s="12" t="n"/>
      <c r="E776" s="12" t="n"/>
      <c r="F776" s="12" t="n"/>
      <c r="G776" s="12" t="n"/>
      <c r="H776" s="12" t="n"/>
    </row>
    <row r="777">
      <c r="A777" s="19" t="n"/>
      <c r="B777" s="12" t="n"/>
      <c r="C777" s="12" t="n"/>
      <c r="D777" s="12" t="n"/>
      <c r="E777" s="12" t="n"/>
      <c r="F777" s="12" t="n"/>
      <c r="G777" s="12" t="n"/>
      <c r="H777" s="12" t="n"/>
    </row>
    <row r="778">
      <c r="A778" s="19" t="n"/>
      <c r="B778" s="12" t="n"/>
      <c r="C778" s="12" t="n"/>
      <c r="D778" s="12" t="n"/>
      <c r="E778" s="12" t="n"/>
      <c r="F778" s="12" t="n"/>
      <c r="G778" s="12" t="n"/>
      <c r="H778" s="12" t="n"/>
    </row>
    <row r="779">
      <c r="A779" s="19" t="n"/>
      <c r="B779" s="12" t="n"/>
      <c r="C779" s="12" t="n"/>
      <c r="D779" s="12" t="n"/>
      <c r="E779" s="12" t="n"/>
      <c r="F779" s="12" t="n"/>
      <c r="G779" s="12" t="n"/>
      <c r="H779" s="12" t="n"/>
    </row>
    <row r="780">
      <c r="A780" s="19" t="n"/>
      <c r="B780" s="12" t="n"/>
      <c r="C780" s="12" t="n"/>
      <c r="D780" s="12" t="n"/>
      <c r="E780" s="12" t="n"/>
      <c r="F780" s="12" t="n"/>
      <c r="G780" s="12" t="n"/>
      <c r="H780" s="12" t="n"/>
    </row>
    <row r="781">
      <c r="A781" s="19" t="n"/>
      <c r="B781" s="12" t="n"/>
      <c r="C781" s="12" t="n"/>
      <c r="D781" s="12" t="n"/>
      <c r="E781" s="12" t="n"/>
      <c r="F781" s="12" t="n"/>
      <c r="G781" s="12" t="n"/>
      <c r="H781" s="12" t="n"/>
    </row>
    <row r="782">
      <c r="A782" s="19" t="n"/>
      <c r="B782" s="12" t="n"/>
      <c r="C782" s="12" t="n"/>
      <c r="D782" s="12" t="n"/>
      <c r="E782" s="12" t="n"/>
      <c r="F782" s="12" t="n"/>
      <c r="G782" s="12" t="n"/>
      <c r="H782" s="12" t="n"/>
    </row>
    <row r="783">
      <c r="A783" s="19" t="n"/>
      <c r="B783" s="12" t="n"/>
      <c r="C783" s="12" t="n"/>
      <c r="D783" s="12" t="n"/>
      <c r="E783" s="12" t="n"/>
      <c r="F783" s="12" t="n"/>
      <c r="G783" s="12" t="n"/>
      <c r="H783" s="12" t="n"/>
    </row>
    <row r="784">
      <c r="A784" s="19" t="n"/>
      <c r="B784" s="12" t="n"/>
      <c r="C784" s="12" t="n"/>
      <c r="D784" s="12" t="n"/>
      <c r="E784" s="12" t="n"/>
      <c r="F784" s="12" t="n"/>
      <c r="G784" s="12" t="n"/>
      <c r="H784" s="12" t="n"/>
    </row>
    <row r="785">
      <c r="A785" s="19" t="n"/>
      <c r="B785" s="12" t="n"/>
      <c r="C785" s="12" t="n"/>
      <c r="D785" s="12" t="n"/>
      <c r="E785" s="12" t="n"/>
      <c r="F785" s="12" t="n"/>
      <c r="G785" s="12" t="n"/>
      <c r="H785" s="12" t="n"/>
    </row>
    <row r="786">
      <c r="A786" s="19" t="n"/>
      <c r="B786" s="12" t="n"/>
      <c r="C786" s="12" t="n"/>
      <c r="D786" s="12" t="n"/>
      <c r="E786" s="12" t="n"/>
      <c r="F786" s="12" t="n"/>
      <c r="G786" s="12" t="n"/>
      <c r="H786" s="12" t="n"/>
    </row>
    <row r="787">
      <c r="A787" s="19" t="n"/>
      <c r="B787" s="12" t="n"/>
      <c r="C787" s="12" t="n"/>
      <c r="D787" s="12" t="n"/>
      <c r="E787" s="12" t="n"/>
      <c r="F787" s="12" t="n"/>
      <c r="G787" s="12" t="n"/>
      <c r="H787" s="12" t="n"/>
    </row>
    <row r="788">
      <c r="A788" s="19" t="n"/>
      <c r="B788" s="12" t="n"/>
      <c r="C788" s="12" t="n"/>
      <c r="D788" s="12" t="n"/>
      <c r="E788" s="12" t="n"/>
      <c r="F788" s="12" t="n"/>
      <c r="G788" s="12" t="n"/>
      <c r="H788" s="12" t="n"/>
    </row>
    <row r="789">
      <c r="A789" s="19" t="n"/>
      <c r="B789" s="12" t="n"/>
      <c r="C789" s="12" t="n"/>
      <c r="D789" s="12" t="n"/>
      <c r="E789" s="12" t="n"/>
      <c r="F789" s="12" t="n"/>
      <c r="G789" s="12" t="n"/>
      <c r="H789" s="12" t="n"/>
    </row>
    <row r="790">
      <c r="A790" s="19" t="n"/>
      <c r="B790" s="12" t="n"/>
      <c r="C790" s="12" t="n"/>
      <c r="D790" s="12" t="n"/>
      <c r="E790" s="12" t="n"/>
      <c r="F790" s="12" t="n"/>
      <c r="G790" s="12" t="n"/>
      <c r="H790" s="12" t="n"/>
    </row>
    <row r="791">
      <c r="A791" s="19" t="n"/>
      <c r="B791" s="12" t="n"/>
      <c r="C791" s="12" t="n"/>
      <c r="D791" s="12" t="n"/>
      <c r="E791" s="12" t="n"/>
      <c r="F791" s="12" t="n"/>
      <c r="G791" s="12" t="n"/>
      <c r="H791" s="12" t="n"/>
    </row>
    <row r="792">
      <c r="A792" s="19" t="n"/>
      <c r="B792" s="12" t="n"/>
      <c r="C792" s="12" t="n"/>
      <c r="D792" s="12" t="n"/>
      <c r="E792" s="12" t="n"/>
      <c r="F792" s="12" t="n"/>
      <c r="G792" s="12" t="n"/>
      <c r="H792" s="12" t="n"/>
    </row>
    <row r="793">
      <c r="A793" s="19" t="n"/>
      <c r="B793" s="12" t="n"/>
      <c r="C793" s="12" t="n"/>
      <c r="D793" s="12" t="n"/>
      <c r="E793" s="12" t="n"/>
      <c r="F793" s="12" t="n"/>
      <c r="G793" s="12" t="n"/>
      <c r="H793" s="12" t="n"/>
    </row>
    <row r="794">
      <c r="A794" s="19" t="n"/>
      <c r="B794" s="12" t="n"/>
      <c r="C794" s="12" t="n"/>
      <c r="D794" s="12" t="n"/>
      <c r="E794" s="12" t="n"/>
      <c r="F794" s="12" t="n"/>
      <c r="G794" s="12" t="n"/>
      <c r="H794" s="12" t="n"/>
    </row>
    <row r="795">
      <c r="A795" s="19" t="n"/>
      <c r="B795" s="12" t="n"/>
      <c r="C795" s="12" t="n"/>
      <c r="D795" s="12" t="n"/>
      <c r="E795" s="12" t="n"/>
      <c r="F795" s="12" t="n"/>
      <c r="G795" s="12" t="n"/>
      <c r="H795" s="12" t="n"/>
    </row>
    <row r="796">
      <c r="A796" s="19" t="n"/>
      <c r="B796" s="12" t="n"/>
      <c r="C796" s="12" t="n"/>
      <c r="D796" s="12" t="n"/>
      <c r="E796" s="12" t="n"/>
      <c r="F796" s="12" t="n"/>
      <c r="G796" s="12" t="n"/>
      <c r="H796" s="12" t="n"/>
    </row>
    <row r="797">
      <c r="A797" s="19" t="n"/>
      <c r="B797" s="12" t="n"/>
      <c r="C797" s="12" t="n"/>
      <c r="D797" s="12" t="n"/>
      <c r="E797" s="12" t="n"/>
      <c r="F797" s="12" t="n"/>
      <c r="G797" s="12" t="n"/>
      <c r="H797" s="12" t="n"/>
    </row>
    <row r="798">
      <c r="A798" s="19" t="n"/>
      <c r="B798" s="12" t="n"/>
      <c r="C798" s="12" t="n"/>
      <c r="D798" s="12" t="n"/>
      <c r="E798" s="12" t="n"/>
      <c r="F798" s="12" t="n"/>
      <c r="G798" s="12" t="n"/>
      <c r="H798" s="12" t="n"/>
    </row>
    <row r="799">
      <c r="A799" s="19" t="n"/>
      <c r="B799" s="12" t="n"/>
      <c r="C799" s="12" t="n"/>
      <c r="D799" s="12" t="n"/>
      <c r="E799" s="12" t="n"/>
      <c r="F799" s="12" t="n"/>
      <c r="G799" s="12" t="n"/>
      <c r="H799" s="12" t="n"/>
    </row>
    <row r="800">
      <c r="A800" s="19" t="n"/>
      <c r="B800" s="12" t="n"/>
      <c r="C800" s="12" t="n"/>
      <c r="D800" s="12" t="n"/>
      <c r="E800" s="12" t="n"/>
      <c r="F800" s="12" t="n"/>
      <c r="G800" s="12" t="n"/>
      <c r="H800" s="12" t="n"/>
    </row>
    <row r="801">
      <c r="A801" s="19" t="n"/>
      <c r="B801" s="12" t="n"/>
      <c r="C801" s="12" t="n"/>
      <c r="D801" s="12" t="n"/>
      <c r="E801" s="12" t="n"/>
      <c r="F801" s="12" t="n"/>
      <c r="G801" s="12" t="n"/>
      <c r="H801" s="12" t="n"/>
    </row>
    <row r="802">
      <c r="A802" s="19" t="n"/>
      <c r="B802" s="12" t="n"/>
      <c r="C802" s="12" t="n"/>
      <c r="D802" s="12" t="n"/>
      <c r="E802" s="12" t="n"/>
      <c r="F802" s="12" t="n"/>
      <c r="G802" s="12" t="n"/>
      <c r="H802" s="12" t="n"/>
    </row>
    <row r="803">
      <c r="A803" s="19" t="n"/>
      <c r="B803" s="12" t="n"/>
      <c r="C803" s="12" t="n"/>
      <c r="D803" s="12" t="n"/>
      <c r="E803" s="12" t="n"/>
      <c r="F803" s="12" t="n"/>
      <c r="G803" s="12" t="n"/>
      <c r="H803" s="12" t="n"/>
    </row>
    <row r="804">
      <c r="A804" s="19" t="n"/>
      <c r="B804" s="12" t="n"/>
      <c r="C804" s="12" t="n"/>
      <c r="D804" s="12" t="n"/>
      <c r="E804" s="12" t="n"/>
      <c r="F804" s="12" t="n"/>
      <c r="G804" s="12" t="n"/>
      <c r="H804" s="12" t="n"/>
    </row>
    <row r="805">
      <c r="A805" s="19" t="n"/>
      <c r="B805" s="12" t="n"/>
      <c r="C805" s="12" t="n"/>
      <c r="D805" s="12" t="n"/>
      <c r="E805" s="12" t="n"/>
      <c r="F805" s="12" t="n"/>
      <c r="G805" s="12" t="n"/>
      <c r="H805" s="12" t="n"/>
    </row>
    <row r="806">
      <c r="A806" s="19" t="n"/>
      <c r="B806" s="12" t="n"/>
      <c r="C806" s="12" t="n"/>
      <c r="D806" s="12" t="n"/>
      <c r="E806" s="12" t="n"/>
      <c r="F806" s="12" t="n"/>
      <c r="G806" s="12" t="n"/>
      <c r="H806" s="12" t="n"/>
    </row>
    <row r="807">
      <c r="A807" s="19" t="n"/>
      <c r="B807" s="12" t="n"/>
      <c r="C807" s="12" t="n"/>
      <c r="D807" s="12" t="n"/>
      <c r="E807" s="12" t="n"/>
      <c r="F807" s="12" t="n"/>
      <c r="G807" s="12" t="n"/>
      <c r="H807" s="12" t="n"/>
    </row>
    <row r="808">
      <c r="A808" s="19" t="n"/>
      <c r="B808" s="12" t="n"/>
      <c r="C808" s="12" t="n"/>
      <c r="D808" s="12" t="n"/>
      <c r="E808" s="12" t="n"/>
      <c r="F808" s="12" t="n"/>
      <c r="G808" s="12" t="n"/>
      <c r="H808" s="12" t="n"/>
    </row>
    <row r="809">
      <c r="A809" s="19" t="n"/>
      <c r="B809" s="12" t="n"/>
      <c r="C809" s="12" t="n"/>
      <c r="D809" s="12" t="n"/>
      <c r="E809" s="12" t="n"/>
      <c r="F809" s="12" t="n"/>
      <c r="G809" s="12" t="n"/>
      <c r="H809" s="12" t="n"/>
    </row>
    <row r="810">
      <c r="A810" s="19" t="n"/>
      <c r="B810" s="12" t="n"/>
      <c r="C810" s="12" t="n"/>
      <c r="D810" s="12" t="n"/>
      <c r="E810" s="12" t="n"/>
      <c r="F810" s="12" t="n"/>
      <c r="G810" s="12" t="n"/>
      <c r="H810" s="12" t="n"/>
    </row>
    <row r="811">
      <c r="A811" s="19" t="n"/>
      <c r="B811" s="12" t="n"/>
      <c r="C811" s="12" t="n"/>
      <c r="D811" s="12" t="n"/>
      <c r="E811" s="12" t="n"/>
      <c r="F811" s="12" t="n"/>
      <c r="G811" s="12" t="n"/>
      <c r="H811" s="12" t="n"/>
    </row>
    <row r="812">
      <c r="A812" s="19" t="n"/>
      <c r="B812" s="12" t="n"/>
      <c r="C812" s="12" t="n"/>
      <c r="D812" s="12" t="n"/>
      <c r="E812" s="12" t="n"/>
      <c r="F812" s="12" t="n"/>
      <c r="G812" s="12" t="n"/>
      <c r="H812" s="12" t="n"/>
    </row>
    <row r="813">
      <c r="A813" s="19" t="n"/>
      <c r="B813" s="12" t="n"/>
      <c r="C813" s="12" t="n"/>
      <c r="D813" s="12" t="n"/>
      <c r="E813" s="12" t="n"/>
      <c r="F813" s="12" t="n"/>
      <c r="G813" s="12" t="n"/>
      <c r="H813" s="12" t="n"/>
    </row>
    <row r="814">
      <c r="A814" s="19" t="n"/>
      <c r="B814" s="12" t="n"/>
      <c r="C814" s="12" t="n"/>
      <c r="D814" s="12" t="n"/>
      <c r="E814" s="12" t="n"/>
      <c r="F814" s="12" t="n"/>
      <c r="G814" s="12" t="n"/>
      <c r="H814" s="12" t="n"/>
    </row>
    <row r="815">
      <c r="A815" s="19" t="n"/>
      <c r="B815" s="12" t="n"/>
      <c r="C815" s="12" t="n"/>
      <c r="D815" s="12" t="n"/>
      <c r="E815" s="12" t="n"/>
      <c r="F815" s="12" t="n"/>
      <c r="G815" s="12" t="n"/>
      <c r="H815" s="12" t="n"/>
    </row>
    <row r="816">
      <c r="A816" s="19" t="n"/>
      <c r="B816" s="12" t="n"/>
      <c r="C816" s="12" t="n"/>
      <c r="D816" s="12" t="n"/>
      <c r="E816" s="12" t="n"/>
      <c r="F816" s="12" t="n"/>
      <c r="G816" s="12" t="n"/>
      <c r="H816" s="12" t="n"/>
    </row>
    <row r="817">
      <c r="A817" s="19" t="n"/>
      <c r="B817" s="12" t="n"/>
      <c r="C817" s="12" t="n"/>
      <c r="D817" s="12" t="n"/>
      <c r="E817" s="12" t="n"/>
      <c r="F817" s="12" t="n"/>
      <c r="G817" s="12" t="n"/>
      <c r="H817" s="12" t="n"/>
    </row>
    <row r="818">
      <c r="A818" s="19" t="n"/>
      <c r="B818" s="12" t="n"/>
      <c r="C818" s="12" t="n"/>
      <c r="D818" s="12" t="n"/>
      <c r="E818" s="12" t="n"/>
      <c r="F818" s="12" t="n"/>
      <c r="G818" s="12" t="n"/>
      <c r="H818" s="12" t="n"/>
    </row>
    <row r="819">
      <c r="A819" s="19" t="n"/>
      <c r="B819" s="12" t="n"/>
      <c r="C819" s="12" t="n"/>
      <c r="D819" s="12" t="n"/>
      <c r="E819" s="12" t="n"/>
      <c r="F819" s="12" t="n"/>
      <c r="G819" s="12" t="n"/>
      <c r="H819" s="12" t="n"/>
    </row>
    <row r="820">
      <c r="A820" s="19" t="n"/>
      <c r="B820" s="12" t="n"/>
      <c r="C820" s="12" t="n"/>
      <c r="D820" s="12" t="n"/>
      <c r="E820" s="12" t="n"/>
      <c r="F820" s="12" t="n"/>
      <c r="G820" s="12" t="n"/>
      <c r="H820" s="12" t="n"/>
    </row>
    <row r="821">
      <c r="A821" s="19" t="n"/>
      <c r="B821" s="12" t="n"/>
      <c r="C821" s="12" t="n"/>
      <c r="D821" s="12" t="n"/>
      <c r="E821" s="12" t="n"/>
      <c r="F821" s="12" t="n"/>
      <c r="G821" s="12" t="n"/>
      <c r="H821" s="12" t="n"/>
    </row>
    <row r="822">
      <c r="A822" s="19" t="n"/>
      <c r="B822" s="12" t="n"/>
      <c r="C822" s="12" t="n"/>
      <c r="D822" s="12" t="n"/>
      <c r="E822" s="12" t="n"/>
      <c r="F822" s="12" t="n"/>
      <c r="G822" s="12" t="n"/>
      <c r="H822" s="12" t="n"/>
    </row>
    <row r="823">
      <c r="A823" s="19" t="n"/>
      <c r="B823" s="12" t="n"/>
      <c r="C823" s="12" t="n"/>
      <c r="D823" s="12" t="n"/>
      <c r="E823" s="12" t="n"/>
      <c r="F823" s="12" t="n"/>
      <c r="G823" s="12" t="n"/>
      <c r="H823" s="12" t="n"/>
    </row>
    <row r="824">
      <c r="A824" s="19" t="n"/>
      <c r="B824" s="12" t="n"/>
      <c r="C824" s="12" t="n"/>
      <c r="D824" s="12" t="n"/>
      <c r="E824" s="12" t="n"/>
      <c r="F824" s="12" t="n"/>
      <c r="G824" s="12" t="n"/>
      <c r="H824" s="12" t="n"/>
    </row>
    <row r="825">
      <c r="A825" s="19" t="n"/>
      <c r="B825" s="12" t="n"/>
      <c r="C825" s="12" t="n"/>
      <c r="D825" s="12" t="n"/>
      <c r="E825" s="12" t="n"/>
      <c r="F825" s="12" t="n"/>
      <c r="G825" s="12" t="n"/>
      <c r="H825" s="12" t="n"/>
    </row>
    <row r="826">
      <c r="A826" s="19" t="n"/>
      <c r="B826" s="12" t="n"/>
      <c r="C826" s="12" t="n"/>
      <c r="D826" s="12" t="n"/>
      <c r="E826" s="12" t="n"/>
      <c r="F826" s="12" t="n"/>
      <c r="G826" s="12" t="n"/>
      <c r="H826" s="12" t="n"/>
    </row>
    <row r="827">
      <c r="A827" s="19" t="n"/>
      <c r="B827" s="12" t="n"/>
      <c r="C827" s="12" t="n"/>
      <c r="D827" s="12" t="n"/>
      <c r="E827" s="12" t="n"/>
      <c r="F827" s="12" t="n"/>
      <c r="G827" s="12" t="n"/>
      <c r="H827" s="12" t="n"/>
    </row>
    <row r="828">
      <c r="A828" s="19" t="n"/>
      <c r="B828" s="12" t="n"/>
      <c r="C828" s="12" t="n"/>
      <c r="D828" s="12" t="n"/>
      <c r="E828" s="12" t="n"/>
      <c r="F828" s="12" t="n"/>
      <c r="G828" s="12" t="n"/>
      <c r="H828" s="12" t="n"/>
    </row>
    <row r="829">
      <c r="A829" s="19" t="n"/>
      <c r="B829" s="12" t="n"/>
      <c r="C829" s="12" t="n"/>
      <c r="D829" s="12" t="n"/>
      <c r="E829" s="12" t="n"/>
      <c r="F829" s="12" t="n"/>
      <c r="G829" s="12" t="n"/>
      <c r="H829" s="12" t="n"/>
    </row>
    <row r="830">
      <c r="A830" s="19" t="n"/>
      <c r="B830" s="12" t="n"/>
      <c r="C830" s="12" t="n"/>
      <c r="D830" s="12" t="n"/>
      <c r="E830" s="12" t="n"/>
      <c r="F830" s="12" t="n"/>
      <c r="G830" s="12" t="n"/>
      <c r="H830" s="12" t="n"/>
    </row>
    <row r="831">
      <c r="A831" s="19" t="n"/>
      <c r="B831" s="12" t="n"/>
      <c r="C831" s="12" t="n"/>
      <c r="D831" s="12" t="n"/>
      <c r="E831" s="12" t="n"/>
      <c r="F831" s="12" t="n"/>
      <c r="G831" s="12" t="n"/>
      <c r="H831" s="12" t="n"/>
    </row>
    <row r="832">
      <c r="A832" s="19" t="n"/>
      <c r="B832" s="12" t="n"/>
      <c r="C832" s="12" t="n"/>
      <c r="D832" s="12" t="n"/>
      <c r="E832" s="12" t="n"/>
      <c r="F832" s="12" t="n"/>
      <c r="G832" s="12" t="n"/>
      <c r="H832" s="12" t="n"/>
    </row>
    <row r="833">
      <c r="A833" s="19" t="n"/>
      <c r="B833" s="12" t="n"/>
      <c r="C833" s="12" t="n"/>
      <c r="D833" s="12" t="n"/>
      <c r="E833" s="12" t="n"/>
      <c r="F833" s="12" t="n"/>
      <c r="G833" s="12" t="n"/>
      <c r="H833" s="12" t="n"/>
    </row>
    <row r="834">
      <c r="A834" s="19" t="n"/>
      <c r="B834" s="12" t="n"/>
      <c r="C834" s="12" t="n"/>
      <c r="D834" s="12" t="n"/>
      <c r="E834" s="12" t="n"/>
      <c r="F834" s="12" t="n"/>
      <c r="G834" s="12" t="n"/>
      <c r="H834" s="12" t="n"/>
    </row>
    <row r="835">
      <c r="A835" s="19" t="n"/>
      <c r="B835" s="12" t="n"/>
      <c r="C835" s="12" t="n"/>
      <c r="D835" s="12" t="n"/>
      <c r="E835" s="12" t="n"/>
      <c r="F835" s="12" t="n"/>
      <c r="G835" s="12" t="n"/>
      <c r="H835" s="12" t="n"/>
    </row>
    <row r="836">
      <c r="A836" s="19" t="n"/>
      <c r="B836" s="12" t="n"/>
      <c r="C836" s="12" t="n"/>
      <c r="D836" s="12" t="n"/>
      <c r="E836" s="12" t="n"/>
      <c r="F836" s="12" t="n"/>
      <c r="G836" s="12" t="n"/>
      <c r="H836" s="12" t="n"/>
    </row>
    <row r="837">
      <c r="A837" s="19" t="n"/>
      <c r="B837" s="12" t="n"/>
      <c r="C837" s="12" t="n"/>
      <c r="D837" s="12" t="n"/>
      <c r="E837" s="12" t="n"/>
      <c r="F837" s="12" t="n"/>
      <c r="G837" s="12" t="n"/>
      <c r="H837" s="12" t="n"/>
    </row>
    <row r="838">
      <c r="A838" s="19" t="n"/>
      <c r="B838" s="12" t="n"/>
      <c r="C838" s="12" t="n"/>
      <c r="D838" s="12" t="n"/>
      <c r="E838" s="12" t="n"/>
      <c r="F838" s="12" t="n"/>
      <c r="G838" s="12" t="n"/>
      <c r="H838" s="12" t="n"/>
    </row>
    <row r="839">
      <c r="A839" s="19" t="n"/>
      <c r="B839" s="12" t="n"/>
      <c r="C839" s="12" t="n"/>
      <c r="D839" s="12" t="n"/>
      <c r="E839" s="12" t="n"/>
      <c r="F839" s="12" t="n"/>
      <c r="G839" s="12" t="n"/>
      <c r="H839" s="12" t="n"/>
    </row>
    <row r="840">
      <c r="A840" s="19" t="n"/>
      <c r="B840" s="12" t="n"/>
      <c r="C840" s="12" t="n"/>
      <c r="D840" s="12" t="n"/>
      <c r="E840" s="12" t="n"/>
      <c r="F840" s="12" t="n"/>
      <c r="G840" s="12" t="n"/>
      <c r="H840" s="12" t="n"/>
    </row>
    <row r="841">
      <c r="A841" s="19" t="n"/>
      <c r="B841" s="12" t="n"/>
      <c r="C841" s="12" t="n"/>
      <c r="D841" s="12" t="n"/>
      <c r="E841" s="12" t="n"/>
      <c r="F841" s="12" t="n"/>
      <c r="G841" s="12" t="n"/>
      <c r="H841" s="12" t="n"/>
    </row>
    <row r="842">
      <c r="A842" s="19" t="n"/>
      <c r="B842" s="12" t="n"/>
      <c r="C842" s="12" t="n"/>
      <c r="D842" s="12" t="n"/>
      <c r="E842" s="12" t="n"/>
      <c r="F842" s="12" t="n"/>
      <c r="G842" s="12" t="n"/>
      <c r="H842" s="12" t="n"/>
    </row>
    <row r="843">
      <c r="A843" s="19" t="n"/>
      <c r="B843" s="12" t="n"/>
      <c r="C843" s="12" t="n"/>
      <c r="D843" s="12" t="n"/>
      <c r="E843" s="12" t="n"/>
      <c r="F843" s="12" t="n"/>
      <c r="G843" s="12" t="n"/>
      <c r="H843" s="12" t="n"/>
    </row>
    <row r="844">
      <c r="A844" s="19" t="n"/>
      <c r="B844" s="12" t="n"/>
      <c r="C844" s="12" t="n"/>
      <c r="D844" s="12" t="n"/>
      <c r="E844" s="12" t="n"/>
      <c r="F844" s="12" t="n"/>
      <c r="G844" s="12" t="n"/>
      <c r="H844" s="12" t="n"/>
    </row>
    <row r="845">
      <c r="A845" s="19" t="n"/>
      <c r="B845" s="12" t="n"/>
      <c r="C845" s="12" t="n"/>
      <c r="D845" s="12" t="n"/>
      <c r="E845" s="12" t="n"/>
      <c r="F845" s="12" t="n"/>
      <c r="G845" s="12" t="n"/>
      <c r="H845" s="12" t="n"/>
    </row>
    <row r="846">
      <c r="A846" s="19" t="n"/>
      <c r="B846" s="12" t="n"/>
      <c r="C846" s="12" t="n"/>
      <c r="D846" s="12" t="n"/>
      <c r="E846" s="12" t="n"/>
      <c r="F846" s="12" t="n"/>
      <c r="G846" s="12" t="n"/>
      <c r="H846" s="12" t="n"/>
    </row>
    <row r="847">
      <c r="A847" s="19" t="n"/>
      <c r="B847" s="12" t="n"/>
      <c r="C847" s="12" t="n"/>
      <c r="D847" s="12" t="n"/>
      <c r="E847" s="12" t="n"/>
      <c r="F847" s="12" t="n"/>
      <c r="G847" s="12" t="n"/>
      <c r="H847" s="12" t="n"/>
    </row>
    <row r="848">
      <c r="A848" s="19" t="n"/>
      <c r="B848" s="12" t="n"/>
      <c r="C848" s="12" t="n"/>
      <c r="D848" s="12" t="n"/>
      <c r="E848" s="12" t="n"/>
      <c r="F848" s="12" t="n"/>
      <c r="G848" s="12" t="n"/>
      <c r="H848" s="12" t="n"/>
    </row>
    <row r="849">
      <c r="A849" s="19" t="n"/>
      <c r="B849" s="12" t="n"/>
      <c r="C849" s="12" t="n"/>
      <c r="D849" s="12" t="n"/>
      <c r="E849" s="12" t="n"/>
      <c r="F849" s="12" t="n"/>
      <c r="G849" s="12" t="n"/>
      <c r="H849" s="12" t="n"/>
    </row>
    <row r="850">
      <c r="A850" s="19" t="n"/>
      <c r="B850" s="12" t="n"/>
      <c r="C850" s="12" t="n"/>
      <c r="D850" s="12" t="n"/>
      <c r="E850" s="12" t="n"/>
      <c r="F850" s="12" t="n"/>
      <c r="G850" s="12" t="n"/>
      <c r="H850" s="12" t="n"/>
    </row>
    <row r="851">
      <c r="A851" s="19" t="n"/>
      <c r="B851" s="12" t="n"/>
      <c r="C851" s="12" t="n"/>
      <c r="D851" s="12" t="n"/>
      <c r="E851" s="12" t="n"/>
      <c r="F851" s="12" t="n"/>
      <c r="G851" s="12" t="n"/>
      <c r="H851" s="12" t="n"/>
    </row>
    <row r="852">
      <c r="A852" s="19" t="n"/>
      <c r="B852" s="12" t="n"/>
      <c r="C852" s="12" t="n"/>
      <c r="D852" s="12" t="n"/>
      <c r="E852" s="12" t="n"/>
      <c r="F852" s="12" t="n"/>
      <c r="G852" s="12" t="n"/>
      <c r="H852" s="12" t="n"/>
    </row>
    <row r="853">
      <c r="A853" s="19" t="n"/>
      <c r="B853" s="12" t="n"/>
      <c r="C853" s="12" t="n"/>
      <c r="D853" s="12" t="n"/>
      <c r="E853" s="12" t="n"/>
      <c r="F853" s="12" t="n"/>
      <c r="G853" s="12" t="n"/>
      <c r="H853" s="12" t="n"/>
    </row>
    <row r="854">
      <c r="A854" s="19" t="n"/>
      <c r="B854" s="12" t="n"/>
      <c r="C854" s="12" t="n"/>
      <c r="D854" s="12" t="n"/>
      <c r="E854" s="12" t="n"/>
      <c r="F854" s="12" t="n"/>
      <c r="G854" s="12" t="n"/>
      <c r="H854" s="12" t="n"/>
    </row>
    <row r="855">
      <c r="A855" s="19" t="n"/>
      <c r="B855" s="12" t="n"/>
      <c r="C855" s="12" t="n"/>
      <c r="D855" s="12" t="n"/>
      <c r="E855" s="12" t="n"/>
      <c r="F855" s="12" t="n"/>
      <c r="G855" s="12" t="n"/>
      <c r="H855" s="12" t="n"/>
    </row>
    <row r="856">
      <c r="A856" s="19" t="n"/>
      <c r="B856" s="12" t="n"/>
      <c r="C856" s="12" t="n"/>
      <c r="D856" s="12" t="n"/>
      <c r="E856" s="12" t="n"/>
      <c r="F856" s="12" t="n"/>
      <c r="G856" s="12" t="n"/>
      <c r="H856" s="12" t="n"/>
    </row>
    <row r="857">
      <c r="A857" s="19" t="n"/>
      <c r="B857" s="12" t="n"/>
      <c r="C857" s="12" t="n"/>
      <c r="D857" s="12" t="n"/>
      <c r="E857" s="12" t="n"/>
      <c r="F857" s="12" t="n"/>
      <c r="G857" s="12" t="n"/>
      <c r="H857" s="12" t="n"/>
    </row>
    <row r="858">
      <c r="A858" s="19" t="n"/>
      <c r="B858" s="12" t="n"/>
      <c r="C858" s="12" t="n"/>
      <c r="D858" s="12" t="n"/>
      <c r="E858" s="12" t="n"/>
      <c r="F858" s="12" t="n"/>
      <c r="G858" s="12" t="n"/>
      <c r="H858" s="12" t="n"/>
    </row>
    <row r="859">
      <c r="A859" s="19" t="n"/>
      <c r="B859" s="12" t="n"/>
      <c r="C859" s="12" t="n"/>
      <c r="D859" s="12" t="n"/>
      <c r="E859" s="12" t="n"/>
      <c r="F859" s="12" t="n"/>
      <c r="G859" s="12" t="n"/>
      <c r="H859" s="12" t="n"/>
    </row>
    <row r="860">
      <c r="A860" s="19" t="n"/>
      <c r="B860" s="12" t="n"/>
      <c r="C860" s="12" t="n"/>
      <c r="D860" s="12" t="n"/>
      <c r="E860" s="12" t="n"/>
      <c r="F860" s="12" t="n"/>
      <c r="G860" s="12" t="n"/>
      <c r="H860" s="12" t="n"/>
    </row>
    <row r="861">
      <c r="A861" s="19" t="n"/>
      <c r="B861" s="12" t="n"/>
      <c r="C861" s="12" t="n"/>
      <c r="D861" s="12" t="n"/>
      <c r="E861" s="12" t="n"/>
      <c r="F861" s="12" t="n"/>
      <c r="G861" s="12" t="n"/>
      <c r="H861" s="12" t="n"/>
    </row>
    <row r="862">
      <c r="A862" s="19" t="n"/>
      <c r="B862" s="12" t="n"/>
      <c r="C862" s="12" t="n"/>
      <c r="D862" s="12" t="n"/>
      <c r="E862" s="12" t="n"/>
      <c r="F862" s="12" t="n"/>
      <c r="G862" s="12" t="n"/>
      <c r="H862" s="12" t="n"/>
    </row>
    <row r="863">
      <c r="A863" s="19" t="n"/>
      <c r="B863" s="12" t="n"/>
      <c r="C863" s="12" t="n"/>
      <c r="D863" s="12" t="n"/>
      <c r="E863" s="12" t="n"/>
      <c r="F863" s="12" t="n"/>
      <c r="G863" s="12" t="n"/>
      <c r="H863" s="12" t="n"/>
    </row>
    <row r="864">
      <c r="A864" s="19" t="n"/>
      <c r="B864" s="12" t="n"/>
      <c r="C864" s="12" t="n"/>
      <c r="D864" s="12" t="n"/>
      <c r="E864" s="12" t="n"/>
      <c r="F864" s="12" t="n"/>
      <c r="G864" s="12" t="n"/>
      <c r="H864" s="12" t="n"/>
    </row>
    <row r="865">
      <c r="A865" s="19" t="n"/>
      <c r="B865" s="12" t="n"/>
      <c r="C865" s="12" t="n"/>
      <c r="D865" s="12" t="n"/>
      <c r="E865" s="12" t="n"/>
      <c r="F865" s="12" t="n"/>
      <c r="G865" s="12" t="n"/>
      <c r="H865" s="12" t="n"/>
    </row>
    <row r="866">
      <c r="A866" s="19" t="n"/>
      <c r="B866" s="12" t="n"/>
      <c r="C866" s="12" t="n"/>
      <c r="D866" s="12" t="n"/>
      <c r="E866" s="12" t="n"/>
      <c r="F866" s="12" t="n"/>
      <c r="G866" s="12" t="n"/>
      <c r="H866" s="12" t="n"/>
    </row>
    <row r="867">
      <c r="A867" s="19" t="n"/>
      <c r="B867" s="12" t="n"/>
      <c r="C867" s="12" t="n"/>
      <c r="D867" s="12" t="n"/>
      <c r="E867" s="12" t="n"/>
      <c r="F867" s="12" t="n"/>
      <c r="G867" s="12" t="n"/>
      <c r="H867" s="12" t="n"/>
    </row>
    <row r="868">
      <c r="A868" s="19" t="n"/>
      <c r="B868" s="12" t="n"/>
      <c r="C868" s="12" t="n"/>
      <c r="D868" s="12" t="n"/>
      <c r="E868" s="12" t="n"/>
      <c r="F868" s="12" t="n"/>
      <c r="G868" s="12" t="n"/>
      <c r="H868" s="12" t="n"/>
    </row>
    <row r="869">
      <c r="A869" s="19" t="n"/>
      <c r="B869" s="12" t="n"/>
      <c r="C869" s="12" t="n"/>
      <c r="D869" s="12" t="n"/>
      <c r="E869" s="12" t="n"/>
      <c r="F869" s="12" t="n"/>
      <c r="G869" s="12" t="n"/>
      <c r="H869" s="12" t="n"/>
    </row>
    <row r="870">
      <c r="A870" s="19" t="n"/>
      <c r="B870" s="12" t="n"/>
      <c r="C870" s="12" t="n"/>
      <c r="D870" s="12" t="n"/>
      <c r="E870" s="12" t="n"/>
      <c r="F870" s="12" t="n"/>
      <c r="G870" s="12" t="n"/>
      <c r="H870" s="12" t="n"/>
    </row>
    <row r="871">
      <c r="A871" s="19" t="n"/>
      <c r="B871" s="12" t="n"/>
      <c r="C871" s="12" t="n"/>
      <c r="D871" s="12" t="n"/>
      <c r="E871" s="12" t="n"/>
      <c r="F871" s="12" t="n"/>
      <c r="G871" s="12" t="n"/>
      <c r="H871" s="12" t="n"/>
    </row>
    <row r="872">
      <c r="A872" s="19" t="n"/>
      <c r="B872" s="12" t="n"/>
      <c r="C872" s="12" t="n"/>
      <c r="D872" s="12" t="n"/>
      <c r="E872" s="12" t="n"/>
      <c r="F872" s="12" t="n"/>
      <c r="G872" s="12" t="n"/>
      <c r="H872" s="12" t="n"/>
    </row>
    <row r="873">
      <c r="A873" s="19" t="n"/>
      <c r="B873" s="12" t="n"/>
      <c r="C873" s="12" t="n"/>
      <c r="D873" s="12" t="n"/>
      <c r="E873" s="12" t="n"/>
      <c r="F873" s="12" t="n"/>
      <c r="G873" s="12" t="n"/>
      <c r="H873" s="12" t="n"/>
    </row>
    <row r="874">
      <c r="A874" s="19" t="n"/>
      <c r="B874" s="12" t="n"/>
      <c r="C874" s="12" t="n"/>
      <c r="D874" s="12" t="n"/>
      <c r="E874" s="12" t="n"/>
      <c r="F874" s="12" t="n"/>
      <c r="G874" s="12" t="n"/>
      <c r="H874" s="12" t="n"/>
    </row>
    <row r="875">
      <c r="A875" s="19" t="n"/>
      <c r="B875" s="12" t="n"/>
      <c r="C875" s="12" t="n"/>
      <c r="D875" s="12" t="n"/>
      <c r="E875" s="12" t="n"/>
      <c r="F875" s="12" t="n"/>
      <c r="G875" s="12" t="n"/>
      <c r="H875" s="12" t="n"/>
    </row>
    <row r="876">
      <c r="A876" s="19" t="n"/>
      <c r="B876" s="12" t="n"/>
      <c r="C876" s="12" t="n"/>
      <c r="D876" s="12" t="n"/>
      <c r="E876" s="12" t="n"/>
      <c r="F876" s="12" t="n"/>
      <c r="G876" s="12" t="n"/>
      <c r="H876" s="12" t="n"/>
    </row>
    <row r="877">
      <c r="A877" s="19" t="n"/>
      <c r="B877" s="12" t="n"/>
      <c r="C877" s="12" t="n"/>
      <c r="D877" s="12" t="n"/>
      <c r="E877" s="12" t="n"/>
      <c r="F877" s="12" t="n"/>
      <c r="G877" s="12" t="n"/>
      <c r="H877" s="12" t="n"/>
    </row>
    <row r="878">
      <c r="A878" s="19" t="n"/>
      <c r="B878" s="12" t="n"/>
      <c r="C878" s="12" t="n"/>
      <c r="D878" s="12" t="n"/>
      <c r="E878" s="12" t="n"/>
      <c r="F878" s="12" t="n"/>
      <c r="G878" s="12" t="n"/>
      <c r="H878" s="12" t="n"/>
    </row>
    <row r="879">
      <c r="A879" s="19" t="n"/>
      <c r="B879" s="12" t="n"/>
      <c r="C879" s="12" t="n"/>
      <c r="D879" s="12" t="n"/>
      <c r="E879" s="12" t="n"/>
      <c r="F879" s="12" t="n"/>
      <c r="G879" s="12" t="n"/>
      <c r="H879" s="12" t="n"/>
    </row>
    <row r="880">
      <c r="A880" s="19" t="n"/>
      <c r="B880" s="12" t="n"/>
      <c r="C880" s="12" t="n"/>
      <c r="D880" s="12" t="n"/>
      <c r="E880" s="12" t="n"/>
      <c r="F880" s="12" t="n"/>
      <c r="G880" s="12" t="n"/>
      <c r="H880" s="12" t="n"/>
    </row>
    <row r="881">
      <c r="A881" s="19" t="n"/>
      <c r="B881" s="12" t="n"/>
      <c r="C881" s="12" t="n"/>
      <c r="D881" s="12" t="n"/>
      <c r="E881" s="12" t="n"/>
      <c r="F881" s="12" t="n"/>
      <c r="G881" s="12" t="n"/>
      <c r="H881" s="12" t="n"/>
    </row>
    <row r="882">
      <c r="A882" s="19" t="n"/>
      <c r="B882" s="12" t="n"/>
      <c r="C882" s="12" t="n"/>
      <c r="D882" s="12" t="n"/>
      <c r="E882" s="12" t="n"/>
      <c r="F882" s="12" t="n"/>
      <c r="G882" s="12" t="n"/>
      <c r="H882" s="12" t="n"/>
    </row>
    <row r="883">
      <c r="A883" s="19" t="n"/>
      <c r="B883" s="12" t="n"/>
      <c r="C883" s="12" t="n"/>
      <c r="D883" s="12" t="n"/>
      <c r="E883" s="12" t="n"/>
      <c r="F883" s="12" t="n"/>
      <c r="G883" s="12" t="n"/>
      <c r="H883" s="12" t="n"/>
    </row>
    <row r="884">
      <c r="A884" s="19" t="n"/>
      <c r="B884" s="12" t="n"/>
      <c r="C884" s="12" t="n"/>
      <c r="D884" s="12" t="n"/>
      <c r="E884" s="12" t="n"/>
      <c r="F884" s="12" t="n"/>
      <c r="G884" s="12" t="n"/>
      <c r="H884" s="12" t="n"/>
    </row>
    <row r="885">
      <c r="A885" s="19" t="n"/>
      <c r="B885" s="12" t="n"/>
      <c r="C885" s="12" t="n"/>
      <c r="D885" s="12" t="n"/>
      <c r="E885" s="12" t="n"/>
      <c r="F885" s="12" t="n"/>
      <c r="G885" s="12" t="n"/>
      <c r="H885" s="12" t="n"/>
    </row>
    <row r="886">
      <c r="A886" s="19" t="n"/>
      <c r="B886" s="12" t="n"/>
      <c r="C886" s="12" t="n"/>
      <c r="D886" s="12" t="n"/>
      <c r="E886" s="12" t="n"/>
      <c r="F886" s="12" t="n"/>
      <c r="G886" s="12" t="n"/>
      <c r="H886" s="12" t="n"/>
    </row>
    <row r="887">
      <c r="A887" s="19" t="n"/>
      <c r="B887" s="12" t="n"/>
      <c r="C887" s="12" t="n"/>
      <c r="D887" s="12" t="n"/>
      <c r="E887" s="12" t="n"/>
      <c r="F887" s="12" t="n"/>
      <c r="G887" s="12" t="n"/>
      <c r="H887" s="12" t="n"/>
    </row>
    <row r="888">
      <c r="A888" s="19" t="n"/>
      <c r="B888" s="12" t="n"/>
      <c r="C888" s="12" t="n"/>
      <c r="D888" s="12" t="n"/>
      <c r="E888" s="12" t="n"/>
      <c r="F888" s="12" t="n"/>
      <c r="G888" s="12" t="n"/>
      <c r="H888" s="12" t="n"/>
    </row>
    <row r="889">
      <c r="A889" s="19" t="n"/>
      <c r="B889" s="12" t="n"/>
      <c r="C889" s="12" t="n"/>
      <c r="D889" s="12" t="n"/>
      <c r="E889" s="12" t="n"/>
      <c r="F889" s="12" t="n"/>
      <c r="G889" s="12" t="n"/>
      <c r="H889" s="12" t="n"/>
    </row>
    <row r="890">
      <c r="A890" s="19" t="n"/>
      <c r="B890" s="12" t="n"/>
      <c r="C890" s="12" t="n"/>
      <c r="D890" s="12" t="n"/>
      <c r="E890" s="12" t="n"/>
      <c r="F890" s="12" t="n"/>
      <c r="G890" s="12" t="n"/>
      <c r="H890" s="12" t="n"/>
    </row>
    <row r="891">
      <c r="A891" s="19" t="n"/>
      <c r="B891" s="12" t="n"/>
      <c r="C891" s="12" t="n"/>
      <c r="D891" s="12" t="n"/>
      <c r="E891" s="12" t="n"/>
      <c r="F891" s="12" t="n"/>
      <c r="G891" s="12" t="n"/>
      <c r="H891" s="12" t="n"/>
    </row>
    <row r="892">
      <c r="A892" s="19" t="n"/>
      <c r="B892" s="12" t="n"/>
      <c r="C892" s="12" t="n"/>
      <c r="D892" s="12" t="n"/>
      <c r="E892" s="12" t="n"/>
      <c r="F892" s="12" t="n"/>
      <c r="G892" s="12" t="n"/>
      <c r="H892" s="12" t="n"/>
    </row>
    <row r="893">
      <c r="A893" s="19" t="n"/>
      <c r="B893" s="12" t="n"/>
      <c r="C893" s="12" t="n"/>
      <c r="D893" s="12" t="n"/>
      <c r="E893" s="12" t="n"/>
      <c r="F893" s="12" t="n"/>
      <c r="G893" s="12" t="n"/>
      <c r="H893" s="12" t="n"/>
    </row>
    <row r="894">
      <c r="A894" s="19" t="n"/>
      <c r="B894" s="12" t="n"/>
      <c r="C894" s="12" t="n"/>
      <c r="D894" s="12" t="n"/>
      <c r="E894" s="12" t="n"/>
      <c r="F894" s="12" t="n"/>
      <c r="G894" s="12" t="n"/>
      <c r="H894" s="12" t="n"/>
    </row>
    <row r="895">
      <c r="A895" s="19" t="n"/>
      <c r="B895" s="12" t="n"/>
      <c r="C895" s="12" t="n"/>
      <c r="D895" s="12" t="n"/>
      <c r="E895" s="12" t="n"/>
      <c r="F895" s="12" t="n"/>
      <c r="G895" s="12" t="n"/>
      <c r="H895" s="12" t="n"/>
    </row>
    <row r="896">
      <c r="A896" s="19" t="n"/>
      <c r="B896" s="12" t="n"/>
      <c r="C896" s="12" t="n"/>
      <c r="D896" s="12" t="n"/>
      <c r="E896" s="12" t="n"/>
      <c r="F896" s="12" t="n"/>
      <c r="G896" s="12" t="n"/>
      <c r="H896" s="12" t="n"/>
    </row>
    <row r="897">
      <c r="A897" s="19" t="n"/>
      <c r="B897" s="12" t="n"/>
      <c r="C897" s="12" t="n"/>
      <c r="D897" s="12" t="n"/>
      <c r="E897" s="12" t="n"/>
      <c r="F897" s="12" t="n"/>
      <c r="G897" s="12" t="n"/>
      <c r="H897" s="12" t="n"/>
    </row>
    <row r="898">
      <c r="A898" s="19" t="n"/>
      <c r="B898" s="12" t="n"/>
      <c r="C898" s="12" t="n"/>
      <c r="D898" s="12" t="n"/>
      <c r="E898" s="12" t="n"/>
      <c r="F898" s="12" t="n"/>
      <c r="G898" s="12" t="n"/>
      <c r="H898" s="12" t="n"/>
    </row>
    <row r="899">
      <c r="A899" s="19" t="n"/>
      <c r="B899" s="12" t="n"/>
      <c r="C899" s="12" t="n"/>
      <c r="D899" s="12" t="n"/>
      <c r="E899" s="12" t="n"/>
      <c r="F899" s="12" t="n"/>
      <c r="G899" s="12" t="n"/>
      <c r="H899" s="12" t="n"/>
    </row>
    <row r="900">
      <c r="A900" s="19" t="n"/>
      <c r="B900" s="12" t="n"/>
      <c r="C900" s="12" t="n"/>
      <c r="D900" s="12" t="n"/>
      <c r="E900" s="12" t="n"/>
      <c r="F900" s="12" t="n"/>
      <c r="G900" s="12" t="n"/>
      <c r="H900" s="12" t="n"/>
    </row>
    <row r="901">
      <c r="A901" s="19" t="n"/>
      <c r="B901" s="12" t="n"/>
      <c r="C901" s="12" t="n"/>
      <c r="D901" s="12" t="n"/>
      <c r="E901" s="12" t="n"/>
      <c r="F901" s="12" t="n"/>
      <c r="G901" s="12" t="n"/>
      <c r="H901" s="12" t="n"/>
    </row>
    <row r="902">
      <c r="A902" s="19" t="n"/>
      <c r="B902" s="12" t="n"/>
      <c r="C902" s="12" t="n"/>
      <c r="D902" s="12" t="n"/>
      <c r="E902" s="12" t="n"/>
      <c r="F902" s="12" t="n"/>
      <c r="G902" s="12" t="n"/>
      <c r="H902" s="12" t="n"/>
    </row>
    <row r="903">
      <c r="A903" s="19" t="n"/>
      <c r="B903" s="12" t="n"/>
      <c r="C903" s="12" t="n"/>
      <c r="D903" s="12" t="n"/>
      <c r="E903" s="12" t="n"/>
      <c r="F903" s="12" t="n"/>
      <c r="G903" s="12" t="n"/>
      <c r="H903" s="12" t="n"/>
    </row>
    <row r="904">
      <c r="A904" s="19" t="n"/>
      <c r="B904" s="12" t="n"/>
      <c r="C904" s="12" t="n"/>
      <c r="D904" s="12" t="n"/>
      <c r="E904" s="12" t="n"/>
      <c r="F904" s="12" t="n"/>
      <c r="G904" s="12" t="n"/>
      <c r="H904" s="12" t="n"/>
    </row>
    <row r="905">
      <c r="A905" s="19" t="n"/>
      <c r="B905" s="12" t="n"/>
      <c r="C905" s="12" t="n"/>
      <c r="D905" s="12" t="n"/>
      <c r="E905" s="12" t="n"/>
      <c r="F905" s="12" t="n"/>
      <c r="G905" s="12" t="n"/>
      <c r="H905" s="12" t="n"/>
    </row>
    <row r="906">
      <c r="A906" s="19" t="n"/>
      <c r="B906" s="12" t="n"/>
      <c r="C906" s="12" t="n"/>
      <c r="D906" s="12" t="n"/>
      <c r="E906" s="12" t="n"/>
      <c r="F906" s="12" t="n"/>
      <c r="G906" s="12" t="n"/>
      <c r="H906" s="12" t="n"/>
    </row>
    <row r="907">
      <c r="A907" s="19" t="n"/>
      <c r="B907" s="12" t="n"/>
      <c r="C907" s="12" t="n"/>
      <c r="D907" s="12" t="n"/>
      <c r="E907" s="12" t="n"/>
      <c r="F907" s="12" t="n"/>
      <c r="G907" s="12" t="n"/>
      <c r="H907" s="12" t="n"/>
    </row>
    <row r="908">
      <c r="A908" s="19" t="n"/>
      <c r="B908" s="12" t="n"/>
      <c r="C908" s="12" t="n"/>
      <c r="D908" s="12" t="n"/>
      <c r="E908" s="12" t="n"/>
      <c r="F908" s="12" t="n"/>
      <c r="G908" s="12" t="n"/>
      <c r="H908" s="12" t="n"/>
    </row>
    <row r="909">
      <c r="A909" s="19" t="n"/>
      <c r="B909" s="12" t="n"/>
      <c r="C909" s="12" t="n"/>
      <c r="D909" s="12" t="n"/>
      <c r="E909" s="12" t="n"/>
      <c r="F909" s="12" t="n"/>
      <c r="G909" s="12" t="n"/>
      <c r="H909" s="12" t="n"/>
    </row>
    <row r="910">
      <c r="A910" s="19" t="n"/>
      <c r="B910" s="12" t="n"/>
      <c r="C910" s="12" t="n"/>
      <c r="D910" s="12" t="n"/>
      <c r="E910" s="12" t="n"/>
      <c r="F910" s="12" t="n"/>
      <c r="G910" s="12" t="n"/>
      <c r="H910" s="12" t="n"/>
    </row>
    <row r="911">
      <c r="A911" s="19" t="n"/>
      <c r="B911" s="12" t="n"/>
      <c r="C911" s="12" t="n"/>
      <c r="D911" s="12" t="n"/>
      <c r="E911" s="12" t="n"/>
      <c r="F911" s="12" t="n"/>
      <c r="G911" s="12" t="n"/>
      <c r="H911" s="12" t="n"/>
    </row>
    <row r="912">
      <c r="A912" s="19" t="n"/>
      <c r="B912" s="12" t="n"/>
      <c r="C912" s="12" t="n"/>
      <c r="D912" s="12" t="n"/>
      <c r="E912" s="12" t="n"/>
      <c r="F912" s="12" t="n"/>
      <c r="G912" s="12" t="n"/>
      <c r="H912" s="12" t="n"/>
    </row>
    <row r="913">
      <c r="A913" s="19" t="n"/>
      <c r="B913" s="12" t="n"/>
      <c r="C913" s="12" t="n"/>
      <c r="D913" s="12" t="n"/>
      <c r="E913" s="12" t="n"/>
      <c r="F913" s="12" t="n"/>
      <c r="G913" s="12" t="n"/>
      <c r="H913" s="12" t="n"/>
    </row>
    <row r="914">
      <c r="A914" s="19" t="n"/>
      <c r="B914" s="12" t="n"/>
      <c r="C914" s="12" t="n"/>
      <c r="D914" s="12" t="n"/>
      <c r="E914" s="12" t="n"/>
      <c r="F914" s="12" t="n"/>
      <c r="G914" s="12" t="n"/>
      <c r="H914" s="12" t="n"/>
    </row>
    <row r="915">
      <c r="A915" s="19" t="n"/>
      <c r="B915" s="12" t="n"/>
      <c r="C915" s="12" t="n"/>
      <c r="D915" s="12" t="n"/>
      <c r="E915" s="12" t="n"/>
      <c r="F915" s="12" t="n"/>
      <c r="G915" s="12" t="n"/>
      <c r="H915" s="12" t="n"/>
    </row>
    <row r="916">
      <c r="A916" s="19" t="n"/>
      <c r="B916" s="12" t="n"/>
      <c r="C916" s="12" t="n"/>
      <c r="D916" s="12" t="n"/>
      <c r="E916" s="12" t="n"/>
      <c r="F916" s="12" t="n"/>
      <c r="G916" s="12" t="n"/>
      <c r="H916" s="12" t="n"/>
    </row>
    <row r="917">
      <c r="A917" s="19" t="n"/>
      <c r="B917" s="12" t="n"/>
      <c r="C917" s="12" t="n"/>
      <c r="D917" s="12" t="n"/>
      <c r="E917" s="12" t="n"/>
      <c r="F917" s="12" t="n"/>
      <c r="G917" s="12" t="n"/>
      <c r="H917" s="12" t="n"/>
    </row>
    <row r="918">
      <c r="A918" s="19" t="n"/>
      <c r="B918" s="12" t="n"/>
      <c r="C918" s="12" t="n"/>
      <c r="D918" s="12" t="n"/>
      <c r="E918" s="12" t="n"/>
      <c r="F918" s="12" t="n"/>
      <c r="G918" s="12" t="n"/>
      <c r="H918" s="12" t="n"/>
    </row>
    <row r="919">
      <c r="A919" s="19" t="n"/>
      <c r="B919" s="12" t="n"/>
      <c r="C919" s="12" t="n"/>
      <c r="D919" s="12" t="n"/>
      <c r="E919" s="12" t="n"/>
      <c r="F919" s="12" t="n"/>
      <c r="G919" s="12" t="n"/>
      <c r="H919" s="12" t="n"/>
    </row>
    <row r="920">
      <c r="A920" s="19" t="n"/>
      <c r="B920" s="12" t="n"/>
      <c r="C920" s="12" t="n"/>
      <c r="D920" s="12" t="n"/>
      <c r="E920" s="12" t="n"/>
      <c r="F920" s="12" t="n"/>
      <c r="G920" s="12" t="n"/>
      <c r="H920" s="12" t="n"/>
    </row>
    <row r="921">
      <c r="A921" s="19" t="n"/>
      <c r="B921" s="12" t="n"/>
      <c r="C921" s="12" t="n"/>
      <c r="D921" s="12" t="n"/>
      <c r="E921" s="12" t="n"/>
      <c r="F921" s="12" t="n"/>
      <c r="G921" s="12" t="n"/>
      <c r="H921" s="12" t="n"/>
    </row>
    <row r="922">
      <c r="A922" s="19" t="n"/>
      <c r="B922" s="12" t="n"/>
      <c r="C922" s="12" t="n"/>
      <c r="D922" s="12" t="n"/>
      <c r="E922" s="12" t="n"/>
      <c r="F922" s="12" t="n"/>
      <c r="G922" s="12" t="n"/>
      <c r="H922" s="12" t="n"/>
    </row>
    <row r="923">
      <c r="A923" s="19" t="n"/>
      <c r="B923" s="12" t="n"/>
      <c r="C923" s="12" t="n"/>
      <c r="D923" s="12" t="n"/>
      <c r="E923" s="12" t="n"/>
      <c r="F923" s="12" t="n"/>
      <c r="G923" s="12" t="n"/>
      <c r="H923" s="12" t="n"/>
    </row>
    <row r="924">
      <c r="A924" s="19" t="n"/>
      <c r="B924" s="12" t="n"/>
      <c r="C924" s="12" t="n"/>
      <c r="D924" s="12" t="n"/>
      <c r="E924" s="12" t="n"/>
      <c r="F924" s="12" t="n"/>
      <c r="G924" s="12" t="n"/>
      <c r="H924" s="12" t="n"/>
    </row>
    <row r="925">
      <c r="A925" s="19" t="n"/>
      <c r="B925" s="12" t="n"/>
      <c r="C925" s="12" t="n"/>
      <c r="D925" s="12" t="n"/>
      <c r="E925" s="12" t="n"/>
      <c r="F925" s="12" t="n"/>
      <c r="G925" s="12" t="n"/>
      <c r="H925" s="12" t="n"/>
    </row>
    <row r="926">
      <c r="A926" s="19" t="n"/>
      <c r="B926" s="12" t="n"/>
      <c r="C926" s="12" t="n"/>
      <c r="D926" s="12" t="n"/>
      <c r="E926" s="12" t="n"/>
      <c r="F926" s="12" t="n"/>
      <c r="G926" s="12" t="n"/>
      <c r="H926" s="12" t="n"/>
    </row>
    <row r="927">
      <c r="A927" s="19" t="n"/>
      <c r="B927" s="12" t="n"/>
      <c r="C927" s="12" t="n"/>
      <c r="D927" s="12" t="n"/>
      <c r="E927" s="12" t="n"/>
      <c r="F927" s="12" t="n"/>
      <c r="G927" s="12" t="n"/>
      <c r="H927" s="12" t="n"/>
    </row>
    <row r="928">
      <c r="A928" s="19" t="n"/>
      <c r="B928" s="12" t="n"/>
      <c r="C928" s="12" t="n"/>
      <c r="D928" s="12" t="n"/>
      <c r="E928" s="12" t="n"/>
      <c r="F928" s="12" t="n"/>
      <c r="G928" s="12" t="n"/>
      <c r="H928" s="12" t="n"/>
    </row>
    <row r="929">
      <c r="A929" s="19" t="n"/>
      <c r="B929" s="12" t="n"/>
      <c r="C929" s="12" t="n"/>
      <c r="D929" s="12" t="n"/>
      <c r="E929" s="12" t="n"/>
      <c r="F929" s="12" t="n"/>
      <c r="G929" s="12" t="n"/>
      <c r="H929" s="12" t="n"/>
    </row>
    <row r="930">
      <c r="A930" s="19" t="n"/>
      <c r="B930" s="12" t="n"/>
      <c r="C930" s="12" t="n"/>
      <c r="D930" s="12" t="n"/>
      <c r="E930" s="12" t="n"/>
      <c r="F930" s="12" t="n"/>
      <c r="G930" s="12" t="n"/>
      <c r="H930" s="12" t="n"/>
    </row>
    <row r="931">
      <c r="A931" s="19" t="n"/>
      <c r="B931" s="12" t="n"/>
      <c r="C931" s="12" t="n"/>
      <c r="D931" s="12" t="n"/>
      <c r="E931" s="12" t="n"/>
      <c r="F931" s="12" t="n"/>
      <c r="G931" s="12" t="n"/>
      <c r="H931" s="12" t="n"/>
    </row>
    <row r="932">
      <c r="A932" s="19" t="n"/>
      <c r="B932" s="12" t="n"/>
      <c r="C932" s="12" t="n"/>
      <c r="D932" s="12" t="n"/>
      <c r="E932" s="12" t="n"/>
      <c r="F932" s="12" t="n"/>
      <c r="G932" s="12" t="n"/>
      <c r="H932" s="12" t="n"/>
    </row>
    <row r="933">
      <c r="A933" s="19" t="n"/>
      <c r="B933" s="12" t="n"/>
      <c r="C933" s="12" t="n"/>
      <c r="D933" s="12" t="n"/>
      <c r="E933" s="12" t="n"/>
      <c r="F933" s="12" t="n"/>
      <c r="G933" s="12" t="n"/>
      <c r="H933" s="12" t="n"/>
    </row>
    <row r="934">
      <c r="A934" s="19" t="n"/>
      <c r="B934" s="12" t="n"/>
      <c r="C934" s="12" t="n"/>
      <c r="D934" s="12" t="n"/>
      <c r="E934" s="12" t="n"/>
      <c r="F934" s="12" t="n"/>
      <c r="G934" s="12" t="n"/>
      <c r="H934" s="12" t="n"/>
    </row>
    <row r="935">
      <c r="A935" s="19" t="n"/>
      <c r="B935" s="12" t="n"/>
      <c r="C935" s="12" t="n"/>
      <c r="D935" s="12" t="n"/>
      <c r="E935" s="12" t="n"/>
      <c r="F935" s="12" t="n"/>
      <c r="G935" s="12" t="n"/>
      <c r="H935" s="12" t="n"/>
    </row>
    <row r="936">
      <c r="A936" s="19" t="n"/>
      <c r="B936" s="12" t="n"/>
      <c r="C936" s="12" t="n"/>
      <c r="D936" s="12" t="n"/>
      <c r="E936" s="12" t="n"/>
      <c r="F936" s="12" t="n"/>
      <c r="G936" s="12" t="n"/>
      <c r="H936" s="12" t="n"/>
    </row>
    <row r="937">
      <c r="A937" s="19" t="n"/>
      <c r="B937" s="12" t="n"/>
      <c r="C937" s="12" t="n"/>
      <c r="D937" s="12" t="n"/>
      <c r="E937" s="12" t="n"/>
      <c r="F937" s="12" t="n"/>
      <c r="G937" s="12" t="n"/>
      <c r="H937" s="12" t="n"/>
    </row>
    <row r="938">
      <c r="A938" s="19" t="n"/>
      <c r="B938" s="12" t="n"/>
      <c r="C938" s="12" t="n"/>
      <c r="D938" s="12" t="n"/>
      <c r="E938" s="12" t="n"/>
      <c r="F938" s="12" t="n"/>
      <c r="G938" s="12" t="n"/>
      <c r="H938" s="12" t="n"/>
    </row>
    <row r="939">
      <c r="A939" s="19" t="n"/>
      <c r="B939" s="12" t="n"/>
      <c r="C939" s="12" t="n"/>
      <c r="D939" s="12" t="n"/>
      <c r="E939" s="12" t="n"/>
      <c r="F939" s="12" t="n"/>
      <c r="G939" s="12" t="n"/>
      <c r="H939" s="12" t="n"/>
    </row>
    <row r="940">
      <c r="A940" s="19" t="n"/>
      <c r="B940" s="12" t="n"/>
      <c r="C940" s="12" t="n"/>
      <c r="D940" s="12" t="n"/>
      <c r="E940" s="12" t="n"/>
      <c r="F940" s="12" t="n"/>
      <c r="G940" s="12" t="n"/>
      <c r="H940" s="12" t="n"/>
    </row>
    <row r="941">
      <c r="A941" s="19" t="n"/>
      <c r="B941" s="12" t="n"/>
      <c r="C941" s="12" t="n"/>
      <c r="D941" s="12" t="n"/>
      <c r="E941" s="12" t="n"/>
      <c r="F941" s="12" t="n"/>
      <c r="G941" s="12" t="n"/>
      <c r="H941" s="12" t="n"/>
    </row>
    <row r="942">
      <c r="A942" s="19" t="n"/>
      <c r="B942" s="12" t="n"/>
      <c r="C942" s="12" t="n"/>
      <c r="D942" s="12" t="n"/>
      <c r="E942" s="12" t="n"/>
      <c r="F942" s="12" t="n"/>
      <c r="G942" s="12" t="n"/>
      <c r="H942" s="12" t="n"/>
    </row>
    <row r="943">
      <c r="A943" s="19" t="n"/>
      <c r="B943" s="12" t="n"/>
      <c r="C943" s="12" t="n"/>
      <c r="D943" s="12" t="n"/>
      <c r="E943" s="12" t="n"/>
      <c r="F943" s="12" t="n"/>
      <c r="G943" s="12" t="n"/>
      <c r="H943" s="12" t="n"/>
    </row>
    <row r="944">
      <c r="A944" s="19" t="n"/>
      <c r="B944" s="12" t="n"/>
      <c r="C944" s="12" t="n"/>
      <c r="D944" s="12" t="n"/>
      <c r="E944" s="12" t="n"/>
      <c r="F944" s="12" t="n"/>
      <c r="G944" s="12" t="n"/>
      <c r="H944" s="12" t="n"/>
    </row>
    <row r="945">
      <c r="A945" s="19" t="n"/>
      <c r="B945" s="12" t="n"/>
      <c r="C945" s="12" t="n"/>
      <c r="D945" s="12" t="n"/>
      <c r="E945" s="12" t="n"/>
      <c r="F945" s="12" t="n"/>
      <c r="G945" s="12" t="n"/>
      <c r="H945" s="12" t="n"/>
    </row>
    <row r="946">
      <c r="A946" s="19" t="n"/>
      <c r="B946" s="12" t="n"/>
      <c r="C946" s="12" t="n"/>
      <c r="D946" s="12" t="n"/>
      <c r="E946" s="12" t="n"/>
      <c r="F946" s="12" t="n"/>
      <c r="G946" s="12" t="n"/>
      <c r="H946" s="12" t="n"/>
    </row>
    <row r="947">
      <c r="A947" s="19" t="n"/>
      <c r="B947" s="12" t="n"/>
      <c r="C947" s="12" t="n"/>
      <c r="D947" s="12" t="n"/>
      <c r="E947" s="12" t="n"/>
      <c r="F947" s="12" t="n"/>
      <c r="G947" s="12" t="n"/>
      <c r="H947" s="12" t="n"/>
    </row>
    <row r="948">
      <c r="A948" s="19" t="n"/>
      <c r="B948" s="12" t="n"/>
      <c r="C948" s="12" t="n"/>
      <c r="D948" s="12" t="n"/>
      <c r="E948" s="12" t="n"/>
      <c r="F948" s="12" t="n"/>
      <c r="G948" s="12" t="n"/>
      <c r="H948" s="12" t="n"/>
    </row>
    <row r="949">
      <c r="A949" s="19" t="n"/>
      <c r="B949" s="12" t="n"/>
      <c r="C949" s="12" t="n"/>
      <c r="D949" s="12" t="n"/>
      <c r="E949" s="12" t="n"/>
      <c r="F949" s="12" t="n"/>
      <c r="G949" s="12" t="n"/>
      <c r="H949" s="12" t="n"/>
    </row>
    <row r="950">
      <c r="A950" s="19" t="n"/>
      <c r="B950" s="12" t="n"/>
      <c r="C950" s="12" t="n"/>
      <c r="D950" s="12" t="n"/>
      <c r="E950" s="12" t="n"/>
      <c r="F950" s="12" t="n"/>
      <c r="G950" s="12" t="n"/>
      <c r="H950" s="12" t="n"/>
    </row>
    <row r="951">
      <c r="A951" s="19" t="n"/>
      <c r="B951" s="12" t="n"/>
      <c r="C951" s="12" t="n"/>
      <c r="D951" s="12" t="n"/>
      <c r="E951" s="12" t="n"/>
      <c r="F951" s="12" t="n"/>
      <c r="G951" s="12" t="n"/>
      <c r="H951" s="12" t="n"/>
    </row>
    <row r="952">
      <c r="A952" s="19" t="n"/>
      <c r="B952" s="12" t="n"/>
      <c r="C952" s="12" t="n"/>
      <c r="D952" s="12" t="n"/>
      <c r="E952" s="12" t="n"/>
      <c r="F952" s="12" t="n"/>
      <c r="G952" s="12" t="n"/>
      <c r="H952" s="12" t="n"/>
    </row>
    <row r="953">
      <c r="A953" s="19" t="n"/>
      <c r="B953" s="12" t="n"/>
      <c r="C953" s="12" t="n"/>
      <c r="D953" s="12" t="n"/>
      <c r="E953" s="12" t="n"/>
      <c r="F953" s="12" t="n"/>
      <c r="G953" s="12" t="n"/>
      <c r="H953" s="12" t="n"/>
    </row>
    <row r="954">
      <c r="A954" s="19" t="n"/>
      <c r="B954" s="12" t="n"/>
      <c r="C954" s="12" t="n"/>
      <c r="D954" s="12" t="n"/>
      <c r="E954" s="12" t="n"/>
      <c r="F954" s="12" t="n"/>
      <c r="G954" s="12" t="n"/>
      <c r="H954" s="12" t="n"/>
    </row>
    <row r="955">
      <c r="A955" s="19" t="n"/>
      <c r="B955" s="12" t="n"/>
      <c r="C955" s="12" t="n"/>
      <c r="D955" s="12" t="n"/>
      <c r="E955" s="12" t="n"/>
      <c r="F955" s="12" t="n"/>
      <c r="G955" s="12" t="n"/>
      <c r="H955" s="12" t="n"/>
    </row>
    <row r="956">
      <c r="A956" s="19" t="n"/>
      <c r="B956" s="12" t="n"/>
      <c r="C956" s="12" t="n"/>
      <c r="D956" s="12" t="n"/>
      <c r="E956" s="12" t="n"/>
      <c r="F956" s="12" t="n"/>
      <c r="G956" s="12" t="n"/>
      <c r="H956" s="12" t="n"/>
    </row>
    <row r="957">
      <c r="A957" s="19" t="n"/>
      <c r="B957" s="12" t="n"/>
      <c r="C957" s="12" t="n"/>
      <c r="D957" s="12" t="n"/>
      <c r="E957" s="12" t="n"/>
      <c r="F957" s="12" t="n"/>
      <c r="G957" s="12" t="n"/>
      <c r="H957" s="12" t="n"/>
    </row>
    <row r="958">
      <c r="A958" s="19" t="n"/>
      <c r="B958" s="12" t="n"/>
      <c r="C958" s="12" t="n"/>
      <c r="D958" s="12" t="n"/>
      <c r="E958" s="12" t="n"/>
      <c r="F958" s="12" t="n"/>
      <c r="G958" s="12" t="n"/>
      <c r="H958" s="12" t="n"/>
    </row>
    <row r="959">
      <c r="A959" s="19" t="n"/>
      <c r="B959" s="12" t="n"/>
      <c r="C959" s="12" t="n"/>
      <c r="D959" s="12" t="n"/>
      <c r="E959" s="12" t="n"/>
      <c r="F959" s="12" t="n"/>
      <c r="G959" s="12" t="n"/>
      <c r="H959" s="12" t="n"/>
    </row>
    <row r="960">
      <c r="A960" s="19" t="n"/>
      <c r="B960" s="12" t="n"/>
      <c r="C960" s="12" t="n"/>
      <c r="D960" s="12" t="n"/>
      <c r="E960" s="12" t="n"/>
      <c r="F960" s="12" t="n"/>
      <c r="G960" s="12" t="n"/>
      <c r="H960" s="12" t="n"/>
    </row>
    <row r="961">
      <c r="A961" s="19" t="n"/>
      <c r="B961" s="12" t="n"/>
      <c r="C961" s="12" t="n"/>
      <c r="D961" s="12" t="n"/>
      <c r="E961" s="12" t="n"/>
      <c r="F961" s="12" t="n"/>
      <c r="G961" s="12" t="n"/>
      <c r="H961" s="12" t="n"/>
    </row>
    <row r="962">
      <c r="A962" s="19" t="n"/>
      <c r="B962" s="12" t="n"/>
      <c r="C962" s="12" t="n"/>
      <c r="D962" s="12" t="n"/>
      <c r="E962" s="12" t="n"/>
      <c r="F962" s="12" t="n"/>
      <c r="G962" s="12" t="n"/>
      <c r="H962" s="12" t="n"/>
    </row>
    <row r="963">
      <c r="A963" s="19" t="n"/>
      <c r="B963" s="12" t="n"/>
      <c r="C963" s="12" t="n"/>
      <c r="D963" s="12" t="n"/>
      <c r="E963" s="12" t="n"/>
      <c r="F963" s="12" t="n"/>
      <c r="G963" s="12" t="n"/>
      <c r="H963" s="12" t="n"/>
    </row>
    <row r="964">
      <c r="A964" s="19" t="n"/>
      <c r="B964" s="12" t="n"/>
      <c r="C964" s="12" t="n"/>
      <c r="D964" s="12" t="n"/>
      <c r="E964" s="12" t="n"/>
      <c r="F964" s="12" t="n"/>
      <c r="G964" s="12" t="n"/>
      <c r="H964" s="12" t="n"/>
    </row>
    <row r="965">
      <c r="A965" s="19" t="n"/>
      <c r="B965" s="12" t="n"/>
      <c r="C965" s="12" t="n"/>
      <c r="D965" s="12" t="n"/>
      <c r="E965" s="12" t="n"/>
      <c r="F965" s="12" t="n"/>
      <c r="G965" s="12" t="n"/>
      <c r="H965" s="12" t="n"/>
    </row>
    <row r="966">
      <c r="A966" s="19" t="n"/>
      <c r="B966" s="12" t="n"/>
      <c r="C966" s="12" t="n"/>
      <c r="D966" s="12" t="n"/>
      <c r="E966" s="12" t="n"/>
      <c r="F966" s="12" t="n"/>
      <c r="G966" s="12" t="n"/>
      <c r="H966" s="12" t="n"/>
    </row>
    <row r="967">
      <c r="A967" s="19" t="n"/>
      <c r="B967" s="12" t="n"/>
      <c r="C967" s="12" t="n"/>
      <c r="D967" s="12" t="n"/>
      <c r="E967" s="12" t="n"/>
      <c r="F967" s="12" t="n"/>
      <c r="G967" s="12" t="n"/>
      <c r="H967" s="12" t="n"/>
    </row>
    <row r="968">
      <c r="A968" s="19" t="n"/>
      <c r="B968" s="12" t="n"/>
      <c r="C968" s="12" t="n"/>
      <c r="D968" s="12" t="n"/>
      <c r="E968" s="12" t="n"/>
      <c r="F968" s="12" t="n"/>
      <c r="G968" s="12" t="n"/>
      <c r="H968" s="12" t="n"/>
    </row>
    <row r="969">
      <c r="A969" s="19" t="n"/>
      <c r="B969" s="12" t="n"/>
      <c r="C969" s="12" t="n"/>
      <c r="D969" s="12" t="n"/>
      <c r="E969" s="12" t="n"/>
      <c r="F969" s="12" t="n"/>
      <c r="G969" s="12" t="n"/>
      <c r="H969" s="12" t="n"/>
    </row>
    <row r="970">
      <c r="A970" s="19" t="n"/>
      <c r="B970" s="12" t="n"/>
      <c r="C970" s="12" t="n"/>
      <c r="D970" s="12" t="n"/>
      <c r="E970" s="12" t="n"/>
      <c r="F970" s="12" t="n"/>
      <c r="G970" s="12" t="n"/>
      <c r="H970" s="12" t="n"/>
    </row>
    <row r="971">
      <c r="A971" s="19" t="n"/>
      <c r="B971" s="12" t="n"/>
      <c r="C971" s="12" t="n"/>
      <c r="D971" s="12" t="n"/>
      <c r="E971" s="12" t="n"/>
      <c r="F971" s="12" t="n"/>
      <c r="G971" s="12" t="n"/>
      <c r="H971" s="12" t="n"/>
    </row>
    <row r="972">
      <c r="A972" s="19" t="n"/>
      <c r="B972" s="12" t="n"/>
      <c r="C972" s="12" t="n"/>
      <c r="D972" s="12" t="n"/>
      <c r="E972" s="12" t="n"/>
      <c r="F972" s="12" t="n"/>
      <c r="G972" s="12" t="n"/>
      <c r="H972" s="12" t="n"/>
    </row>
    <row r="973">
      <c r="A973" s="19" t="n"/>
      <c r="B973" s="12" t="n"/>
      <c r="C973" s="12" t="n"/>
      <c r="D973" s="12" t="n"/>
      <c r="E973" s="12" t="n"/>
      <c r="F973" s="12" t="n"/>
      <c r="G973" s="12" t="n"/>
      <c r="H973" s="12" t="n"/>
    </row>
    <row r="974">
      <c r="A974" s="19" t="n"/>
      <c r="B974" s="12" t="n"/>
      <c r="C974" s="12" t="n"/>
      <c r="D974" s="12" t="n"/>
      <c r="E974" s="12" t="n"/>
      <c r="F974" s="12" t="n"/>
      <c r="G974" s="12" t="n"/>
      <c r="H974" s="12" t="n"/>
    </row>
    <row r="975">
      <c r="A975" s="19" t="n"/>
      <c r="B975" s="12" t="n"/>
      <c r="C975" s="12" t="n"/>
      <c r="D975" s="12" t="n"/>
      <c r="E975" s="12" t="n"/>
      <c r="F975" s="12" t="n"/>
      <c r="G975" s="12" t="n"/>
      <c r="H975" s="12" t="n"/>
    </row>
    <row r="976">
      <c r="A976" s="19" t="n"/>
      <c r="B976" s="12" t="n"/>
      <c r="C976" s="12" t="n"/>
      <c r="D976" s="12" t="n"/>
      <c r="E976" s="12" t="n"/>
      <c r="F976" s="12" t="n"/>
      <c r="G976" s="12" t="n"/>
      <c r="H976" s="12" t="n"/>
    </row>
    <row r="977">
      <c r="A977" s="19" t="n"/>
      <c r="B977" s="12" t="n"/>
      <c r="C977" s="12" t="n"/>
      <c r="D977" s="12" t="n"/>
      <c r="E977" s="12" t="n"/>
      <c r="F977" s="12" t="n"/>
      <c r="G977" s="12" t="n"/>
      <c r="H977" s="12" t="n"/>
    </row>
    <row r="978">
      <c r="A978" s="19" t="n"/>
      <c r="B978" s="12" t="n"/>
      <c r="C978" s="12" t="n"/>
      <c r="D978" s="12" t="n"/>
      <c r="E978" s="12" t="n"/>
      <c r="F978" s="12" t="n"/>
      <c r="G978" s="12" t="n"/>
      <c r="H978" s="12" t="n"/>
    </row>
    <row r="979">
      <c r="A979" s="19" t="n"/>
      <c r="B979" s="12" t="n"/>
      <c r="C979" s="12" t="n"/>
      <c r="D979" s="12" t="n"/>
      <c r="E979" s="12" t="n"/>
      <c r="F979" s="12" t="n"/>
      <c r="G979" s="12" t="n"/>
      <c r="H979" s="12" t="n"/>
    </row>
    <row r="980">
      <c r="A980" s="19" t="n"/>
      <c r="B980" s="12" t="n"/>
      <c r="C980" s="12" t="n"/>
      <c r="D980" s="12" t="n"/>
      <c r="E980" s="12" t="n"/>
      <c r="F980" s="12" t="n"/>
      <c r="G980" s="12" t="n"/>
      <c r="H980" s="12" t="n"/>
    </row>
    <row r="981">
      <c r="A981" s="19" t="n"/>
      <c r="B981" s="12" t="n"/>
      <c r="C981" s="12" t="n"/>
      <c r="D981" s="12" t="n"/>
      <c r="E981" s="12" t="n"/>
      <c r="F981" s="12" t="n"/>
      <c r="G981" s="12" t="n"/>
      <c r="H981" s="12" t="n"/>
    </row>
    <row r="982">
      <c r="A982" s="19" t="n"/>
      <c r="B982" s="12" t="n"/>
      <c r="C982" s="12" t="n"/>
      <c r="D982" s="12" t="n"/>
      <c r="E982" s="12" t="n"/>
      <c r="F982" s="12" t="n"/>
      <c r="G982" s="12" t="n"/>
      <c r="H982" s="12" t="n"/>
    </row>
    <row r="983">
      <c r="A983" s="19" t="n"/>
      <c r="B983" s="12" t="n"/>
      <c r="C983" s="12" t="n"/>
      <c r="D983" s="12" t="n"/>
      <c r="E983" s="12" t="n"/>
      <c r="F983" s="12" t="n"/>
      <c r="G983" s="12" t="n"/>
      <c r="H983" s="12" t="n"/>
    </row>
    <row r="984">
      <c r="A984" s="19" t="n"/>
      <c r="B984" s="12" t="n"/>
      <c r="C984" s="12" t="n"/>
      <c r="D984" s="12" t="n"/>
      <c r="E984" s="12" t="n"/>
      <c r="F984" s="12" t="n"/>
      <c r="G984" s="12" t="n"/>
      <c r="H984" s="12" t="n"/>
    </row>
    <row r="985">
      <c r="A985" s="19" t="n"/>
      <c r="B985" s="12" t="n"/>
      <c r="C985" s="12" t="n"/>
      <c r="D985" s="12" t="n"/>
      <c r="E985" s="12" t="n"/>
      <c r="F985" s="12" t="n"/>
      <c r="G985" s="12" t="n"/>
      <c r="H985" s="12" t="n"/>
    </row>
    <row r="986">
      <c r="A986" s="19" t="n"/>
      <c r="B986" s="12" t="n"/>
      <c r="C986" s="12" t="n"/>
      <c r="D986" s="12" t="n"/>
      <c r="E986" s="12" t="n"/>
      <c r="F986" s="12" t="n"/>
      <c r="G986" s="12" t="n"/>
      <c r="H986" s="12" t="n"/>
    </row>
    <row r="987">
      <c r="A987" s="19" t="n"/>
      <c r="B987" s="12" t="n"/>
      <c r="C987" s="12" t="n"/>
      <c r="D987" s="12" t="n"/>
      <c r="E987" s="12" t="n"/>
      <c r="F987" s="12" t="n"/>
      <c r="G987" s="12" t="n"/>
      <c r="H987" s="12" t="n"/>
    </row>
    <row r="988">
      <c r="A988" s="19" t="n"/>
      <c r="B988" s="12" t="n"/>
      <c r="C988" s="12" t="n"/>
      <c r="D988" s="12" t="n"/>
      <c r="E988" s="12" t="n"/>
      <c r="F988" s="12" t="n"/>
      <c r="G988" s="12" t="n"/>
      <c r="H988" s="12" t="n"/>
    </row>
    <row r="989">
      <c r="A989" s="19" t="n"/>
      <c r="B989" s="12" t="n"/>
      <c r="C989" s="12" t="n"/>
      <c r="D989" s="12" t="n"/>
      <c r="E989" s="12" t="n"/>
      <c r="F989" s="12" t="n"/>
      <c r="G989" s="12" t="n"/>
      <c r="H989" s="12" t="n"/>
    </row>
    <row r="990">
      <c r="A990" s="19" t="n"/>
      <c r="B990" s="12" t="n"/>
      <c r="C990" s="12" t="n"/>
      <c r="D990" s="12" t="n"/>
      <c r="E990" s="12" t="n"/>
      <c r="F990" s="12" t="n"/>
      <c r="G990" s="12" t="n"/>
      <c r="H990" s="12" t="n"/>
    </row>
    <row r="991">
      <c r="A991" s="19" t="n"/>
      <c r="B991" s="12" t="n"/>
      <c r="C991" s="12" t="n"/>
      <c r="D991" s="12" t="n"/>
      <c r="E991" s="12" t="n"/>
      <c r="F991" s="12" t="n"/>
      <c r="G991" s="12" t="n"/>
      <c r="H991" s="12" t="n"/>
    </row>
    <row r="992">
      <c r="A992" s="19" t="n"/>
      <c r="B992" s="12" t="n"/>
      <c r="C992" s="12" t="n"/>
      <c r="D992" s="12" t="n"/>
      <c r="E992" s="12" t="n"/>
      <c r="F992" s="12" t="n"/>
      <c r="G992" s="12" t="n"/>
      <c r="H992" s="12" t="n"/>
    </row>
    <row r="993">
      <c r="A993" s="19" t="n"/>
      <c r="B993" s="12" t="n"/>
      <c r="C993" s="12" t="n"/>
      <c r="D993" s="12" t="n"/>
      <c r="E993" s="12" t="n"/>
      <c r="F993" s="12" t="n"/>
      <c r="G993" s="12" t="n"/>
      <c r="H993" s="12" t="n"/>
    </row>
    <row r="994">
      <c r="A994" s="19" t="n"/>
      <c r="B994" s="12" t="n"/>
      <c r="C994" s="12" t="n"/>
      <c r="D994" s="12" t="n"/>
      <c r="E994" s="12" t="n"/>
      <c r="F994" s="12" t="n"/>
      <c r="G994" s="12" t="n"/>
      <c r="H994" s="12" t="n"/>
    </row>
    <row r="995">
      <c r="A995" s="19" t="n"/>
      <c r="B995" s="12" t="n"/>
      <c r="C995" s="12" t="n"/>
      <c r="D995" s="12" t="n"/>
      <c r="E995" s="12" t="n"/>
      <c r="F995" s="12" t="n"/>
      <c r="G995" s="12" t="n"/>
      <c r="H995" s="12" t="n"/>
    </row>
    <row r="996">
      <c r="A996" s="19" t="n"/>
      <c r="B996" s="12" t="n"/>
      <c r="C996" s="12" t="n"/>
      <c r="D996" s="12" t="n"/>
      <c r="E996" s="12" t="n"/>
      <c r="F996" s="12" t="n"/>
      <c r="G996" s="12" t="n"/>
      <c r="H996" s="12" t="n"/>
    </row>
    <row r="997">
      <c r="A997" s="19" t="n"/>
      <c r="B997" s="12" t="n"/>
      <c r="C997" s="12" t="n"/>
      <c r="D997" s="12" t="n"/>
      <c r="E997" s="12" t="n"/>
      <c r="F997" s="12" t="n"/>
      <c r="G997" s="12" t="n"/>
      <c r="H997" s="12" t="n"/>
    </row>
    <row r="998">
      <c r="A998" s="19" t="n"/>
      <c r="B998" s="12" t="n"/>
      <c r="C998" s="12" t="n"/>
      <c r="D998" s="12" t="n"/>
      <c r="E998" s="12" t="n"/>
      <c r="F998" s="12" t="n"/>
      <c r="G998" s="12" t="n"/>
      <c r="H998" s="12" t="n"/>
    </row>
    <row r="999">
      <c r="A999" s="19" t="n"/>
      <c r="B999" s="12" t="n"/>
      <c r="C999" s="12" t="n"/>
      <c r="D999" s="12" t="n"/>
      <c r="E999" s="12" t="n"/>
      <c r="F999" s="12" t="n"/>
      <c r="G999" s="12" t="n"/>
      <c r="H999" s="12" t="n"/>
    </row>
    <row r="1000">
      <c r="A1000" s="19" t="n"/>
      <c r="B1000" s="12" t="n"/>
      <c r="C1000" s="12" t="n"/>
      <c r="D1000" s="12" t="n"/>
      <c r="E1000" s="12" t="n"/>
      <c r="F1000" s="12" t="n"/>
      <c r="G1000" s="12" t="n"/>
      <c r="H1000" s="12" t="n"/>
    </row>
    <row r="1001">
      <c r="A1001" s="19" t="n"/>
      <c r="B1001" s="12" t="n"/>
      <c r="C1001" s="12" t="n"/>
      <c r="D1001" s="12" t="n"/>
      <c r="E1001" s="12" t="n"/>
      <c r="F1001" s="12" t="n"/>
      <c r="G1001" s="12" t="n"/>
      <c r="H1001" s="12" t="n"/>
    </row>
    <row r="1002">
      <c r="A1002" s="19" t="n"/>
      <c r="B1002" s="12" t="n"/>
      <c r="C1002" s="12" t="n"/>
      <c r="D1002" s="12" t="n"/>
      <c r="E1002" s="12" t="n"/>
      <c r="F1002" s="12" t="n"/>
      <c r="G1002" s="12" t="n"/>
      <c r="H1002" s="12" t="n"/>
    </row>
  </sheetData>
  <autoFilter ref="$A$1:$HG$100">
    <sortState ref="A1:HG100">
      <sortCondition ref="A1:A100"/>
      <sortCondition ref="D1:D100"/>
      <sortCondition descending="1" ref="G1:G100"/>
      <sortCondition ref="I1:I100"/>
      <sortCondition descending="1" ref="H1:H100"/>
      <sortCondition descending="1" ref="DH1:DH100"/>
      <sortCondition descending="1" ref="BY1:BY100"/>
      <sortCondition descending="1" ref="BU1:BU100"/>
      <sortCondition descending="1" ref="BS1:BS100"/>
      <sortCondition descending="1" ref="BT1:BT100"/>
      <sortCondition descending="1" ref="BG1:BG100"/>
      <sortCondition descending="1" ref="BB1:BB100"/>
      <sortCondition descending="1" ref="BC1:BC100"/>
      <sortCondition descending="1" ref="AZ1:AZ100"/>
      <sortCondition descending="1" ref="BA1:BA100"/>
      <sortCondition descending="1" ref="AY1:AY100"/>
      <sortCondition descending="1" ref="AV1:AV100"/>
      <sortCondition descending="1" ref="AC1:AC100"/>
      <sortCondition descending="1" ref="AB1:AB100"/>
      <sortCondition descending="1" ref="W1:W100"/>
      <sortCondition descending="1" ref="P1:P100"/>
      <sortCondition descending="1" ref="FB1:FB100"/>
      <sortCondition descending="1" ref="FA1:FA100"/>
      <sortCondition descending="1" ref="DR1:DR100"/>
      <sortCondition descending="1" ref="O1:O100"/>
      <sortCondition descending="1" ref="N1:N100"/>
      <sortCondition descending="1" ref="DD1:DD100"/>
      <sortCondition descending="1" ref="CD1:CD100"/>
      <sortCondition descending="1" ref="CE1:CE100"/>
      <sortCondition ref="AO1:AO100"/>
      <sortCondition ref="AN1:AN100"/>
      <sortCondition descending="1" ref="Q1:Q100"/>
    </sortState>
  </autoFilter>
  <mergeCells count="54">
    <mergeCell ref="FC1:FE1"/>
    <mergeCell ref="AD1:AF1"/>
    <mergeCell ref="O1:Q1"/>
    <mergeCell ref="BM1:BO1"/>
    <mergeCell ref="DR1:DU1"/>
    <mergeCell ref="AP1:AR1"/>
    <mergeCell ref="BS1:BU1"/>
    <mergeCell ref="CJ1:CL1"/>
    <mergeCell ref="CP1:CR1"/>
    <mergeCell ref="DV1:DY1"/>
    <mergeCell ref="EL1:EN1"/>
    <mergeCell ref="CV1:CX1"/>
    <mergeCell ref="AM1:AO1"/>
    <mergeCell ref="FO1:FQ1"/>
    <mergeCell ref="EX1:EZ1"/>
    <mergeCell ref="GF1:GH1"/>
    <mergeCell ref="S1:V1"/>
    <mergeCell ref="GC1:GE1"/>
    <mergeCell ref="L1:N1"/>
    <mergeCell ref="FR1:FT1"/>
    <mergeCell ref="GI1:GK1"/>
    <mergeCell ref="BD1:BF1"/>
    <mergeCell ref="AY1:BA1"/>
    <mergeCell ref="BP1:BR1"/>
    <mergeCell ref="CG1:CI1"/>
    <mergeCell ref="BH1:BJ1"/>
    <mergeCell ref="CM1:CO1"/>
    <mergeCell ref="EI1:EK1"/>
    <mergeCell ref="CS1:CU1"/>
    <mergeCell ref="CY1:DA1"/>
    <mergeCell ref="DK1:DM1"/>
    <mergeCell ref="EU1:EW1"/>
    <mergeCell ref="FL1:FN1"/>
    <mergeCell ref="GO1:GQ1"/>
    <mergeCell ref="GU1:GW1"/>
    <mergeCell ref="FG1:FI1"/>
    <mergeCell ref="AJ1:AL1"/>
    <mergeCell ref="GR1:GT1"/>
    <mergeCell ref="ER1:ET1"/>
    <mergeCell ref="W1:Z1"/>
    <mergeCell ref="GL1:GN1"/>
    <mergeCell ref="AV1:AX1"/>
    <mergeCell ref="FU1:FW1"/>
    <mergeCell ref="AA1:AC1"/>
    <mergeCell ref="AG1:AI1"/>
    <mergeCell ref="GX1:GZ1"/>
    <mergeCell ref="EC1:EE1"/>
    <mergeCell ref="AS1:AU1"/>
    <mergeCell ref="BV1:BX1"/>
    <mergeCell ref="CD1:CF1"/>
    <mergeCell ref="EO1:EQ1"/>
    <mergeCell ref="DN1:DP1"/>
    <mergeCell ref="DZ1:EB1"/>
    <mergeCell ref="EF1:E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H1002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.75" customHeight="1"/>
  <cols>
    <col width="16.75" customWidth="1" style="43" min="1" max="1"/>
    <col width="20" customWidth="1" style="43" min="2" max="2"/>
    <col width="9.130000000000001" customWidth="1" style="43" min="3" max="3"/>
    <col hidden="1" width="16.75" customWidth="1" style="43" min="4" max="4"/>
    <col width="10.75" customWidth="1" style="43" min="5" max="5"/>
    <col hidden="1" width="11.75" customWidth="1" style="43" min="6" max="6"/>
    <col hidden="1" width="16.75" customWidth="1" style="43" min="7" max="7"/>
    <col width="16.75" customWidth="1" style="43" min="8" max="9"/>
    <col width="20" customWidth="1" style="43" min="10" max="17"/>
    <col width="16" customWidth="1" style="43" min="38" max="38"/>
    <col width="15.88" customWidth="1" style="43" min="64" max="64"/>
    <col width="19.75" customWidth="1" style="43" min="76" max="76"/>
    <col width="14.63" customWidth="1" style="43" min="151" max="151"/>
    <col width="14.5" customWidth="1" style="43" min="172" max="172"/>
    <col width="14.5" customWidth="1" style="43" min="264" max="264"/>
  </cols>
  <sheetData>
    <row r="1">
      <c r="A1" s="1" t="inlineStr">
        <is>
          <t>Year</t>
        </is>
      </c>
      <c r="B1" s="20" t="inlineStr">
        <is>
          <t>Team</t>
        </is>
      </c>
      <c r="C1" s="1" t="inlineStr">
        <is>
          <t>Points</t>
        </is>
      </c>
      <c r="D1" s="2" t="inlineStr">
        <is>
          <t>Standarised Points Score</t>
        </is>
      </c>
      <c r="E1" s="1" t="inlineStr">
        <is>
          <t>Position</t>
        </is>
      </c>
      <c r="F1" s="2" t="inlineStr">
        <is>
          <t>Positon Reversed</t>
        </is>
      </c>
      <c r="G1" s="2" t="inlineStr">
        <is>
          <t>Adjusted Position Z Score</t>
        </is>
      </c>
      <c r="H1" s="2" t="inlineStr">
        <is>
          <t>Composite Team Score</t>
        </is>
      </c>
      <c r="I1" s="1" t="inlineStr">
        <is>
          <t>Team</t>
        </is>
      </c>
      <c r="J1" s="21" t="inlineStr">
        <is>
          <t>Total Score</t>
        </is>
      </c>
      <c r="K1" s="21" t="n"/>
      <c r="L1" s="22" t="inlineStr">
        <is>
          <t>Attacking Score (6)</t>
        </is>
      </c>
      <c r="M1" s="22" t="n"/>
      <c r="N1" s="23" t="inlineStr">
        <is>
          <t>Defensive Score (8)</t>
        </is>
      </c>
      <c r="O1" s="23" t="n"/>
      <c r="P1" s="24" t="inlineStr">
        <is>
          <t>Ball Progression (6)</t>
        </is>
      </c>
      <c r="Q1" s="24" t="n"/>
      <c r="R1" s="25" t="inlineStr">
        <is>
          <t>xG Diff</t>
        </is>
      </c>
      <c r="S1" s="25" t="n"/>
      <c r="T1" s="25" t="n"/>
      <c r="U1" s="26" t="inlineStr">
        <is>
          <t>Possesion Threat</t>
        </is>
      </c>
      <c r="V1" s="26" t="n"/>
      <c r="W1" s="26" t="n"/>
      <c r="X1" s="1" t="inlineStr">
        <is>
          <t>Goals</t>
        </is>
      </c>
      <c r="Y1" s="1" t="inlineStr">
        <is>
          <t>xG</t>
        </is>
      </c>
      <c r="Z1" s="1" t="n"/>
      <c r="AA1" s="1" t="n"/>
      <c r="AB1" s="1" t="inlineStr">
        <is>
          <t>Shots / on target</t>
        </is>
      </c>
      <c r="AI1" s="1" t="inlineStr">
        <is>
          <t>Passes / accurate</t>
        </is>
      </c>
      <c r="AL1" s="1" t="inlineStr">
        <is>
          <t>Possession, %</t>
        </is>
      </c>
      <c r="AM1" s="1" t="inlineStr">
        <is>
          <t>Losses / Low / Medium / High</t>
        </is>
      </c>
      <c r="AQ1" s="27" t="inlineStr">
        <is>
          <t>Recoveries / Low / Medium / High</t>
        </is>
      </c>
      <c r="AW1" s="27" t="n"/>
      <c r="AX1" s="1" t="inlineStr">
        <is>
          <t>Duels / won</t>
        </is>
      </c>
      <c r="BA1" s="1" t="inlineStr">
        <is>
          <t>Shots from outside penalty area / on target</t>
        </is>
      </c>
      <c r="BD1" s="28" t="inlineStr">
        <is>
          <t>Positional attacks / with shots</t>
        </is>
      </c>
      <c r="BI1" s="1" t="inlineStr">
        <is>
          <t>Counterattacks / with shots</t>
        </is>
      </c>
      <c r="BL1" s="1" t="inlineStr">
        <is>
          <t>Set pieces / with shots</t>
        </is>
      </c>
      <c r="BO1" s="1" t="inlineStr">
        <is>
          <t>Corners / with shots</t>
        </is>
      </c>
      <c r="BR1" s="1" t="inlineStr">
        <is>
          <t>Free kicks / with shots</t>
        </is>
      </c>
      <c r="BU1" s="1" t="inlineStr">
        <is>
          <t>Penalties / converted</t>
        </is>
      </c>
      <c r="BX1" s="1" t="inlineStr">
        <is>
          <t>Crosses / accurate</t>
        </is>
      </c>
      <c r="CA1" s="1" t="inlineStr">
        <is>
          <t>Deep completed crosses</t>
        </is>
      </c>
      <c r="CB1" s="28" t="inlineStr">
        <is>
          <t>Deep completed passes</t>
        </is>
      </c>
      <c r="CC1" s="28" t="n"/>
      <c r="CD1" s="28" t="n"/>
      <c r="CE1" s="29" t="inlineStr">
        <is>
          <t>Penalty area entries (runs / crosses)</t>
        </is>
      </c>
      <c r="CJ1" s="29" t="inlineStr">
        <is>
          <t>Touches in penalty area</t>
        </is>
      </c>
      <c r="CK1" s="29" t="n"/>
      <c r="CL1" s="29" t="n"/>
      <c r="CM1" s="1" t="inlineStr">
        <is>
          <t>Offensive duels / won</t>
        </is>
      </c>
      <c r="CP1" s="1" t="inlineStr">
        <is>
          <t>Offsides</t>
        </is>
      </c>
      <c r="CQ1" s="1" t="inlineStr">
        <is>
          <t>Conceded goals</t>
        </is>
      </c>
      <c r="CR1" s="27" t="inlineStr">
        <is>
          <t>Shots against / on target</t>
        </is>
      </c>
      <c r="CY1" s="1" t="inlineStr">
        <is>
          <t>Defensive duels / won</t>
        </is>
      </c>
      <c r="DB1" s="1" t="inlineStr">
        <is>
          <t>Aerial duels / won</t>
        </is>
      </c>
      <c r="DE1" s="1" t="inlineStr">
        <is>
          <t>Sliding tackles / successful</t>
        </is>
      </c>
      <c r="DH1" s="27" t="inlineStr">
        <is>
          <t>Interceptions</t>
        </is>
      </c>
      <c r="DI1" s="27" t="n"/>
      <c r="DJ1" s="27" t="n"/>
      <c r="DK1" s="1" t="inlineStr">
        <is>
          <t>Clearances</t>
        </is>
      </c>
      <c r="DL1" s="1" t="inlineStr">
        <is>
          <t>Fouls</t>
        </is>
      </c>
      <c r="DM1" s="1" t="inlineStr">
        <is>
          <t>Yellow cards</t>
        </is>
      </c>
      <c r="DN1" s="1" t="inlineStr">
        <is>
          <t>Red cards</t>
        </is>
      </c>
      <c r="DO1" s="30" t="inlineStr">
        <is>
          <t>Forward passes / accurate</t>
        </is>
      </c>
      <c r="DT1" s="1" t="inlineStr">
        <is>
          <t>Back passes / accurate</t>
        </is>
      </c>
      <c r="DW1" s="1" t="inlineStr">
        <is>
          <t>Lateral passes / accurate</t>
        </is>
      </c>
      <c r="DZ1" s="1" t="inlineStr">
        <is>
          <t>Long passes / accurate</t>
        </is>
      </c>
      <c r="EC1" s="30" t="inlineStr">
        <is>
          <t>Passes to final third / accurate</t>
        </is>
      </c>
      <c r="EH1" s="30" t="inlineStr">
        <is>
          <t>Progressive passes / accurate</t>
        </is>
      </c>
      <c r="EM1" s="1" t="inlineStr">
        <is>
          <t>Smart passes / accurate</t>
        </is>
      </c>
      <c r="EP1" s="1" t="inlineStr">
        <is>
          <t>Throw ins / accurate</t>
        </is>
      </c>
      <c r="ES1" s="1" t="inlineStr">
        <is>
          <t>Goal kicks</t>
        </is>
      </c>
      <c r="ET1" s="1" t="inlineStr">
        <is>
          <t>Match tempo</t>
        </is>
      </c>
      <c r="EU1" s="1" t="inlineStr">
        <is>
          <t>Average passes per possession</t>
        </is>
      </c>
      <c r="EV1" s="1" t="inlineStr">
        <is>
          <t>Long pass %</t>
        </is>
      </c>
      <c r="EW1" s="29" t="inlineStr">
        <is>
          <t>Average shot distance</t>
        </is>
      </c>
      <c r="EX1" s="29" t="n"/>
      <c r="EY1" s="29" t="n"/>
      <c r="EZ1" s="1" t="inlineStr">
        <is>
          <t>Average pass length</t>
        </is>
      </c>
      <c r="FA1" s="27" t="inlineStr">
        <is>
          <t>PPDA</t>
        </is>
      </c>
      <c r="FB1" s="27" t="n"/>
      <c r="FC1" s="27" t="n"/>
      <c r="FD1" s="3" t="inlineStr">
        <is>
          <t>Goals</t>
        </is>
      </c>
      <c r="FE1" s="27" t="inlineStr">
        <is>
          <t>xG</t>
        </is>
      </c>
      <c r="FF1" s="27" t="n"/>
      <c r="FG1" s="27" t="n"/>
      <c r="FH1" s="3" t="inlineStr">
        <is>
          <t>Shots / on target</t>
        </is>
      </c>
      <c r="FK1" s="27" t="inlineStr">
        <is>
          <t>Passes / accurate</t>
        </is>
      </c>
      <c r="FP1" s="3" t="inlineStr">
        <is>
          <t>Possession, %</t>
        </is>
      </c>
      <c r="FQ1" s="3" t="inlineStr">
        <is>
          <t>Losses / Low / Medium / High</t>
        </is>
      </c>
      <c r="FU1" s="3" t="inlineStr">
        <is>
          <t>Recoveries / Low / Medium / High</t>
        </is>
      </c>
      <c r="FY1" s="3" t="inlineStr">
        <is>
          <t>Duels / won</t>
        </is>
      </c>
      <c r="GB1" s="3" t="inlineStr">
        <is>
          <t>Shots from outside penalty area / on target</t>
        </is>
      </c>
      <c r="GE1" s="3" t="inlineStr">
        <is>
          <t>Positional attacks / with shots</t>
        </is>
      </c>
      <c r="GH1" s="3" t="inlineStr">
        <is>
          <t>Counterattacks / with shots</t>
        </is>
      </c>
      <c r="GK1" s="3" t="inlineStr">
        <is>
          <t>Set pieces / with shots</t>
        </is>
      </c>
      <c r="GN1" s="3" t="inlineStr">
        <is>
          <t>Corners / with shots</t>
        </is>
      </c>
      <c r="GQ1" s="3" t="inlineStr">
        <is>
          <t>Free kicks / with shots</t>
        </is>
      </c>
      <c r="GT1" s="3" t="inlineStr">
        <is>
          <t>Penalties / converted</t>
        </is>
      </c>
      <c r="GW1" s="3" t="inlineStr">
        <is>
          <t>Crosses / accurate</t>
        </is>
      </c>
      <c r="GZ1" s="3" t="inlineStr">
        <is>
          <t>Deep completed crosses</t>
        </is>
      </c>
      <c r="HA1" s="3" t="inlineStr">
        <is>
          <t>Deep completed passes</t>
        </is>
      </c>
      <c r="HB1" s="3" t="inlineStr">
        <is>
          <t>Penalty area entries (runs / crosses)</t>
        </is>
      </c>
      <c r="HE1" s="3" t="inlineStr">
        <is>
          <t>Touches in penalty area</t>
        </is>
      </c>
      <c r="HF1" s="3" t="inlineStr">
        <is>
          <t>Offensive duels / won</t>
        </is>
      </c>
      <c r="HI1" s="3" t="inlineStr">
        <is>
          <t>Offsides</t>
        </is>
      </c>
      <c r="HJ1" s="3" t="inlineStr">
        <is>
          <t>Conceded goals</t>
        </is>
      </c>
      <c r="HK1" s="3" t="inlineStr">
        <is>
          <t>Shots against / on target</t>
        </is>
      </c>
      <c r="HN1" s="3" t="inlineStr">
        <is>
          <t>Defensive duels / won</t>
        </is>
      </c>
      <c r="HQ1" s="3" t="inlineStr">
        <is>
          <t>Aerial duels / won</t>
        </is>
      </c>
      <c r="HT1" s="3" t="inlineStr">
        <is>
          <t>Sliding tackles / successful</t>
        </is>
      </c>
      <c r="HW1" s="3" t="inlineStr">
        <is>
          <t>Interceptions</t>
        </is>
      </c>
      <c r="HX1" s="3" t="inlineStr">
        <is>
          <t>Clearances</t>
        </is>
      </c>
      <c r="HY1" s="3" t="inlineStr">
        <is>
          <t>Fouls</t>
        </is>
      </c>
      <c r="HZ1" s="3" t="inlineStr">
        <is>
          <t>Yellow cards</t>
        </is>
      </c>
      <c r="IA1" s="3" t="inlineStr">
        <is>
          <t>Red cards</t>
        </is>
      </c>
      <c r="IB1" s="3" t="inlineStr">
        <is>
          <t>Forward passes / accurate</t>
        </is>
      </c>
      <c r="IE1" s="3" t="inlineStr">
        <is>
          <t>Back passes / accurate</t>
        </is>
      </c>
      <c r="IH1" s="3" t="inlineStr">
        <is>
          <t>Lateral passes / accurate</t>
        </is>
      </c>
      <c r="IK1" s="3" t="inlineStr">
        <is>
          <t>Long passes / accurate</t>
        </is>
      </c>
      <c r="IN1" s="3" t="inlineStr">
        <is>
          <t>Passes to final third / accurate</t>
        </is>
      </c>
      <c r="IQ1" s="27" t="inlineStr">
        <is>
          <t>Progressive passes / accurate</t>
        </is>
      </c>
      <c r="IT1" s="27" t="n"/>
      <c r="IU1" s="27" t="n"/>
      <c r="IV1" s="3" t="inlineStr">
        <is>
          <t>Smart passes / accurate</t>
        </is>
      </c>
      <c r="IY1" s="3" t="inlineStr">
        <is>
          <t>Throw ins / accurate</t>
        </is>
      </c>
      <c r="JB1" s="3" t="inlineStr">
        <is>
          <t>Goal kicks</t>
        </is>
      </c>
      <c r="JC1" s="3" t="inlineStr">
        <is>
          <t>Match tempo</t>
        </is>
      </c>
      <c r="JD1" s="3" t="inlineStr">
        <is>
          <t>Average passes per possession</t>
        </is>
      </c>
      <c r="JE1" s="3" t="inlineStr">
        <is>
          <t>Long pass %</t>
        </is>
      </c>
      <c r="JF1" s="3" t="inlineStr">
        <is>
          <t>Average shot distance</t>
        </is>
      </c>
      <c r="JG1" s="3" t="inlineStr">
        <is>
          <t>Average pass length</t>
        </is>
      </c>
      <c r="JH1" s="3" t="inlineStr">
        <is>
          <t>PPDA</t>
        </is>
      </c>
    </row>
    <row r="2">
      <c r="A2" s="12" t="n">
        <v>2022</v>
      </c>
      <c r="B2" s="31" t="inlineStr">
        <is>
          <t>Louisville City</t>
        </is>
      </c>
      <c r="C2" s="12" t="n">
        <v>72</v>
      </c>
      <c r="D2" s="5">
        <f>(C2-AVERAGE($C$2:INDEX($C:$C,LOOKUP(2,1/(ISNUMBER($A$2:$A$1048576)),ROW($A$2:$A$1048576)))))/_xlfn.STDEV.P($C$2:INDEX($C:$C,LOOKUP(2,1/(ISNUMBER($A$2:$A$1048576)),ROW($A$2:$A$1048576))))</f>
        <v/>
      </c>
      <c r="E2" s="12" t="n">
        <v>1</v>
      </c>
      <c r="F2" s="6">
        <f>-E2</f>
        <v/>
      </c>
      <c r="G2" s="7">
        <f>(F2-AVERAGE($F$2:INDEX($F:$F,LOOKUP(2,1/(ISNUMBER($A$2:$A$1048576)),ROW($A$2:$A$1048576)))))/_xlfn.STDEV.P($F$2:INDEX($F:$F,LOOKUP(2,1/(ISNUMBER($A$2:$A$1048576)),ROW($A$2:$A$1048576))))</f>
        <v/>
      </c>
      <c r="H2" s="32">
        <f>sum(0.5*D2)+(0.5*G2)</f>
        <v/>
      </c>
      <c r="I2" s="12" t="inlineStr">
        <is>
          <t>East</t>
        </is>
      </c>
      <c r="J2" s="10">
        <f>sum(L2*L$105)+(N2*N$105)+(P2*P$105)+(T2*R$105)</f>
        <v/>
      </c>
      <c r="K2" s="33">
        <f>PERCENTRANK(J$2:INDEX($J:$J,LOOKUP(2,1/(ISNUMBER($A$2:$A$1048576)),ROW($A$2:$A$1048576))),J2)</f>
        <v/>
      </c>
      <c r="L2" s="10">
        <f>sum(AA2*0.66)+(AD2*0.55)+(AG2*0.59)+(CG2*0.51)+(CL2*0.6)+(EY2*0.31)</f>
        <v/>
      </c>
      <c r="M2" s="33">
        <f>PERCENTRANK(L$2:INDEX($L:$L,LOOKUP(2,1/(ISNUMBER($A$2:$A$1048576)),ROW($A$2:$A$1048576))),L2)</f>
        <v/>
      </c>
      <c r="N2" s="10">
        <f>sum(CT2*0.57)+(CW2*0.71)+(DJ2*0.08)+(FC2*0.33)+(FG2*0.69)+(FM2*0.26)+(IU2*0.54)+(AU2*0.4)</f>
        <v/>
      </c>
      <c r="O2" s="33">
        <f>PERCENTRANK(N$2:INDEX($N:$N,LOOKUP(2,1/(ISNUMBER($A$2:$A$1048576)),ROW($A$2:$A$1048576))),N2)</f>
        <v/>
      </c>
      <c r="P2" s="10">
        <f>sum(BG2*0.51)+(CD2*0.51)+(DR2*0.11)+(EF2*0.42)+(EK2*0.44)+(W2*0.6)</f>
        <v/>
      </c>
      <c r="Q2" s="33">
        <f>PERCENTRANK(P$2:INDEX($P:$P,LOOKUP(2,1/(ISNUMBER($A$2:$A$1048576)),ROW($A$2:$A$1048576))),P2)</f>
        <v/>
      </c>
      <c r="R2" s="10">
        <f>sum(Y2-FE2)</f>
        <v/>
      </c>
      <c r="S2" s="33">
        <f>PERCENTRANK(R$2:INDEX($R:$R,LOOKUP(2,1/(ISNUMBER($A$2:$A$1048576)),ROW($A$2:$A$1048576))),R2)</f>
        <v/>
      </c>
      <c r="T2" s="34">
        <f>sum(R2-R$106)/R$107</f>
        <v/>
      </c>
      <c r="U2" s="35">
        <f>sum(Y2/AI2)*100</f>
        <v/>
      </c>
      <c r="V2" s="33">
        <f>PERCENTRANK(U$2:INDEX($U:$U,LOOKUP(2,1/(ISNUMBER($A$2:$A$1048576)),ROW($A$2:$A$1048576))),U2)</f>
        <v/>
      </c>
      <c r="W2" s="36">
        <f>sum(U2-U$106)/U$107</f>
        <v/>
      </c>
      <c r="X2" s="9" t="n">
        <v>1.86</v>
      </c>
      <c r="Y2" s="9" t="n">
        <v>1.81</v>
      </c>
      <c r="Z2" s="33">
        <f>PERCENTRANK(Y$2:INDEX($Y:$Y,LOOKUP(2,1/(ISNUMBER($A$2:$A$1048576)),ROW($A$2:$A$1048576))),Y2)</f>
        <v/>
      </c>
      <c r="AA2" s="37">
        <f>sum(Y2-Y$106)/Y$107</f>
        <v/>
      </c>
      <c r="AB2" s="9" t="n">
        <v>13.24</v>
      </c>
      <c r="AC2" s="33">
        <f>PERCENTRANK(AB$2:INDEX($AB:$AB,LOOKUP(2,1/(ISNUMBER($A$2:$A$1048576)),ROW($A$2:$A$1048576))),AB2)</f>
        <v/>
      </c>
      <c r="AD2" s="38">
        <f>sum(AB2-AB$106)/AB$107</f>
        <v/>
      </c>
      <c r="AE2" s="9" t="n">
        <v>5.54</v>
      </c>
      <c r="AF2" s="33">
        <f>PERCENTRANK(AE$2:INDEX($AE:$AE,LOOKUP(2,1/(ISNUMBER($A$2:$A$1048576)),ROW($A$2:$A$1048576))),AE2)</f>
        <v/>
      </c>
      <c r="AG2" s="38">
        <f>sum(AE2-AE$106)/AE$107</f>
        <v/>
      </c>
      <c r="AH2" s="9" t="n">
        <v>41.84</v>
      </c>
      <c r="AI2" s="9" t="n">
        <v>438.35</v>
      </c>
      <c r="AJ2" s="9" t="n">
        <v>356.14</v>
      </c>
      <c r="AK2" s="9" t="n">
        <v>81.23999999999999</v>
      </c>
      <c r="AL2" s="9" t="n">
        <v>54.54</v>
      </c>
      <c r="AM2" s="9" t="n">
        <v>114.08</v>
      </c>
      <c r="AN2" s="9" t="n">
        <v>16.24</v>
      </c>
      <c r="AO2" s="9" t="n">
        <v>38.27</v>
      </c>
      <c r="AP2" s="9" t="n">
        <v>59.57</v>
      </c>
      <c r="AQ2" s="9" t="n">
        <v>89.81</v>
      </c>
      <c r="AR2" s="9" t="n">
        <v>35.38</v>
      </c>
      <c r="AS2" s="9" t="n">
        <v>37.32</v>
      </c>
      <c r="AT2" s="33">
        <f>PERCENTRANK(AS$2:INDEX($AS:$AS,LOOKUP(2,1/(ISNUMBER($A$2:$A$1048576)),ROW($A$2:$A$1048576))),AS2)</f>
        <v/>
      </c>
      <c r="AU2" s="39">
        <f>SUM(AS2-AS$106)/AS$107</f>
        <v/>
      </c>
      <c r="AV2" s="9" t="n">
        <v>17.11</v>
      </c>
      <c r="AW2" s="33">
        <f>PERCENTRANK(AV$2:INDEX($AV:$AV,LOOKUP(2,1/(ISNUMBER($A$2:$A$1048576)),ROW($A$2:$A$1048576))),AV2)</f>
        <v/>
      </c>
      <c r="AX2" s="9" t="n">
        <v>206.54</v>
      </c>
      <c r="AY2" s="9" t="n">
        <v>98.31999999999999</v>
      </c>
      <c r="AZ2" s="9" t="n">
        <v>47.61</v>
      </c>
      <c r="BA2" s="9" t="n">
        <v>4.54</v>
      </c>
      <c r="BB2" s="9" t="n">
        <v>1.35</v>
      </c>
      <c r="BC2" s="9" t="n">
        <v>29.76</v>
      </c>
      <c r="BD2" s="9" t="n">
        <v>34.19</v>
      </c>
      <c r="BE2" s="9" t="n">
        <v>7.68</v>
      </c>
      <c r="BF2" s="33">
        <f>PERCENTRANK(BE$2:INDEX($BE:$BE,LOOKUP(2,1/(ISNUMBER($A$2:$A$1048576)),ROW($A$2:$A$1048576))),BE2)</f>
        <v/>
      </c>
      <c r="BG2" s="40">
        <f>sum(BE2-BE$106)/BE$107</f>
        <v/>
      </c>
      <c r="BH2" s="9" t="n">
        <v>22.45</v>
      </c>
      <c r="BI2" s="9" t="n">
        <v>1.62</v>
      </c>
      <c r="BJ2" s="9" t="n">
        <v>0.86</v>
      </c>
      <c r="BK2" s="9" t="n">
        <v>53.33</v>
      </c>
      <c r="BL2" s="9" t="n">
        <v>27.46</v>
      </c>
      <c r="BM2" s="9" t="n">
        <v>3.81</v>
      </c>
      <c r="BN2" s="9" t="n">
        <v>13.88</v>
      </c>
      <c r="BO2" s="9" t="n">
        <v>6.16</v>
      </c>
      <c r="BP2" s="9" t="n">
        <v>1.59</v>
      </c>
      <c r="BQ2" s="9" t="n">
        <v>25.88</v>
      </c>
      <c r="BR2" s="9" t="n">
        <v>2.95</v>
      </c>
      <c r="BS2" s="9" t="n">
        <v>0.76</v>
      </c>
      <c r="BT2" s="9" t="n">
        <v>25.69</v>
      </c>
      <c r="BU2" s="9" t="n">
        <v>0.27</v>
      </c>
      <c r="BV2" s="9" t="n">
        <v>0.27</v>
      </c>
      <c r="BW2" s="9" t="n">
        <v>100</v>
      </c>
      <c r="BX2" s="9" t="n">
        <v>18.19</v>
      </c>
      <c r="BY2" s="9" t="n">
        <v>5.27</v>
      </c>
      <c r="BZ2" s="9" t="n">
        <v>28.97</v>
      </c>
      <c r="CA2" s="9" t="n">
        <v>5.41</v>
      </c>
      <c r="CB2" s="9" t="n">
        <v>7.3</v>
      </c>
      <c r="CC2" s="33">
        <f>PERCENTRANK(CD$2:INDEX($CD:$CD,LOOKUP(2,1/(ISNUMBER($A$2:$A$1048576)),ROW($A$2:$A$1048576))),CD2)</f>
        <v/>
      </c>
      <c r="CD2" s="40">
        <f>sum(CB2-CB$106)/CB$107</f>
        <v/>
      </c>
      <c r="CE2" s="9" t="n">
        <v>28.68</v>
      </c>
      <c r="CF2" s="33">
        <f>PERCENTRANK(CE$2:INDEX($CE:$CE,LOOKUP(2,1/(ISNUMBER($A$2:$A$1048576)),ROW($A$2:$A$1048576))),CE2)</f>
        <v/>
      </c>
      <c r="CG2" s="38">
        <f>sum(CE2-CE$106)/CE$107</f>
        <v/>
      </c>
      <c r="CH2" s="9" t="n">
        <v>5.49</v>
      </c>
      <c r="CI2" s="9" t="n">
        <v>10.78</v>
      </c>
      <c r="CJ2" s="9" t="n">
        <v>20.14</v>
      </c>
      <c r="CK2" s="33">
        <f>PERCENTRANK(CJ$2:INDEX($CJ:$CJ,LOOKUP(2,1/(ISNUMBER($A$2:$A$1048576)),ROW($A$2:$A$1048576))),CJ2)</f>
        <v/>
      </c>
      <c r="CL2" s="38">
        <f>sum(CJ2-CJ$106)/CJ$107</f>
        <v/>
      </c>
      <c r="CM2" s="9" t="n">
        <v>65.84</v>
      </c>
      <c r="CN2" s="9" t="n">
        <v>26.46</v>
      </c>
      <c r="CO2" s="9" t="n">
        <v>40.19</v>
      </c>
      <c r="CP2" s="9" t="n">
        <v>2.65</v>
      </c>
      <c r="CQ2" s="9" t="n">
        <v>0.89</v>
      </c>
      <c r="CR2" s="9" t="n">
        <v>7.51</v>
      </c>
      <c r="CS2" s="33">
        <f>PERCENTRANK(CR$2:INDEX($CR:$CR,LOOKUP(2,1/(ISNUMBER($A$2:$A$1048576)),ROW($A$2:$A$1048576))),CR2)</f>
        <v/>
      </c>
      <c r="CT2" s="39">
        <f>1-(CR2-CR$106)/CR$107</f>
        <v/>
      </c>
      <c r="CU2" s="9" t="n">
        <v>2.95</v>
      </c>
      <c r="CV2" s="33">
        <f>PERCENTRANK(CU$2:INDEX($CU:$CU,LOOKUP(2,1/(ISNUMBER($A$2:$A$1048576)),ROW($A$2:$A$1048576))),CU2)</f>
        <v/>
      </c>
      <c r="CW2" s="39">
        <f>1-(CU2-CU$106)/CU$107</f>
        <v/>
      </c>
      <c r="CX2" s="9" t="n">
        <v>39.21</v>
      </c>
      <c r="CY2" s="9" t="n">
        <v>62.22</v>
      </c>
      <c r="CZ2" s="9" t="n">
        <v>36.81</v>
      </c>
      <c r="DA2" s="9" t="n">
        <v>59.17</v>
      </c>
      <c r="DB2" s="9" t="n">
        <v>46.11</v>
      </c>
      <c r="DC2" s="9" t="n">
        <v>21.81</v>
      </c>
      <c r="DD2" s="9" t="n">
        <v>47.3</v>
      </c>
      <c r="DE2" s="9" t="n">
        <v>4</v>
      </c>
      <c r="DF2" s="9" t="n">
        <v>1.73</v>
      </c>
      <c r="DG2" s="9" t="n">
        <v>43.24</v>
      </c>
      <c r="DH2" s="9" t="n">
        <v>39.03</v>
      </c>
      <c r="DI2" s="33">
        <f>PERCENTRANK(DH$2:INDEX($DH:$DH,LOOKUP(2,1/(ISNUMBER($A$2:$A$1048576)),ROW($A$2:$A$1048576))),DH2)</f>
        <v/>
      </c>
      <c r="DJ2" s="39">
        <f>SUM(DH2-DH$106)/DH$107</f>
        <v/>
      </c>
      <c r="DK2" s="9" t="n">
        <v>14.08</v>
      </c>
      <c r="DL2" s="9" t="n">
        <v>13.7</v>
      </c>
      <c r="DM2" s="9" t="n">
        <v>2.16</v>
      </c>
      <c r="DN2" s="9" t="n">
        <v>0.22</v>
      </c>
      <c r="DO2" s="9" t="n">
        <v>152.57</v>
      </c>
      <c r="DP2" s="9" t="n">
        <v>106.86</v>
      </c>
      <c r="DQ2" s="33">
        <f>PERCENTRANK(DP$2:INDEX($DP:$DP,LOOKUP(2,1/(ISNUMBER($A$2:$A$1048576)),ROW($A$2:$A$1048576))),DP2)</f>
        <v/>
      </c>
      <c r="DR2" s="40">
        <f>sum(DP2-DP$106)/DP$107</f>
        <v/>
      </c>
      <c r="DS2" s="9" t="n">
        <v>70.04000000000001</v>
      </c>
      <c r="DT2" s="9" t="n">
        <v>65.54000000000001</v>
      </c>
      <c r="DU2" s="9" t="n">
        <v>61.57</v>
      </c>
      <c r="DV2" s="9" t="n">
        <v>93.94</v>
      </c>
      <c r="DW2" s="9" t="n">
        <v>160.22</v>
      </c>
      <c r="DX2" s="9" t="n">
        <v>140.08</v>
      </c>
      <c r="DY2" s="9" t="n">
        <v>87.43000000000001</v>
      </c>
      <c r="DZ2" s="9" t="n">
        <v>51.54</v>
      </c>
      <c r="EA2" s="9" t="n">
        <v>26.41</v>
      </c>
      <c r="EB2" s="9" t="n">
        <v>51.23</v>
      </c>
      <c r="EC2" s="9" t="n">
        <v>63.54</v>
      </c>
      <c r="ED2" s="9" t="n">
        <v>41.76</v>
      </c>
      <c r="EE2" s="33">
        <f>PERCENTRANK(ED$2:INDEX($ED:$ED,LOOKUP(2,1/(ISNUMBER($A$2:$A$1048576)),ROW($A$2:$A$1048576))),ED2)</f>
        <v/>
      </c>
      <c r="EF2" s="40">
        <f>sum(ED2-ED$106)/ED$107</f>
        <v/>
      </c>
      <c r="EG2" s="9" t="n">
        <v>65.72</v>
      </c>
      <c r="EH2" s="9" t="n">
        <v>75.45999999999999</v>
      </c>
      <c r="EI2" s="9" t="n">
        <v>56.65</v>
      </c>
      <c r="EJ2" s="33">
        <f>PERCENTRANK(EI$2:INDEX($EI:$EI,LOOKUP(2,1/(ISNUMBER($A$2:$A$1048576)),ROW($A$2:$A$1048576))),EI2)</f>
        <v/>
      </c>
      <c r="EK2" s="40">
        <f>sum(EI2-EI$106)/EI$107</f>
        <v/>
      </c>
      <c r="EL2" s="9" t="n">
        <v>75.06999999999999</v>
      </c>
      <c r="EM2" s="9" t="n">
        <v>5.59</v>
      </c>
      <c r="EN2" s="9" t="n">
        <v>1.97</v>
      </c>
      <c r="EO2" s="9" t="n">
        <v>35.27</v>
      </c>
      <c r="EP2" s="9" t="n">
        <v>23.73</v>
      </c>
      <c r="EQ2" s="9" t="n">
        <v>21</v>
      </c>
      <c r="ER2" s="9" t="n">
        <v>88.5</v>
      </c>
      <c r="ES2" s="9" t="n">
        <v>5.97</v>
      </c>
      <c r="ET2" s="9" t="n">
        <v>16.18</v>
      </c>
      <c r="EU2" s="9" t="n">
        <v>3.93</v>
      </c>
      <c r="EV2" s="9" t="n">
        <v>12.25</v>
      </c>
      <c r="EW2" s="9" t="n">
        <v>17.19</v>
      </c>
      <c r="EX2" s="33">
        <f>PERCENTRANK(EW$2:INDEX($EW:$EW,LOOKUP(2,1/(ISNUMBER($A$2:$A$1048576)),ROW($A$2:$A$1048576))),EW2)</f>
        <v/>
      </c>
      <c r="EY2" s="38">
        <f>1-(EW2-EW$106)/EW$107</f>
        <v/>
      </c>
      <c r="EZ2" s="9" t="n">
        <v>20.59</v>
      </c>
      <c r="FA2" s="9" t="n">
        <v>8.17</v>
      </c>
      <c r="FB2" s="33">
        <f>PERCENTRANK(FA$2:INDEX($FA:$FA,LOOKUP(2,1/(ISNUMBER($A$2:$A$1048576)),ROW($A$2:$A$1048576))),FA2)</f>
        <v/>
      </c>
      <c r="FC2" s="39">
        <f>1-(FA2-FA$106)/FA$107</f>
        <v/>
      </c>
      <c r="FD2" s="9" t="n">
        <v>0.89</v>
      </c>
      <c r="FE2" s="9" t="n">
        <v>0.93</v>
      </c>
      <c r="FF2" s="33">
        <f>PERCENTRANK(FE$2:INDEX($FE:$FE,LOOKUP(2,1/(ISNUMBER($A$2:$A$1048576)),ROW($A$2:$A$1048576))),FE2)</f>
        <v/>
      </c>
      <c r="FG2" s="39">
        <f>1-(FE2-FE$106)/FE$107</f>
        <v/>
      </c>
      <c r="FH2" s="9" t="n">
        <v>7.51</v>
      </c>
      <c r="FI2" s="9" t="n">
        <v>2.76</v>
      </c>
      <c r="FJ2" s="9" t="n">
        <v>36.69</v>
      </c>
      <c r="FK2" s="9" t="n">
        <v>352.22</v>
      </c>
      <c r="FL2" s="33">
        <f>PERCENTRANK(FK$2:INDEX($FK:$FK,LOOKUP(2,1/(ISNUMBER($A$2:$A$1048576)),ROW($A$2:$A$1048576))),FK2)</f>
        <v/>
      </c>
      <c r="FM2" s="39">
        <f>SWA1-(FK2-FK$106)/FK$107</f>
        <v/>
      </c>
      <c r="FN2" s="9" t="n">
        <v>271.59</v>
      </c>
      <c r="FO2" s="9" t="n">
        <v>77.11</v>
      </c>
      <c r="FP2" s="9" t="n">
        <v>45.46</v>
      </c>
      <c r="FQ2" s="9" t="n">
        <v>115.14</v>
      </c>
      <c r="FR2" s="9" t="n">
        <v>26.05</v>
      </c>
      <c r="FS2" s="9" t="n">
        <v>43.81</v>
      </c>
      <c r="FT2" s="9" t="n">
        <v>45.27</v>
      </c>
      <c r="FU2" s="9" t="n">
        <v>85.51000000000001</v>
      </c>
      <c r="FV2" s="9" t="n">
        <v>45.84</v>
      </c>
      <c r="FW2" s="9" t="n">
        <v>30</v>
      </c>
      <c r="FX2" s="9" t="n">
        <v>9.68</v>
      </c>
      <c r="FY2" s="9" t="n">
        <v>206.54</v>
      </c>
      <c r="FZ2" s="9" t="n">
        <v>99.27</v>
      </c>
      <c r="GA2" s="9" t="n">
        <v>48.06</v>
      </c>
      <c r="GB2" s="9" t="n">
        <v>2.86</v>
      </c>
      <c r="GC2" s="9" t="n">
        <v>0.73</v>
      </c>
      <c r="GD2" s="9" t="n">
        <v>25.47</v>
      </c>
      <c r="GE2" s="9" t="n">
        <v>21.65</v>
      </c>
      <c r="GF2" s="9" t="n">
        <v>4.59</v>
      </c>
      <c r="GG2" s="9" t="n">
        <v>21.22</v>
      </c>
      <c r="GH2" s="9" t="n">
        <v>1.35</v>
      </c>
      <c r="GI2" s="9" t="n">
        <v>0.68</v>
      </c>
      <c r="GJ2" s="9" t="n">
        <v>50</v>
      </c>
      <c r="GK2" s="9" t="n">
        <v>26.84</v>
      </c>
      <c r="GL2" s="9" t="n">
        <v>2.03</v>
      </c>
      <c r="GM2" s="9" t="n">
        <v>7.55</v>
      </c>
      <c r="GN2" s="9" t="n">
        <v>3.27</v>
      </c>
      <c r="GO2" s="9" t="n">
        <v>0.78</v>
      </c>
      <c r="GP2" s="9" t="n">
        <v>23.97</v>
      </c>
      <c r="GQ2" s="9" t="n">
        <v>2.19</v>
      </c>
      <c r="GR2" s="9" t="n">
        <v>0.35</v>
      </c>
      <c r="GS2" s="9" t="n">
        <v>16.05</v>
      </c>
      <c r="GT2" s="9" t="n">
        <v>0.16</v>
      </c>
      <c r="GU2" s="9" t="n">
        <v>0.14</v>
      </c>
      <c r="GV2" s="9" t="n">
        <v>83.33</v>
      </c>
      <c r="GW2" s="9" t="n">
        <v>10.81</v>
      </c>
      <c r="GX2" s="9" t="n">
        <v>3.38</v>
      </c>
      <c r="GY2" s="9" t="n">
        <v>31.25</v>
      </c>
      <c r="GZ2" s="9" t="n">
        <v>3.7</v>
      </c>
      <c r="HA2" s="9" t="n">
        <v>3.11</v>
      </c>
      <c r="HB2" s="9" t="n">
        <v>17.3</v>
      </c>
      <c r="HC2" s="9" t="n">
        <v>3.19</v>
      </c>
      <c r="HD2" s="9" t="n">
        <v>6.78</v>
      </c>
      <c r="HE2" s="9" t="n">
        <v>9.76</v>
      </c>
      <c r="HF2" s="9" t="n">
        <v>62.24</v>
      </c>
      <c r="HG2" s="9" t="n">
        <v>25.41</v>
      </c>
      <c r="HH2" s="9" t="n">
        <v>40.82</v>
      </c>
      <c r="HI2" s="9" t="n">
        <v>4.49</v>
      </c>
      <c r="HJ2" s="9" t="n">
        <v>1.86</v>
      </c>
      <c r="HK2" s="9" t="n">
        <v>13.24</v>
      </c>
      <c r="HL2" s="9" t="n">
        <v>5.65</v>
      </c>
      <c r="HM2" s="9" t="n">
        <v>42.65</v>
      </c>
      <c r="HN2" s="9" t="n">
        <v>65.84</v>
      </c>
      <c r="HO2" s="9" t="n">
        <v>39.38</v>
      </c>
      <c r="HP2" s="9" t="n">
        <v>59.81</v>
      </c>
      <c r="HQ2" s="9" t="n">
        <v>46.08</v>
      </c>
      <c r="HR2" s="9" t="n">
        <v>21.27</v>
      </c>
      <c r="HS2" s="9" t="n">
        <v>46.16</v>
      </c>
      <c r="HT2" s="9" t="n">
        <v>4.86</v>
      </c>
      <c r="HU2" s="9" t="n">
        <v>2.27</v>
      </c>
      <c r="HV2" s="9" t="n">
        <v>46.67</v>
      </c>
      <c r="HW2" s="9" t="n">
        <v>48.14</v>
      </c>
      <c r="HX2" s="9" t="n">
        <v>18.84</v>
      </c>
      <c r="HY2" s="9" t="n">
        <v>12.32</v>
      </c>
      <c r="HZ2" s="9" t="n">
        <v>2.32</v>
      </c>
      <c r="IA2" s="9" t="n">
        <v>0.24</v>
      </c>
      <c r="IB2" s="9" t="n">
        <v>129.41</v>
      </c>
      <c r="IC2" s="9" t="n">
        <v>81.19</v>
      </c>
      <c r="ID2" s="9" t="n">
        <v>62.74</v>
      </c>
      <c r="IE2" s="9" t="n">
        <v>53.3</v>
      </c>
      <c r="IF2" s="9" t="n">
        <v>49.49</v>
      </c>
      <c r="IG2" s="9" t="n">
        <v>92.84999999999999</v>
      </c>
      <c r="IH2" s="9" t="n">
        <v>124.84</v>
      </c>
      <c r="II2" s="9" t="n">
        <v>105.89</v>
      </c>
      <c r="IJ2" s="9" t="n">
        <v>84.81999999999999</v>
      </c>
      <c r="IK2" s="9" t="n">
        <v>61</v>
      </c>
      <c r="IL2" s="9" t="n">
        <v>29.81</v>
      </c>
      <c r="IM2" s="9" t="n">
        <v>48.87</v>
      </c>
      <c r="IN2" s="9" t="n">
        <v>49.19</v>
      </c>
      <c r="IO2" s="9" t="n">
        <v>26.68</v>
      </c>
      <c r="IP2" s="9" t="n">
        <v>54.23</v>
      </c>
      <c r="IQ2" s="9" t="n">
        <v>69.86</v>
      </c>
      <c r="IR2" s="9" t="n">
        <v>41.41</v>
      </c>
      <c r="IS2" s="9" t="n">
        <v>59.26</v>
      </c>
      <c r="IT2" s="33">
        <f>PERCENTRANK(IS$2:INDEX($IS:$IS,LOOKUP(2,1/(ISNUMBER($A$2:$A$1048576)),ROW($A$2:$A$1048576))),IS2)</f>
        <v/>
      </c>
      <c r="IU2" s="39">
        <f>1-(IS2-IS$106)/IS$107</f>
        <v/>
      </c>
      <c r="IV2" s="9" t="n">
        <v>3.86</v>
      </c>
      <c r="IW2" s="9" t="n">
        <v>1.32</v>
      </c>
      <c r="IX2" s="9" t="n">
        <v>34.27</v>
      </c>
      <c r="IY2" s="9" t="n">
        <v>23.27</v>
      </c>
      <c r="IZ2" s="9" t="n">
        <v>20.7</v>
      </c>
      <c r="JA2" s="9" t="n">
        <v>88.97</v>
      </c>
      <c r="JB2" s="9" t="n">
        <v>9.73</v>
      </c>
      <c r="JC2" s="9" t="n">
        <v>15.55</v>
      </c>
      <c r="JD2" s="9" t="n">
        <v>3.18</v>
      </c>
      <c r="JE2" s="9" t="n">
        <v>18.01</v>
      </c>
      <c r="JF2" s="9" t="n">
        <v>17.74</v>
      </c>
      <c r="JG2" s="9" t="n">
        <v>21.62</v>
      </c>
      <c r="JH2" s="9" t="n">
        <v>12.84</v>
      </c>
    </row>
    <row r="3">
      <c r="A3" s="12" t="n">
        <v>2023</v>
      </c>
      <c r="B3" s="31" t="inlineStr">
        <is>
          <t>San Antonio</t>
        </is>
      </c>
      <c r="C3" s="12" t="n">
        <v>56</v>
      </c>
      <c r="D3" s="5">
        <f>(C3-AVERAGE($C$2:INDEX($C:$C,LOOKUP(2,1/(ISNUMBER($A$2:$A$1048576)),ROW($A$2:$A$1048576)))))/_xlfn.STDEV.P($C$2:INDEX($C:$C,LOOKUP(2,1/(ISNUMBER($A$2:$A$1048576)),ROW($A$2:$A$1048576))))</f>
        <v/>
      </c>
      <c r="E3" s="12" t="n">
        <v>4</v>
      </c>
      <c r="F3" s="6">
        <f>-E3</f>
        <v/>
      </c>
      <c r="G3" s="7">
        <f>(F3-AVERAGE($F$2:INDEX($F:$F,LOOKUP(2,1/(ISNUMBER($A$2:$A$1048576)),ROW($A$2:$A$1048576)))))/_xlfn.STDEV.P($F$2:INDEX($F:$F,LOOKUP(2,1/(ISNUMBER($A$2:$A$1048576)),ROW($A$2:$A$1048576))))</f>
        <v/>
      </c>
      <c r="H3" s="32">
        <f>sum(0.5*D3)+(0.5*G3)</f>
        <v/>
      </c>
      <c r="I3" s="12" t="inlineStr">
        <is>
          <t>West</t>
        </is>
      </c>
      <c r="J3" s="10">
        <f>sum(L3*L$105)+(N3*N$105)+(P3*P$105)+(T3*R$105)</f>
        <v/>
      </c>
      <c r="K3" s="33">
        <f>PERCENTRANK(J$2:INDEX($J:$J,LOOKUP(2,1/(ISNUMBER($A$2:$A$1048576)),ROW($A$2:$A$1048576))),J3)</f>
        <v/>
      </c>
      <c r="L3" s="10">
        <f>sum(AA3*0.66)+(AD3*0.55)+(AG3*0.59)+(CG3*0.51)+(CL3*0.6)+(EY3*0.31)</f>
        <v/>
      </c>
      <c r="M3" s="33">
        <f>PERCENTRANK(L$2:INDEX($L:$L,LOOKUP(2,1/(ISNUMBER($A$2:$A$1048576)),ROW($A$2:$A$1048576))),L3)</f>
        <v/>
      </c>
      <c r="N3" s="10">
        <f>sum(CT3*0.57)+(CW3*0.71)+(DJ3*0.08)+(FC3*0.33)+(FG3*0.69)+(FM3*0.26)+(IU3*0.54)+(AU3*0.4)</f>
        <v/>
      </c>
      <c r="O3" s="33">
        <f>PERCENTRANK(N$2:INDEX($N:$N,LOOKUP(2,1/(ISNUMBER($A$2:$A$1048576)),ROW($A$2:$A$1048576))),N3)</f>
        <v/>
      </c>
      <c r="P3" s="10">
        <f>sum(BG3*0.51)+(CD3*0.51)+(DR3*0.11)+(EF3*0.42)+(EK3*0.44)+(W3*0.6)</f>
        <v/>
      </c>
      <c r="Q3" s="33">
        <f>PERCENTRANK(P$2:INDEX($P:$P,LOOKUP(2,1/(ISNUMBER($A$2:$A$1048576)),ROW($A$2:$A$1048576))),P3)</f>
        <v/>
      </c>
      <c r="R3" s="10">
        <f>sum(Y3-FE3)</f>
        <v/>
      </c>
      <c r="S3" s="33">
        <f>PERCENTRANK(R$2:INDEX($R:$R,LOOKUP(2,1/(ISNUMBER($A$2:$A$1048576)),ROW($A$2:$A$1048576))),R3)</f>
        <v/>
      </c>
      <c r="T3" s="34">
        <f>sum(R3-R$106)/R$107</f>
        <v/>
      </c>
      <c r="U3" s="35">
        <f>sum(Y3/AI3)*100</f>
        <v/>
      </c>
      <c r="V3" s="33">
        <f>PERCENTRANK(U$2:INDEX($U:$U,LOOKUP(2,1/(ISNUMBER($A$2:$A$1048576)),ROW($A$2:$A$1048576))),U3)</f>
        <v/>
      </c>
      <c r="W3" s="36">
        <f>sum(U3-U$106)/U$107</f>
        <v/>
      </c>
      <c r="X3" s="9" t="n">
        <v>1.81</v>
      </c>
      <c r="Y3" s="9" t="n">
        <v>1.52</v>
      </c>
      <c r="Z3" s="33">
        <f>PERCENTRANK(Y$2:INDEX($Y:$Y,LOOKUP(2,1/(ISNUMBER($A$2:$A$1048576)),ROW($A$2:$A$1048576))),Y3)</f>
        <v/>
      </c>
      <c r="AA3" s="37">
        <f>sum(Y3-Y$106)/Y$107</f>
        <v/>
      </c>
      <c r="AB3" s="9" t="n">
        <v>13.44</v>
      </c>
      <c r="AC3" s="33">
        <f>PERCENTRANK(AB$2:INDEX($AB:$AB,LOOKUP(2,1/(ISNUMBER($A$2:$A$1048576)),ROW($A$2:$A$1048576))),AB3)</f>
        <v/>
      </c>
      <c r="AD3" s="38">
        <f>sum(AB3-AB$106)/AB$107</f>
        <v/>
      </c>
      <c r="AE3" s="9" t="n">
        <v>5</v>
      </c>
      <c r="AF3" s="33">
        <f>PERCENTRANK(AE$2:INDEX($AE:$AE,LOOKUP(2,1/(ISNUMBER($A$2:$A$1048576)),ROW($A$2:$A$1048576))),AE3)</f>
        <v/>
      </c>
      <c r="AG3" s="38">
        <f>sum(AE3-AE$106)/AE$107</f>
        <v/>
      </c>
      <c r="AH3" s="9" t="n">
        <v>37.19</v>
      </c>
      <c r="AI3" s="9" t="n">
        <v>258.19</v>
      </c>
      <c r="AJ3" s="9" t="n">
        <v>185.19</v>
      </c>
      <c r="AK3" s="9" t="n">
        <v>71.73</v>
      </c>
      <c r="AL3" s="9" t="n">
        <v>45.03</v>
      </c>
      <c r="AM3" s="9" t="n">
        <v>118.83</v>
      </c>
      <c r="AN3" s="9" t="n">
        <v>18.33</v>
      </c>
      <c r="AO3" s="9" t="n">
        <v>35.42</v>
      </c>
      <c r="AP3" s="9" t="n">
        <v>65.08</v>
      </c>
      <c r="AQ3" s="9" t="n">
        <v>91.42</v>
      </c>
      <c r="AR3" s="9" t="n">
        <v>36.5</v>
      </c>
      <c r="AS3" s="9" t="n">
        <v>39.97</v>
      </c>
      <c r="AT3" s="33">
        <f>PERCENTRANK(AS$2:INDEX($AS:$AS,LOOKUP(2,1/(ISNUMBER($A$2:$A$1048576)),ROW($A$2:$A$1048576))),AS3)</f>
        <v/>
      </c>
      <c r="AU3" s="39">
        <f>SUM(AS3-AS$106)/AS$107</f>
        <v/>
      </c>
      <c r="AV3" s="9" t="n">
        <v>14.94</v>
      </c>
      <c r="AW3" s="33">
        <f>PERCENTRANK(AV$2:INDEX($AV:$AV,LOOKUP(2,1/(ISNUMBER($A$2:$A$1048576)),ROW($A$2:$A$1048576))),AV3)</f>
        <v/>
      </c>
      <c r="AX3" s="9" t="n">
        <v>245.42</v>
      </c>
      <c r="AY3" s="9" t="n">
        <v>116.75</v>
      </c>
      <c r="AZ3" s="9" t="n">
        <v>47.57</v>
      </c>
      <c r="BA3" s="9" t="n">
        <v>6.06</v>
      </c>
      <c r="BB3" s="9" t="n">
        <v>1.81</v>
      </c>
      <c r="BC3" s="9" t="n">
        <v>29.82</v>
      </c>
      <c r="BD3" s="9" t="n">
        <v>34.53</v>
      </c>
      <c r="BE3" s="9" t="n">
        <v>8.140000000000001</v>
      </c>
      <c r="BF3" s="33">
        <f>PERCENTRANK(BE$2:INDEX($BE:$BE,LOOKUP(2,1/(ISNUMBER($A$2:$A$1048576)),ROW($A$2:$A$1048576))),BE3)</f>
        <v/>
      </c>
      <c r="BG3" s="40">
        <f>sum(BE3-BE$106)/BE$107</f>
        <v/>
      </c>
      <c r="BH3" s="9" t="n">
        <v>23.57</v>
      </c>
      <c r="BI3" s="9" t="n">
        <v>1.44</v>
      </c>
      <c r="BJ3" s="9" t="n">
        <v>0.78</v>
      </c>
      <c r="BK3" s="9" t="n">
        <v>53.85</v>
      </c>
      <c r="BL3" s="9" t="n">
        <v>26.81</v>
      </c>
      <c r="BM3" s="9" t="n">
        <v>3.5</v>
      </c>
      <c r="BN3" s="9" t="n">
        <v>13.06</v>
      </c>
      <c r="BO3" s="9" t="n">
        <v>6.31</v>
      </c>
      <c r="BP3" s="9" t="n">
        <v>1.56</v>
      </c>
      <c r="BQ3" s="9" t="n">
        <v>24.67</v>
      </c>
      <c r="BR3" s="9" t="n">
        <v>5.53</v>
      </c>
      <c r="BS3" s="9" t="n">
        <v>1.19</v>
      </c>
      <c r="BT3" s="9" t="n">
        <v>21.61</v>
      </c>
      <c r="BU3" s="9" t="n">
        <v>0.11</v>
      </c>
      <c r="BV3" s="9" t="n">
        <v>0.08</v>
      </c>
      <c r="BW3" s="9" t="n">
        <v>75</v>
      </c>
      <c r="BX3" s="9" t="n">
        <v>16.36</v>
      </c>
      <c r="BY3" s="9" t="n">
        <v>5.14</v>
      </c>
      <c r="BZ3" s="9" t="n">
        <v>31.41</v>
      </c>
      <c r="CA3" s="9" t="n">
        <v>5.39</v>
      </c>
      <c r="CB3" s="9" t="n">
        <v>5.94</v>
      </c>
      <c r="CC3" s="33">
        <f>PERCENTRANK(CD$2:INDEX($CD:$CD,LOOKUP(2,1/(ISNUMBER($A$2:$A$1048576)),ROW($A$2:$A$1048576))),CD3)</f>
        <v/>
      </c>
      <c r="CD3" s="40">
        <f>sum(CB3-CB$106)/CB$107</f>
        <v/>
      </c>
      <c r="CE3" s="9" t="n">
        <v>25.17</v>
      </c>
      <c r="CF3" s="33">
        <f>PERCENTRANK(CE$2:INDEX($CE:$CE,LOOKUP(2,1/(ISNUMBER($A$2:$A$1048576)),ROW($A$2:$A$1048576))),CE3)</f>
        <v/>
      </c>
      <c r="CG3" s="38">
        <f>sum(CE3-CE$106)/CE$107</f>
        <v/>
      </c>
      <c r="CH3" s="9" t="n">
        <v>3.92</v>
      </c>
      <c r="CI3" s="9" t="n">
        <v>10.5</v>
      </c>
      <c r="CJ3" s="9" t="n">
        <v>16.75</v>
      </c>
      <c r="CK3" s="33">
        <f>PERCENTRANK(CJ$2:INDEX($CJ:$CJ,LOOKUP(2,1/(ISNUMBER($A$2:$A$1048576)),ROW($A$2:$A$1048576))),CJ3)</f>
        <v/>
      </c>
      <c r="CL3" s="38">
        <f>sum(CJ3-CJ$106)/CJ$107</f>
        <v/>
      </c>
      <c r="CM3" s="9" t="n">
        <v>74.36</v>
      </c>
      <c r="CN3" s="9" t="n">
        <v>29.39</v>
      </c>
      <c r="CO3" s="9" t="n">
        <v>39.52</v>
      </c>
      <c r="CP3" s="9" t="n">
        <v>2.53</v>
      </c>
      <c r="CQ3" s="9" t="n">
        <v>1.14</v>
      </c>
      <c r="CR3" s="9" t="n">
        <v>9.609999999999999</v>
      </c>
      <c r="CS3" s="33">
        <f>PERCENTRANK(CR$2:INDEX($CR:$CR,LOOKUP(2,1/(ISNUMBER($A$2:$A$1048576)),ROW($A$2:$A$1048576))),CR3)</f>
        <v/>
      </c>
      <c r="CT3" s="39">
        <f>1-(CR3-CR$106)/CR$107</f>
        <v/>
      </c>
      <c r="CU3" s="9" t="n">
        <v>3.61</v>
      </c>
      <c r="CV3" s="33">
        <f>PERCENTRANK(CU$2:INDEX($CU:$CU,LOOKUP(2,1/(ISNUMBER($A$2:$A$1048576)),ROW($A$2:$A$1048576))),CU3)</f>
        <v/>
      </c>
      <c r="CW3" s="39">
        <f>1-(CU3-CU$106)/CU$107</f>
        <v/>
      </c>
      <c r="CX3" s="9" t="n">
        <v>37.57</v>
      </c>
      <c r="CY3" s="9" t="n">
        <v>78.08</v>
      </c>
      <c r="CZ3" s="9" t="n">
        <v>48.06</v>
      </c>
      <c r="DA3" s="9" t="n">
        <v>61.54</v>
      </c>
      <c r="DB3" s="9" t="n">
        <v>51.42</v>
      </c>
      <c r="DC3" s="9" t="n">
        <v>22.58</v>
      </c>
      <c r="DD3" s="9" t="n">
        <v>43.92</v>
      </c>
      <c r="DE3" s="9" t="n">
        <v>3.39</v>
      </c>
      <c r="DF3" s="9" t="n">
        <v>1.39</v>
      </c>
      <c r="DG3" s="9" t="n">
        <v>40.98</v>
      </c>
      <c r="DH3" s="9" t="n">
        <v>42.31</v>
      </c>
      <c r="DI3" s="33">
        <f>PERCENTRANK(DH$2:INDEX($DH:$DH,LOOKUP(2,1/(ISNUMBER($A$2:$A$1048576)),ROW($A$2:$A$1048576))),DH3)</f>
        <v/>
      </c>
      <c r="DJ3" s="39">
        <f>SUM(DH3-DH$106)/DH$107</f>
        <v/>
      </c>
      <c r="DK3" s="9" t="n">
        <v>19.06</v>
      </c>
      <c r="DL3" s="9" t="n">
        <v>15.89</v>
      </c>
      <c r="DM3" s="9" t="n">
        <v>2.58</v>
      </c>
      <c r="DN3" s="9" t="n">
        <v>0.14</v>
      </c>
      <c r="DO3" s="9" t="n">
        <v>121.5</v>
      </c>
      <c r="DP3" s="9" t="n">
        <v>79.08</v>
      </c>
      <c r="DQ3" s="33">
        <f>PERCENTRANK(DP$2:INDEX($DP:$DP,LOOKUP(2,1/(ISNUMBER($A$2:$A$1048576)),ROW($A$2:$A$1048576))),DP3)</f>
        <v/>
      </c>
      <c r="DR3" s="40">
        <f>sum(DP3-DP$106)/DP$107</f>
        <v/>
      </c>
      <c r="DS3" s="9" t="n">
        <v>65.09</v>
      </c>
      <c r="DT3" s="9" t="n">
        <v>32.64</v>
      </c>
      <c r="DU3" s="9" t="n">
        <v>29.44</v>
      </c>
      <c r="DV3" s="9" t="n">
        <v>90.20999999999999</v>
      </c>
      <c r="DW3" s="9" t="n">
        <v>62.78</v>
      </c>
      <c r="DX3" s="9" t="n">
        <v>46.17</v>
      </c>
      <c r="DY3" s="9" t="n">
        <v>73.54000000000001</v>
      </c>
      <c r="DZ3" s="9" t="n">
        <v>48.72</v>
      </c>
      <c r="EA3" s="9" t="n">
        <v>23.56</v>
      </c>
      <c r="EB3" s="9" t="n">
        <v>48.35</v>
      </c>
      <c r="EC3" s="9" t="n">
        <v>55.22</v>
      </c>
      <c r="ED3" s="9" t="n">
        <v>33.58</v>
      </c>
      <c r="EE3" s="33">
        <f>PERCENTRANK(ED$2:INDEX($ED:$ED,LOOKUP(2,1/(ISNUMBER($A$2:$A$1048576)),ROW($A$2:$A$1048576))),ED3)</f>
        <v/>
      </c>
      <c r="EF3" s="40">
        <f>sum(ED3-ED$106)/ED$107</f>
        <v/>
      </c>
      <c r="EG3" s="9" t="n">
        <v>60.81</v>
      </c>
      <c r="EH3" s="9" t="n">
        <v>64.44</v>
      </c>
      <c r="EI3" s="9" t="n">
        <v>48.19</v>
      </c>
      <c r="EJ3" s="33">
        <f>PERCENTRANK(EI$2:INDEX($EI:$EI,LOOKUP(2,1/(ISNUMBER($A$2:$A$1048576)),ROW($A$2:$A$1048576))),EI3)</f>
        <v/>
      </c>
      <c r="EK3" s="40">
        <f>sum(EI3-EI$106)/EI$107</f>
        <v/>
      </c>
      <c r="EL3" s="9" t="n">
        <v>74.78</v>
      </c>
      <c r="EM3" s="9" t="n">
        <v>2.44</v>
      </c>
      <c r="EN3" s="9" t="n">
        <v>1.17</v>
      </c>
      <c r="EO3" s="9" t="n">
        <v>47.73</v>
      </c>
      <c r="EP3" s="9" t="n">
        <v>27.06</v>
      </c>
      <c r="EQ3" s="9" t="n">
        <v>21.08</v>
      </c>
      <c r="ER3" s="9" t="n">
        <v>77.93000000000001</v>
      </c>
      <c r="ES3" s="9" t="n">
        <v>7.86</v>
      </c>
      <c r="ET3" s="9" t="n">
        <v>14.16</v>
      </c>
      <c r="EU3" s="9" t="n">
        <v>2.2</v>
      </c>
      <c r="EV3" s="9" t="n">
        <v>19.48</v>
      </c>
      <c r="EW3" s="9" t="n">
        <v>19.14</v>
      </c>
      <c r="EX3" s="33">
        <f>PERCENTRANK(EW$2:INDEX($EW:$EW,LOOKUP(2,1/(ISNUMBER($A$2:$A$1048576)),ROW($A$2:$A$1048576))),EW3)</f>
        <v/>
      </c>
      <c r="EY3" s="38">
        <f>1-(EW3-EW$106)/EW$107</f>
        <v/>
      </c>
      <c r="EZ3" s="9" t="n">
        <v>21.14</v>
      </c>
      <c r="FA3" s="9" t="n">
        <v>6.6</v>
      </c>
      <c r="FB3" s="33">
        <f>PERCENTRANK(FA$2:INDEX($FA:$FA,LOOKUP(2,1/(ISNUMBER($A$2:$A$1048576)),ROW($A$2:$A$1048576))),FA3)</f>
        <v/>
      </c>
      <c r="FC3" s="39">
        <f>1-(FA3-FA$106)/FA$107</f>
        <v/>
      </c>
      <c r="FD3" s="9" t="n">
        <v>1.14</v>
      </c>
      <c r="FE3" s="9" t="n">
        <v>1.1</v>
      </c>
      <c r="FF3" s="33">
        <f>PERCENTRANK(FE$2:INDEX($FE:$FE,LOOKUP(2,1/(ISNUMBER($A$2:$A$1048576)),ROW($A$2:$A$1048576))),FE3)</f>
        <v/>
      </c>
      <c r="FG3" s="39">
        <f>1-(FE3-FE$106)/FE$107</f>
        <v/>
      </c>
      <c r="FH3" s="9" t="n">
        <v>9.609999999999999</v>
      </c>
      <c r="FI3" s="9" t="n">
        <v>3.56</v>
      </c>
      <c r="FJ3" s="9" t="n">
        <v>36.99</v>
      </c>
      <c r="FK3" s="9" t="n">
        <v>328.28</v>
      </c>
      <c r="FL3" s="33">
        <f>PERCENTRANK(FK$2:INDEX($FK:$FK,LOOKUP(2,1/(ISNUMBER($A$2:$A$1048576)),ROW($A$2:$A$1048576))),FK3)</f>
        <v/>
      </c>
      <c r="FM3" s="39">
        <f>SWA2-(FK3-FK$106)/FK$107</f>
        <v/>
      </c>
      <c r="FN3" s="9" t="n">
        <v>250.67</v>
      </c>
      <c r="FO3" s="9" t="n">
        <v>76.36</v>
      </c>
      <c r="FP3" s="9" t="n">
        <v>54.97</v>
      </c>
      <c r="FQ3" s="9" t="n">
        <v>121</v>
      </c>
      <c r="FR3" s="9" t="n">
        <v>24.22</v>
      </c>
      <c r="FS3" s="9" t="n">
        <v>47.42</v>
      </c>
      <c r="FT3" s="9" t="n">
        <v>49.36</v>
      </c>
      <c r="FU3" s="9" t="n">
        <v>88.81</v>
      </c>
      <c r="FV3" s="9" t="n">
        <v>50.08</v>
      </c>
      <c r="FW3" s="9" t="n">
        <v>29.36</v>
      </c>
      <c r="FX3" s="9" t="n">
        <v>9.359999999999999</v>
      </c>
      <c r="FY3" s="9" t="n">
        <v>245.42</v>
      </c>
      <c r="FZ3" s="9" t="n">
        <v>115.44</v>
      </c>
      <c r="GA3" s="9" t="n">
        <v>47.04</v>
      </c>
      <c r="GB3" s="9" t="n">
        <v>4.33</v>
      </c>
      <c r="GC3" s="9" t="n">
        <v>1.06</v>
      </c>
      <c r="GD3" s="9" t="n">
        <v>24.36</v>
      </c>
      <c r="GE3" s="9" t="n">
        <v>25.5</v>
      </c>
      <c r="GF3" s="9" t="n">
        <v>5.36</v>
      </c>
      <c r="GG3" s="9" t="n">
        <v>21.02</v>
      </c>
      <c r="GH3" s="9" t="n">
        <v>1.42</v>
      </c>
      <c r="GI3" s="9" t="n">
        <v>0.36</v>
      </c>
      <c r="GJ3" s="9" t="n">
        <v>25.49</v>
      </c>
      <c r="GK3" s="9" t="n">
        <v>30.33</v>
      </c>
      <c r="GL3" s="9" t="n">
        <v>3.28</v>
      </c>
      <c r="GM3" s="9" t="n">
        <v>10.81</v>
      </c>
      <c r="GN3" s="9" t="n">
        <v>4.44</v>
      </c>
      <c r="GO3" s="9" t="n">
        <v>1.42</v>
      </c>
      <c r="GP3" s="9" t="n">
        <v>31.88</v>
      </c>
      <c r="GQ3" s="9" t="n">
        <v>2.92</v>
      </c>
      <c r="GR3" s="9" t="n">
        <v>0.5600000000000001</v>
      </c>
      <c r="GS3" s="9" t="n">
        <v>19.05</v>
      </c>
      <c r="GT3" s="9" t="n">
        <v>0.11</v>
      </c>
      <c r="GU3" s="9" t="n">
        <v>0.08</v>
      </c>
      <c r="GV3" s="9" t="n">
        <v>75</v>
      </c>
      <c r="GW3" s="9" t="n">
        <v>13.33</v>
      </c>
      <c r="GX3" s="9" t="n">
        <v>3.92</v>
      </c>
      <c r="GY3" s="9" t="n">
        <v>29.38</v>
      </c>
      <c r="GZ3" s="9" t="n">
        <v>3.75</v>
      </c>
      <c r="HA3" s="9" t="n">
        <v>4.89</v>
      </c>
      <c r="HB3" s="9" t="n">
        <v>19.67</v>
      </c>
      <c r="HC3" s="9" t="n">
        <v>3.17</v>
      </c>
      <c r="HD3" s="9" t="n">
        <v>7.67</v>
      </c>
      <c r="HE3" s="9" t="n">
        <v>12.97</v>
      </c>
      <c r="HF3" s="9" t="n">
        <v>78.11</v>
      </c>
      <c r="HG3" s="9" t="n">
        <v>30.03</v>
      </c>
      <c r="HH3" s="9" t="n">
        <v>38.44</v>
      </c>
      <c r="HI3" s="9" t="n">
        <v>0.86</v>
      </c>
      <c r="HJ3" s="9" t="n">
        <v>1.81</v>
      </c>
      <c r="HK3" s="9" t="n">
        <v>13.44</v>
      </c>
      <c r="HL3" s="9" t="n">
        <v>5.25</v>
      </c>
      <c r="HM3" s="9" t="n">
        <v>39.05</v>
      </c>
      <c r="HN3" s="9" t="n">
        <v>74.33</v>
      </c>
      <c r="HO3" s="9" t="n">
        <v>44.94</v>
      </c>
      <c r="HP3" s="9" t="n">
        <v>60.46</v>
      </c>
      <c r="HQ3" s="9" t="n">
        <v>51.42</v>
      </c>
      <c r="HR3" s="9" t="n">
        <v>23.64</v>
      </c>
      <c r="HS3" s="9" t="n">
        <v>45.98</v>
      </c>
      <c r="HT3" s="9" t="n">
        <v>4.36</v>
      </c>
      <c r="HU3" s="9" t="n">
        <v>2.08</v>
      </c>
      <c r="HV3" s="9" t="n">
        <v>47.77</v>
      </c>
      <c r="HW3" s="9" t="n">
        <v>45.81</v>
      </c>
      <c r="HX3" s="9" t="n">
        <v>23.44</v>
      </c>
      <c r="HY3" s="9" t="n">
        <v>13.89</v>
      </c>
      <c r="HZ3" s="9" t="n">
        <v>2.75</v>
      </c>
      <c r="IA3" s="9" t="n">
        <v>0.19</v>
      </c>
      <c r="IB3" s="9" t="n">
        <v>134.67</v>
      </c>
      <c r="IC3" s="9" t="n">
        <v>91.56</v>
      </c>
      <c r="ID3" s="9" t="n">
        <v>67.98999999999999</v>
      </c>
      <c r="IE3" s="9" t="n">
        <v>43.28</v>
      </c>
      <c r="IF3" s="9" t="n">
        <v>39.39</v>
      </c>
      <c r="IG3" s="9" t="n">
        <v>91.01000000000001</v>
      </c>
      <c r="IH3" s="9" t="n">
        <v>100.08</v>
      </c>
      <c r="II3" s="9" t="n">
        <v>81.86</v>
      </c>
      <c r="IJ3" s="9" t="n">
        <v>81.79000000000001</v>
      </c>
      <c r="IK3" s="9" t="n">
        <v>48.92</v>
      </c>
      <c r="IL3" s="9" t="n">
        <v>26.22</v>
      </c>
      <c r="IM3" s="9" t="n">
        <v>53.61</v>
      </c>
      <c r="IN3" s="9" t="n">
        <v>46.5</v>
      </c>
      <c r="IO3" s="9" t="n">
        <v>29.92</v>
      </c>
      <c r="IP3" s="9" t="n">
        <v>64.34</v>
      </c>
      <c r="IQ3" s="9" t="n">
        <v>71.08</v>
      </c>
      <c r="IR3" s="9" t="n">
        <v>47.56</v>
      </c>
      <c r="IS3" s="9" t="n">
        <v>66.90000000000001</v>
      </c>
      <c r="IT3" s="33">
        <f>PERCENTRANK(IS$2:INDEX($IS:$IS,LOOKUP(2,1/(ISNUMBER($A$2:$A$1048576)),ROW($A$2:$A$1048576))),IS3)</f>
        <v/>
      </c>
      <c r="IU3" s="39">
        <f>1-(IS3-IS$106)/IS$107</f>
        <v/>
      </c>
      <c r="IV3" s="9" t="n">
        <v>2.72</v>
      </c>
      <c r="IW3" s="9" t="n">
        <v>1.14</v>
      </c>
      <c r="IX3" s="9" t="n">
        <v>41.84</v>
      </c>
      <c r="IY3" s="9" t="n">
        <v>24.83</v>
      </c>
      <c r="IZ3" s="9" t="n">
        <v>21.5</v>
      </c>
      <c r="JA3" s="9" t="n">
        <v>86.58</v>
      </c>
      <c r="JB3" s="9" t="n">
        <v>10.11</v>
      </c>
      <c r="JC3" s="9" t="n">
        <v>14.72</v>
      </c>
      <c r="JD3" s="9" t="n">
        <v>2.78</v>
      </c>
      <c r="JE3" s="9" t="n">
        <v>15.39</v>
      </c>
      <c r="JF3" s="9" t="n">
        <v>19.22</v>
      </c>
      <c r="JG3" s="9" t="n">
        <v>20.36</v>
      </c>
      <c r="JH3" s="9" t="n">
        <v>6.92</v>
      </c>
    </row>
    <row r="4">
      <c r="A4" s="12" t="n">
        <v>2025</v>
      </c>
      <c r="B4" s="31" t="inlineStr">
        <is>
          <t>Louisville City</t>
        </is>
      </c>
      <c r="C4" s="12" t="n">
        <v>73</v>
      </c>
      <c r="D4" s="5">
        <f>(C4-AVERAGE($C$2:INDEX($C:$C,LOOKUP(2,1/(ISNUMBER($A$2:$A$1048576)),ROW($A$2:$A$1048576)))))/_xlfn.STDEV.P($C$2:INDEX($C:$C,LOOKUP(2,1/(ISNUMBER($A$2:$A$1048576)),ROW($A$2:$A$1048576))))</f>
        <v/>
      </c>
      <c r="E4" s="12" t="n">
        <v>1</v>
      </c>
      <c r="F4" s="6">
        <f>-E4</f>
        <v/>
      </c>
      <c r="G4" s="7">
        <f>(F4-AVERAGE($F$2:INDEX($F:$F,LOOKUP(2,1/(ISNUMBER($A$2:$A$1048576)),ROW($A$2:$A$1048576)))))/_xlfn.STDEV.P($F$2:INDEX($F:$F,LOOKUP(2,1/(ISNUMBER($A$2:$A$1048576)),ROW($A$2:$A$1048576))))</f>
        <v/>
      </c>
      <c r="H4" s="32">
        <f>sum(0.5*D4)+(0.5*G4)</f>
        <v/>
      </c>
      <c r="I4" s="12" t="inlineStr">
        <is>
          <t>East</t>
        </is>
      </c>
      <c r="J4" s="10">
        <f>sum(L4*L$105)+(N4*N$105)+(P4*P$105)+(T4*R$105)</f>
        <v/>
      </c>
      <c r="K4" s="33">
        <f>PERCENTRANK(J$2:INDEX($J:$J,LOOKUP(2,1/(ISNUMBER($A$2:$A$1048576)),ROW($A$2:$A$1048576))),J4)</f>
        <v/>
      </c>
      <c r="L4" s="10">
        <f>sum(AA4*0.66)+(AD4*0.55)+(AG4*0.59)+(CG4*0.51)+(CL4*0.6)+(EY4*0.31)</f>
        <v/>
      </c>
      <c r="M4" s="33">
        <f>PERCENTRANK(L$2:INDEX($L:$L,LOOKUP(2,1/(ISNUMBER($A$2:$A$1048576)),ROW($A$2:$A$1048576))),L4)</f>
        <v/>
      </c>
      <c r="N4" s="10">
        <f>sum(CT4*0.57)+(CW4*0.71)+(DJ4*0.08)+(FC4*0.33)+(FG4*0.69)+(FM4*0.26)+(IU4*0.54)+(AU4*0.4)</f>
        <v/>
      </c>
      <c r="O4" s="33">
        <f>PERCENTRANK(N$2:INDEX($N:$N,LOOKUP(2,1/(ISNUMBER($A$2:$A$1048576)),ROW($A$2:$A$1048576))),N4)</f>
        <v/>
      </c>
      <c r="P4" s="10">
        <f>sum(BG4*0.51)+(CD4*0.51)+(DR4*0.11)+(EF4*0.42)+(EK4*0.44)+(W4*0.6)</f>
        <v/>
      </c>
      <c r="Q4" s="33">
        <f>PERCENTRANK(P$2:INDEX($P:$P,LOOKUP(2,1/(ISNUMBER($A$2:$A$1048576)),ROW($A$2:$A$1048576))),P4)</f>
        <v/>
      </c>
      <c r="R4" s="10">
        <f>sum(Y4-FE4)</f>
        <v/>
      </c>
      <c r="S4" s="33">
        <f>PERCENTRANK(R$2:INDEX($R:$R,LOOKUP(2,1/(ISNUMBER($A$2:$A$1048576)),ROW($A$2:$A$1048576))),R4)</f>
        <v/>
      </c>
      <c r="T4" s="34">
        <f>sum(R4-R$106)/R$107</f>
        <v/>
      </c>
      <c r="U4" s="35">
        <f>sum(Y4/AI4)*100</f>
        <v/>
      </c>
      <c r="V4" s="33">
        <f>PERCENTRANK(U$2:INDEX($U:$U,LOOKUP(2,1/(ISNUMBER($A$2:$A$1048576)),ROW($A$2:$A$1048576))),U4)</f>
        <v/>
      </c>
      <c r="W4" s="36">
        <f>sum(U4-U$106)/U$107</f>
        <v/>
      </c>
      <c r="X4" s="9" t="n">
        <v>1.81</v>
      </c>
      <c r="Y4" s="9" t="n">
        <v>1.58</v>
      </c>
      <c r="Z4" s="33">
        <f>PERCENTRANK(Y$2:INDEX($Y:$Y,LOOKUP(2,1/(ISNUMBER($A$2:$A$1048576)),ROW($A$2:$A$1048576))),Y4)</f>
        <v/>
      </c>
      <c r="AA4" s="37">
        <f>sum(Y4-Y$106)/Y$107</f>
        <v/>
      </c>
      <c r="AB4" s="9" t="n">
        <v>12.94</v>
      </c>
      <c r="AC4" s="33">
        <f>PERCENTRANK(AB$2:INDEX($AB:$AB,LOOKUP(2,1/(ISNUMBER($A$2:$A$1048576)),ROW($A$2:$A$1048576))),AB4)</f>
        <v/>
      </c>
      <c r="AD4" s="38">
        <f>sum(AB4-AB$106)/AB$107</f>
        <v/>
      </c>
      <c r="AE4" s="9" t="n">
        <v>4.55</v>
      </c>
      <c r="AF4" s="33">
        <f>PERCENTRANK(AE$2:INDEX($AE:$AE,LOOKUP(2,1/(ISNUMBER($A$2:$A$1048576)),ROW($A$2:$A$1048576))),AE4)</f>
        <v/>
      </c>
      <c r="AG4" s="38">
        <f>sum(AE4-AE$106)/AE$107</f>
        <v/>
      </c>
      <c r="AH4" s="9" t="n">
        <v>35.16</v>
      </c>
      <c r="AI4" s="9" t="n">
        <v>324.52</v>
      </c>
      <c r="AJ4" s="9" t="n">
        <v>249.52</v>
      </c>
      <c r="AK4" s="9" t="n">
        <v>76.89</v>
      </c>
      <c r="AL4" s="9" t="n">
        <v>45.69</v>
      </c>
      <c r="AM4" s="9" t="n">
        <v>115.26</v>
      </c>
      <c r="AN4" s="9" t="n">
        <v>17.87</v>
      </c>
      <c r="AO4" s="9" t="n">
        <v>37.58</v>
      </c>
      <c r="AP4" s="9" t="n">
        <v>59.81</v>
      </c>
      <c r="AQ4" s="9" t="n">
        <v>84.81</v>
      </c>
      <c r="AR4" s="9" t="n">
        <v>32.16</v>
      </c>
      <c r="AS4" s="9" t="n">
        <v>37.71</v>
      </c>
      <c r="AT4" s="33">
        <f>PERCENTRANK(AS$2:INDEX($AS:$AS,LOOKUP(2,1/(ISNUMBER($A$2:$A$1048576)),ROW($A$2:$A$1048576))),AS4)</f>
        <v/>
      </c>
      <c r="AU4" s="39">
        <f>SUM(AS4-AS$106)/AS$107</f>
        <v/>
      </c>
      <c r="AV4" s="9" t="n">
        <v>14.94</v>
      </c>
      <c r="AW4" s="33">
        <f>PERCENTRANK(AV$2:INDEX($AV:$AV,LOOKUP(2,1/(ISNUMBER($A$2:$A$1048576)),ROW($A$2:$A$1048576))),AV4)</f>
        <v/>
      </c>
      <c r="AX4" s="9" t="n">
        <v>188</v>
      </c>
      <c r="AY4" s="9" t="n">
        <v>93.13</v>
      </c>
      <c r="AZ4" s="9" t="n">
        <v>49.54</v>
      </c>
      <c r="BA4" s="9" t="n">
        <v>4.61</v>
      </c>
      <c r="BB4" s="9" t="n">
        <v>0.97</v>
      </c>
      <c r="BC4" s="9" t="n">
        <v>20.98</v>
      </c>
      <c r="BD4" s="9" t="n">
        <v>31.19</v>
      </c>
      <c r="BE4" s="9" t="n">
        <v>8.77</v>
      </c>
      <c r="BF4" s="33">
        <f>PERCENTRANK(BE$2:INDEX($BE:$BE,LOOKUP(2,1/(ISNUMBER($A$2:$A$1048576)),ROW($A$2:$A$1048576))),BE4)</f>
        <v/>
      </c>
      <c r="BG4" s="40">
        <f>sum(BE4-BE$106)/BE$107</f>
        <v/>
      </c>
      <c r="BH4" s="9" t="n">
        <v>28.13</v>
      </c>
      <c r="BI4" s="9" t="n">
        <v>0.68</v>
      </c>
      <c r="BJ4" s="9" t="n">
        <v>0.32</v>
      </c>
      <c r="BK4" s="9" t="n">
        <v>47.62</v>
      </c>
      <c r="BL4" s="9" t="n">
        <v>24.23</v>
      </c>
      <c r="BM4" s="9" t="n">
        <v>3.39</v>
      </c>
      <c r="BN4" s="9" t="n">
        <v>13.98</v>
      </c>
      <c r="BO4" s="9" t="n">
        <v>6.42</v>
      </c>
      <c r="BP4" s="9" t="n">
        <v>1.74</v>
      </c>
      <c r="BQ4" s="9" t="n">
        <v>27.14</v>
      </c>
      <c r="BR4" s="9" t="n">
        <v>2.71</v>
      </c>
      <c r="BS4" s="9" t="n">
        <v>0.87</v>
      </c>
      <c r="BT4" s="9" t="n">
        <v>32.14</v>
      </c>
      <c r="BU4" s="9" t="n">
        <v>0.1</v>
      </c>
      <c r="BV4" s="9" t="n">
        <v>0.03</v>
      </c>
      <c r="BW4" s="9" t="n">
        <v>33.33</v>
      </c>
      <c r="BX4" s="9" t="n">
        <v>19.06</v>
      </c>
      <c r="BY4" s="9" t="n">
        <v>6.97</v>
      </c>
      <c r="BZ4" s="9" t="n">
        <v>36.55</v>
      </c>
      <c r="CA4" s="9" t="n">
        <v>6.71</v>
      </c>
      <c r="CB4" s="9" t="n">
        <v>6.81</v>
      </c>
      <c r="CC4" s="33">
        <f>PERCENTRANK(CD$2:INDEX($CD:$CD,LOOKUP(2,1/(ISNUMBER($A$2:$A$1048576)),ROW($A$2:$A$1048576))),CD4)</f>
        <v/>
      </c>
      <c r="CD4" s="40">
        <f>sum(CB4-CB$106)/CB$107</f>
        <v/>
      </c>
      <c r="CE4" s="9" t="n">
        <v>26.23</v>
      </c>
      <c r="CF4" s="33">
        <f>PERCENTRANK(CE$2:INDEX($CE:$CE,LOOKUP(2,1/(ISNUMBER($A$2:$A$1048576)),ROW($A$2:$A$1048576))),CE4)</f>
        <v/>
      </c>
      <c r="CG4" s="38">
        <f>sum(CE4-CE$106)/CE$107</f>
        <v/>
      </c>
      <c r="CH4" s="9" t="n">
        <v>3.03</v>
      </c>
      <c r="CI4" s="9" t="n">
        <v>12.48</v>
      </c>
      <c r="CJ4" s="9" t="n">
        <v>19.23</v>
      </c>
      <c r="CK4" s="33">
        <f>PERCENTRANK(CJ$2:INDEX($CJ:$CJ,LOOKUP(2,1/(ISNUMBER($A$2:$A$1048576)),ROW($A$2:$A$1048576))),CJ4)</f>
        <v/>
      </c>
      <c r="CL4" s="38">
        <f>sum(CJ4-CJ$106)/CJ$107</f>
        <v/>
      </c>
      <c r="CM4" s="9" t="n">
        <v>51.42</v>
      </c>
      <c r="CN4" s="9" t="n">
        <v>20.9</v>
      </c>
      <c r="CO4" s="9" t="n">
        <v>40.65</v>
      </c>
      <c r="CP4" s="9" t="n">
        <v>2.16</v>
      </c>
      <c r="CQ4" s="9" t="n">
        <v>0.65</v>
      </c>
      <c r="CR4" s="9" t="n">
        <v>9.289999999999999</v>
      </c>
      <c r="CS4" s="33">
        <f>PERCENTRANK(CR$2:INDEX($CR:$CR,LOOKUP(2,1/(ISNUMBER($A$2:$A$1048576)),ROW($A$2:$A$1048576))),CR4)</f>
        <v/>
      </c>
      <c r="CT4" s="39">
        <f>1-(CR4-CR$106)/CR$107</f>
        <v/>
      </c>
      <c r="CU4" s="9" t="n">
        <v>3.45</v>
      </c>
      <c r="CV4" s="33">
        <f>PERCENTRANK(CU$2:INDEX($CU:$CU,LOOKUP(2,1/(ISNUMBER($A$2:$A$1048576)),ROW($A$2:$A$1048576))),CU4)</f>
        <v/>
      </c>
      <c r="CW4" s="39">
        <f>1-(CU4-CU$106)/CU$107</f>
        <v/>
      </c>
      <c r="CX4" s="9" t="n">
        <v>37.15</v>
      </c>
      <c r="CY4" s="9" t="n">
        <v>54.71</v>
      </c>
      <c r="CZ4" s="9" t="n">
        <v>33.48</v>
      </c>
      <c r="DA4" s="9" t="n">
        <v>61.2</v>
      </c>
      <c r="DB4" s="9" t="n">
        <v>58.42</v>
      </c>
      <c r="DC4" s="9" t="n">
        <v>28.52</v>
      </c>
      <c r="DD4" s="9" t="n">
        <v>48.81</v>
      </c>
      <c r="DE4" s="9" t="n">
        <v>2.32</v>
      </c>
      <c r="DF4" s="9" t="n">
        <v>1.03</v>
      </c>
      <c r="DG4" s="9" t="n">
        <v>44.44</v>
      </c>
      <c r="DH4" s="9" t="n">
        <v>35.23</v>
      </c>
      <c r="DI4" s="33">
        <f>PERCENTRANK(DH$2:INDEX($DH:$DH,LOOKUP(2,1/(ISNUMBER($A$2:$A$1048576)),ROW($A$2:$A$1048576))),DH4)</f>
        <v/>
      </c>
      <c r="DJ4" s="39">
        <f>SUM(DH4-DH$106)/DH$107</f>
        <v/>
      </c>
      <c r="DK4" s="9" t="n">
        <v>16.71</v>
      </c>
      <c r="DL4" s="9" t="n">
        <v>13.42</v>
      </c>
      <c r="DM4" s="9" t="n">
        <v>1.71</v>
      </c>
      <c r="DN4" s="9" t="n">
        <v>0.06</v>
      </c>
      <c r="DO4" s="9" t="n">
        <v>127.1</v>
      </c>
      <c r="DP4" s="9" t="n">
        <v>86.03</v>
      </c>
      <c r="DQ4" s="33">
        <f>PERCENTRANK(DP$2:INDEX($DP:$DP,LOOKUP(2,1/(ISNUMBER($A$2:$A$1048576)),ROW($A$2:$A$1048576))),DP4)</f>
        <v/>
      </c>
      <c r="DR4" s="40">
        <f>sum(DP4-DP$106)/DP$107</f>
        <v/>
      </c>
      <c r="DS4" s="9" t="n">
        <v>67.69</v>
      </c>
      <c r="DT4" s="9" t="n">
        <v>41.87</v>
      </c>
      <c r="DU4" s="9" t="n">
        <v>38.39</v>
      </c>
      <c r="DV4" s="9" t="n">
        <v>91.68000000000001</v>
      </c>
      <c r="DW4" s="9" t="n">
        <v>111.19</v>
      </c>
      <c r="DX4" s="9" t="n">
        <v>92.84</v>
      </c>
      <c r="DY4" s="9" t="n">
        <v>83.48999999999999</v>
      </c>
      <c r="DZ4" s="9" t="n">
        <v>45.13</v>
      </c>
      <c r="EA4" s="9" t="n">
        <v>22.03</v>
      </c>
      <c r="EB4" s="9" t="n">
        <v>48.82</v>
      </c>
      <c r="EC4" s="9" t="n">
        <v>54.81</v>
      </c>
      <c r="ED4" s="9" t="n">
        <v>33.71</v>
      </c>
      <c r="EE4" s="33">
        <f>PERCENTRANK(ED$2:INDEX($ED:$ED,LOOKUP(2,1/(ISNUMBER($A$2:$A$1048576)),ROW($A$2:$A$1048576))),ED4)</f>
        <v/>
      </c>
      <c r="EF4" s="40">
        <f>sum(ED4-ED$106)/ED$107</f>
        <v/>
      </c>
      <c r="EG4" s="9" t="n">
        <v>61.51</v>
      </c>
      <c r="EH4" s="9" t="n">
        <v>66.06</v>
      </c>
      <c r="EI4" s="9" t="n">
        <v>49.39</v>
      </c>
      <c r="EJ4" s="33">
        <f>PERCENTRANK(EI$2:INDEX($EI:$EI,LOOKUP(2,1/(ISNUMBER($A$2:$A$1048576)),ROW($A$2:$A$1048576))),EI4)</f>
        <v/>
      </c>
      <c r="EK4" s="40">
        <f>sum(EI4-EI$106)/EI$107</f>
        <v/>
      </c>
      <c r="EL4" s="9" t="n">
        <v>74.76000000000001</v>
      </c>
      <c r="EM4" s="9" t="n">
        <v>0.68</v>
      </c>
      <c r="EN4" s="9" t="n">
        <v>0.19</v>
      </c>
      <c r="EO4" s="9" t="n">
        <v>28.57</v>
      </c>
      <c r="EP4" s="9" t="n">
        <v>22.48</v>
      </c>
      <c r="EQ4" s="9" t="n">
        <v>18.71</v>
      </c>
      <c r="ER4" s="9" t="n">
        <v>83.20999999999999</v>
      </c>
      <c r="ES4" s="9" t="n">
        <v>6.55</v>
      </c>
      <c r="ET4" s="9" t="n">
        <v>15.6</v>
      </c>
      <c r="EU4" s="9" t="n">
        <v>3.08</v>
      </c>
      <c r="EV4" s="9" t="n">
        <v>14.58</v>
      </c>
      <c r="EW4" s="9" t="n">
        <v>17.22</v>
      </c>
      <c r="EX4" s="33">
        <f>PERCENTRANK(EW$2:INDEX($EW:$EW,LOOKUP(2,1/(ISNUMBER($A$2:$A$1048576)),ROW($A$2:$A$1048576))),EW4)</f>
        <v/>
      </c>
      <c r="EY4" s="38">
        <f>1-(EW4-EW$106)/EW$107</f>
        <v/>
      </c>
      <c r="EZ4" s="9" t="n">
        <v>20.87</v>
      </c>
      <c r="FA4" s="9" t="n">
        <v>10.14</v>
      </c>
      <c r="FB4" s="33">
        <f>PERCENTRANK(FA$2:INDEX($FA:$FA,LOOKUP(2,1/(ISNUMBER($A$2:$A$1048576)),ROW($A$2:$A$1048576))),FA4)</f>
        <v/>
      </c>
      <c r="FC4" s="39">
        <f>1-(FA4-FA$106)/FA$107</f>
        <v/>
      </c>
      <c r="FD4" s="9" t="n">
        <v>0.65</v>
      </c>
      <c r="FE4" s="9" t="n">
        <v>0.88</v>
      </c>
      <c r="FF4" s="33">
        <f>PERCENTRANK(FE$2:INDEX($FE:$FE,LOOKUP(2,1/(ISNUMBER($A$2:$A$1048576)),ROW($A$2:$A$1048576))),FE4)</f>
        <v/>
      </c>
      <c r="FG4" s="39">
        <f>1-(FE4-FE$106)/FE$107</f>
        <v/>
      </c>
      <c r="FH4" s="9" t="n">
        <v>9.289999999999999</v>
      </c>
      <c r="FI4" s="9" t="n">
        <v>3.26</v>
      </c>
      <c r="FJ4" s="9" t="n">
        <v>35.07</v>
      </c>
      <c r="FK4" s="9" t="n">
        <v>385.29</v>
      </c>
      <c r="FL4" s="33">
        <f>PERCENTRANK(FK$2:INDEX($FK:$FK,LOOKUP(2,1/(ISNUMBER($A$2:$A$1048576)),ROW($A$2:$A$1048576))),FK4)</f>
        <v/>
      </c>
      <c r="FM4" s="39">
        <f>SWA3-(FK4-FK$106)/FK$107</f>
        <v/>
      </c>
      <c r="FN4" s="9" t="n">
        <v>310.29</v>
      </c>
      <c r="FO4" s="9" t="n">
        <v>80.53</v>
      </c>
      <c r="FP4" s="9" t="n">
        <v>54.31</v>
      </c>
      <c r="FQ4" s="9" t="n">
        <v>119.94</v>
      </c>
      <c r="FR4" s="9" t="n">
        <v>26.74</v>
      </c>
      <c r="FS4" s="9" t="n">
        <v>45.71</v>
      </c>
      <c r="FT4" s="9" t="n">
        <v>47.48</v>
      </c>
      <c r="FU4" s="9" t="n">
        <v>80.58</v>
      </c>
      <c r="FV4" s="9" t="n">
        <v>41.42</v>
      </c>
      <c r="FW4" s="9" t="n">
        <v>29.19</v>
      </c>
      <c r="FX4" s="9" t="n">
        <v>9.970000000000001</v>
      </c>
      <c r="FY4" s="9" t="n">
        <v>188</v>
      </c>
      <c r="FZ4" s="9" t="n">
        <v>85.29000000000001</v>
      </c>
      <c r="GA4" s="9" t="n">
        <v>45.37</v>
      </c>
      <c r="GB4" s="9" t="n">
        <v>3.84</v>
      </c>
      <c r="GC4" s="9" t="n">
        <v>1.23</v>
      </c>
      <c r="GD4" s="9" t="n">
        <v>31.93</v>
      </c>
      <c r="GE4" s="9" t="n">
        <v>23.58</v>
      </c>
      <c r="GF4" s="9" t="n">
        <v>5.81</v>
      </c>
      <c r="GG4" s="9" t="n">
        <v>24.62</v>
      </c>
      <c r="GH4" s="9" t="n">
        <v>0.55</v>
      </c>
      <c r="GI4" s="9" t="n">
        <v>0.23</v>
      </c>
      <c r="GJ4" s="9" t="n">
        <v>41.18</v>
      </c>
      <c r="GK4" s="9" t="n">
        <v>26.71</v>
      </c>
      <c r="GL4" s="9" t="n">
        <v>3</v>
      </c>
      <c r="GM4" s="9" t="n">
        <v>11.23</v>
      </c>
      <c r="GN4" s="9" t="n">
        <v>3.81</v>
      </c>
      <c r="GO4" s="9" t="n">
        <v>1.1</v>
      </c>
      <c r="GP4" s="9" t="n">
        <v>28.81</v>
      </c>
      <c r="GQ4" s="9" t="n">
        <v>2.03</v>
      </c>
      <c r="GR4" s="9" t="n">
        <v>0.48</v>
      </c>
      <c r="GS4" s="9" t="n">
        <v>23.81</v>
      </c>
      <c r="GT4" s="9" t="n">
        <v>0.03</v>
      </c>
      <c r="GU4" s="9" t="n">
        <v>0.03</v>
      </c>
      <c r="GV4" s="9" t="n">
        <v>100</v>
      </c>
      <c r="GW4" s="9" t="n">
        <v>12.65</v>
      </c>
      <c r="GX4" s="9" t="n">
        <v>3.94</v>
      </c>
      <c r="GY4" s="9" t="n">
        <v>31.12</v>
      </c>
      <c r="GZ4" s="9" t="n">
        <v>3.74</v>
      </c>
      <c r="HA4" s="9" t="n">
        <v>4.9</v>
      </c>
      <c r="HB4" s="9" t="n">
        <v>20.29</v>
      </c>
      <c r="HC4" s="9" t="n">
        <v>2.74</v>
      </c>
      <c r="HD4" s="9" t="n">
        <v>8.609999999999999</v>
      </c>
      <c r="HE4" s="9" t="n">
        <v>12.26</v>
      </c>
      <c r="HF4" s="9" t="n">
        <v>54.71</v>
      </c>
      <c r="HG4" s="9" t="n">
        <v>21.23</v>
      </c>
      <c r="HH4" s="9" t="n">
        <v>38.8</v>
      </c>
      <c r="HI4" s="9" t="n">
        <v>1.13</v>
      </c>
      <c r="HJ4" s="9" t="n">
        <v>1.81</v>
      </c>
      <c r="HK4" s="9" t="n">
        <v>12.94</v>
      </c>
      <c r="HL4" s="9" t="n">
        <v>4.81</v>
      </c>
      <c r="HM4" s="9" t="n">
        <v>37.16</v>
      </c>
      <c r="HN4" s="9" t="n">
        <v>51.42</v>
      </c>
      <c r="HO4" s="9" t="n">
        <v>30.52</v>
      </c>
      <c r="HP4" s="9" t="n">
        <v>59.35</v>
      </c>
      <c r="HQ4" s="9" t="n">
        <v>58.42</v>
      </c>
      <c r="HR4" s="9" t="n">
        <v>24.19</v>
      </c>
      <c r="HS4" s="9" t="n">
        <v>41.41</v>
      </c>
      <c r="HT4" s="9" t="n">
        <v>2.58</v>
      </c>
      <c r="HU4" s="9" t="n">
        <v>1.48</v>
      </c>
      <c r="HV4" s="9" t="n">
        <v>57.5</v>
      </c>
      <c r="HW4" s="9" t="n">
        <v>40.16</v>
      </c>
      <c r="HX4" s="9" t="n">
        <v>18.74</v>
      </c>
      <c r="HY4" s="9" t="n">
        <v>11.9</v>
      </c>
      <c r="HZ4" s="9" t="n">
        <v>2.13</v>
      </c>
      <c r="IA4" s="9" t="n">
        <v>0.19</v>
      </c>
      <c r="IB4" s="9" t="n">
        <v>138.9</v>
      </c>
      <c r="IC4" s="9" t="n">
        <v>92.52</v>
      </c>
      <c r="ID4" s="9" t="n">
        <v>66.59999999999999</v>
      </c>
      <c r="IE4" s="9" t="n">
        <v>58.48</v>
      </c>
      <c r="IF4" s="9" t="n">
        <v>54.9</v>
      </c>
      <c r="IG4" s="9" t="n">
        <v>93.88</v>
      </c>
      <c r="IH4" s="9" t="n">
        <v>138.48</v>
      </c>
      <c r="II4" s="9" t="n">
        <v>122.74</v>
      </c>
      <c r="IJ4" s="9" t="n">
        <v>88.63</v>
      </c>
      <c r="IK4" s="9" t="n">
        <v>55.81</v>
      </c>
      <c r="IL4" s="9" t="n">
        <v>28.45</v>
      </c>
      <c r="IM4" s="9" t="n">
        <v>50.98</v>
      </c>
      <c r="IN4" s="9" t="n">
        <v>52.1</v>
      </c>
      <c r="IO4" s="9" t="n">
        <v>32.68</v>
      </c>
      <c r="IP4" s="9" t="n">
        <v>62.72</v>
      </c>
      <c r="IQ4" s="9" t="n">
        <v>71.13</v>
      </c>
      <c r="IR4" s="9" t="n">
        <v>47</v>
      </c>
      <c r="IS4" s="9" t="n">
        <v>66.08</v>
      </c>
      <c r="IT4" s="33">
        <f>PERCENTRANK(IS$2:INDEX($IS:$IS,LOOKUP(2,1/(ISNUMBER($A$2:$A$1048576)),ROW($A$2:$A$1048576))),IS4)</f>
        <v/>
      </c>
      <c r="IU4" s="39">
        <f>1-(IS4-IS$106)/IS$107</f>
        <v/>
      </c>
      <c r="IV4" s="9" t="n">
        <v>0.45</v>
      </c>
      <c r="IW4" s="9" t="n">
        <v>0.16</v>
      </c>
      <c r="IX4" s="9" t="n">
        <v>35.71</v>
      </c>
      <c r="IY4" s="9" t="n">
        <v>22.68</v>
      </c>
      <c r="IZ4" s="9" t="n">
        <v>19.39</v>
      </c>
      <c r="JA4" s="9" t="n">
        <v>85.48999999999999</v>
      </c>
      <c r="JB4" s="9" t="n">
        <v>9.869999999999999</v>
      </c>
      <c r="JC4" s="9" t="n">
        <v>15.53</v>
      </c>
      <c r="JD4" s="9" t="n">
        <v>3.7</v>
      </c>
      <c r="JE4" s="9" t="n">
        <v>15.18</v>
      </c>
      <c r="JF4" s="9" t="n">
        <v>18.15</v>
      </c>
      <c r="JG4" s="9" t="n">
        <v>20.86</v>
      </c>
      <c r="JH4" s="9" t="n">
        <v>10.43</v>
      </c>
    </row>
    <row r="5">
      <c r="A5" s="12" t="n">
        <v>2024</v>
      </c>
      <c r="B5" s="31" t="inlineStr">
        <is>
          <t>Indy Eleven</t>
        </is>
      </c>
      <c r="C5" s="12" t="n">
        <v>51</v>
      </c>
      <c r="D5" s="5">
        <f>(C5-AVERAGE($C$2:INDEX($C:$C,LOOKUP(2,1/(ISNUMBER($A$2:$A$1048576)),ROW($A$2:$A$1048576)))))/_xlfn.STDEV.P($C$2:INDEX($C:$C,LOOKUP(2,1/(ISNUMBER($A$2:$A$1048576)),ROW($A$2:$A$1048576))))</f>
        <v/>
      </c>
      <c r="E5" s="12" t="n">
        <v>4</v>
      </c>
      <c r="F5" s="6">
        <f>-E5</f>
        <v/>
      </c>
      <c r="G5" s="7">
        <f>(F5-AVERAGE($F$2:INDEX($F:$F,LOOKUP(2,1/(ISNUMBER($A$2:$A$1048576)),ROW($A$2:$A$1048576)))))/_xlfn.STDEV.P($F$2:INDEX($F:$F,LOOKUP(2,1/(ISNUMBER($A$2:$A$1048576)),ROW($A$2:$A$1048576))))</f>
        <v/>
      </c>
      <c r="H5" s="32">
        <f>sum(0.5*D5)+(0.5*G5)</f>
        <v/>
      </c>
      <c r="I5" s="12" t="inlineStr">
        <is>
          <t>East</t>
        </is>
      </c>
      <c r="J5" s="10">
        <f>sum(L5*L$105)+(N5*N$105)+(P5*P$105)+(T5*R$105)</f>
        <v/>
      </c>
      <c r="K5" s="33">
        <f>PERCENTRANK(J$2:INDEX($J:$J,LOOKUP(2,1/(ISNUMBER($A$2:$A$1048576)),ROW($A$2:$A$1048576))),J5)</f>
        <v/>
      </c>
      <c r="L5" s="10">
        <f>sum(AA5*0.66)+(AD5*0.55)+(AG5*0.59)+(CG5*0.51)+(CL5*0.6)+(EY5*0.31)</f>
        <v/>
      </c>
      <c r="M5" s="33">
        <f>PERCENTRANK(L$2:INDEX($L:$L,LOOKUP(2,1/(ISNUMBER($A$2:$A$1048576)),ROW($A$2:$A$1048576))),L5)</f>
        <v/>
      </c>
      <c r="N5" s="10">
        <f>sum(CT5*0.57)+(CW5*0.71)+(DJ5*0.08)+(FC5*0.33)+(FG5*0.69)+(FM5*0.26)+(IU5*0.54)+(AU5*0.4)</f>
        <v/>
      </c>
      <c r="O5" s="33">
        <f>PERCENTRANK(N$2:INDEX($N:$N,LOOKUP(2,1/(ISNUMBER($A$2:$A$1048576)),ROW($A$2:$A$1048576))),N5)</f>
        <v/>
      </c>
      <c r="P5" s="10">
        <f>sum(BG5*0.51)+(CD5*0.51)+(DR5*0.11)+(EF5*0.42)+(EK5*0.44)+(W5*0.6)</f>
        <v/>
      </c>
      <c r="Q5" s="33">
        <f>PERCENTRANK(P$2:INDEX($P:$P,LOOKUP(2,1/(ISNUMBER($A$2:$A$1048576)),ROW($A$2:$A$1048576))),P5)</f>
        <v/>
      </c>
      <c r="R5" s="10">
        <f>sum(Y5-FE5)</f>
        <v/>
      </c>
      <c r="S5" s="33">
        <f>PERCENTRANK(R$2:INDEX($R:$R,LOOKUP(2,1/(ISNUMBER($A$2:$A$1048576)),ROW($A$2:$A$1048576))),R5)</f>
        <v/>
      </c>
      <c r="T5" s="34">
        <f>sum(R5-R$106)/R$107</f>
        <v/>
      </c>
      <c r="U5" s="35">
        <f>sum(Y5/AI5)*100</f>
        <v/>
      </c>
      <c r="V5" s="33">
        <f>PERCENTRANK(U$2:INDEX($U:$U,LOOKUP(2,1/(ISNUMBER($A$2:$A$1048576)),ROW($A$2:$A$1048576))),U5)</f>
        <v/>
      </c>
      <c r="W5" s="36">
        <f>sum(U5-U$106)/U$107</f>
        <v/>
      </c>
      <c r="X5" s="9" t="n">
        <v>1.46</v>
      </c>
      <c r="Y5" s="9" t="n">
        <v>1.36</v>
      </c>
      <c r="Z5" s="33">
        <f>PERCENTRANK(Y$2:INDEX($Y:$Y,LOOKUP(2,1/(ISNUMBER($A$2:$A$1048576)),ROW($A$2:$A$1048576))),Y5)</f>
        <v/>
      </c>
      <c r="AA5" s="37">
        <f>sum(Y5-Y$106)/Y$107</f>
        <v/>
      </c>
      <c r="AB5" s="9" t="n">
        <v>11.54</v>
      </c>
      <c r="AC5" s="33">
        <f>PERCENTRANK(AB$2:INDEX($AB:$AB,LOOKUP(2,1/(ISNUMBER($A$2:$A$1048576)),ROW($A$2:$A$1048576))),AB5)</f>
        <v/>
      </c>
      <c r="AD5" s="38">
        <f>sum(AB5-AB$106)/AB$107</f>
        <v/>
      </c>
      <c r="AE5" s="9" t="n">
        <v>4.37</v>
      </c>
      <c r="AF5" s="33">
        <f>PERCENTRANK(AE$2:INDEX($AE:$AE,LOOKUP(2,1/(ISNUMBER($A$2:$A$1048576)),ROW($A$2:$A$1048576))),AE5)</f>
        <v/>
      </c>
      <c r="AG5" s="38">
        <f>sum(AE5-AE$106)/AE$107</f>
        <v/>
      </c>
      <c r="AH5" s="9" t="n">
        <v>37.87</v>
      </c>
      <c r="AI5" s="9" t="n">
        <v>349.46</v>
      </c>
      <c r="AJ5" s="9" t="n">
        <v>272.29</v>
      </c>
      <c r="AK5" s="9" t="n">
        <v>77.92</v>
      </c>
      <c r="AL5" s="9" t="n">
        <v>45.37</v>
      </c>
      <c r="AM5" s="9" t="n">
        <v>108.14</v>
      </c>
      <c r="AN5" s="9" t="n">
        <v>18.06</v>
      </c>
      <c r="AO5" s="9" t="n">
        <v>31.86</v>
      </c>
      <c r="AP5" s="9" t="n">
        <v>58.23</v>
      </c>
      <c r="AQ5" s="9" t="n">
        <v>82.63</v>
      </c>
      <c r="AR5" s="9" t="n">
        <v>34.86</v>
      </c>
      <c r="AS5" s="9" t="n">
        <v>33.06</v>
      </c>
      <c r="AT5" s="33">
        <f>PERCENTRANK(AS$2:INDEX($AS:$AS,LOOKUP(2,1/(ISNUMBER($A$2:$A$1048576)),ROW($A$2:$A$1048576))),AS5)</f>
        <v/>
      </c>
      <c r="AU5" s="39">
        <f>SUM(AS5-AS$106)/AS$107</f>
        <v/>
      </c>
      <c r="AV5" s="9" t="n">
        <v>14.71</v>
      </c>
      <c r="AW5" s="33">
        <f>PERCENTRANK(AV$2:INDEX($AV:$AV,LOOKUP(2,1/(ISNUMBER($A$2:$A$1048576)),ROW($A$2:$A$1048576))),AV5)</f>
        <v/>
      </c>
      <c r="AX5" s="9" t="n">
        <v>193.29</v>
      </c>
      <c r="AY5" s="9" t="n">
        <v>88.8</v>
      </c>
      <c r="AZ5" s="9" t="n">
        <v>45.94</v>
      </c>
      <c r="BA5" s="9" t="n">
        <v>4.77</v>
      </c>
      <c r="BB5" s="9" t="n">
        <v>1.63</v>
      </c>
      <c r="BC5" s="9" t="n">
        <v>34.13</v>
      </c>
      <c r="BD5" s="9" t="n">
        <v>30.23</v>
      </c>
      <c r="BE5" s="9" t="n">
        <v>6.66</v>
      </c>
      <c r="BF5" s="33">
        <f>PERCENTRANK(BE$2:INDEX($BE:$BE,LOOKUP(2,1/(ISNUMBER($A$2:$A$1048576)),ROW($A$2:$A$1048576))),BE5)</f>
        <v/>
      </c>
      <c r="BG5" s="40">
        <f>sum(BE5-BE$106)/BE$107</f>
        <v/>
      </c>
      <c r="BH5" s="9" t="n">
        <v>22.02</v>
      </c>
      <c r="BI5" s="9" t="n">
        <v>1.23</v>
      </c>
      <c r="BJ5" s="9" t="n">
        <v>0.57</v>
      </c>
      <c r="BK5" s="9" t="n">
        <v>46.51</v>
      </c>
      <c r="BL5" s="9" t="n">
        <v>25.37</v>
      </c>
      <c r="BM5" s="9" t="n">
        <v>3.51</v>
      </c>
      <c r="BN5" s="9" t="n">
        <v>13.85</v>
      </c>
      <c r="BO5" s="9" t="n">
        <v>5.23</v>
      </c>
      <c r="BP5" s="9" t="n">
        <v>1.2</v>
      </c>
      <c r="BQ5" s="9" t="n">
        <v>22.95</v>
      </c>
      <c r="BR5" s="9" t="n">
        <v>2.23</v>
      </c>
      <c r="BS5" s="9" t="n">
        <v>0.66</v>
      </c>
      <c r="BT5" s="9" t="n">
        <v>29.49</v>
      </c>
      <c r="BU5" s="9" t="n">
        <v>0.2</v>
      </c>
      <c r="BV5" s="9" t="n">
        <v>0.2</v>
      </c>
      <c r="BW5" s="9" t="n">
        <v>100</v>
      </c>
      <c r="BX5" s="9" t="n">
        <v>19.23</v>
      </c>
      <c r="BY5" s="9" t="n">
        <v>5.34</v>
      </c>
      <c r="BZ5" s="9" t="n">
        <v>27.79</v>
      </c>
      <c r="CA5" s="9" t="n">
        <v>5.2</v>
      </c>
      <c r="CB5" s="9" t="n">
        <v>6.86</v>
      </c>
      <c r="CC5" s="33">
        <f>PERCENTRANK(CD$2:INDEX($CD:$CD,LOOKUP(2,1/(ISNUMBER($A$2:$A$1048576)),ROW($A$2:$A$1048576))),CD5)</f>
        <v/>
      </c>
      <c r="CD5" s="40">
        <f>sum(CB5-CB$106)/CB$107</f>
        <v/>
      </c>
      <c r="CE5" s="9" t="n">
        <v>25.2</v>
      </c>
      <c r="CF5" s="33">
        <f>PERCENTRANK(CE$2:INDEX($CE:$CE,LOOKUP(2,1/(ISNUMBER($A$2:$A$1048576)),ROW($A$2:$A$1048576))),CE5)</f>
        <v/>
      </c>
      <c r="CG5" s="38">
        <f>sum(CE5-CE$106)/CE$107</f>
        <v/>
      </c>
      <c r="CH5" s="9" t="n">
        <v>2.57</v>
      </c>
      <c r="CI5" s="9" t="n">
        <v>11.8</v>
      </c>
      <c r="CJ5" s="9" t="n">
        <v>16.97</v>
      </c>
      <c r="CK5" s="33">
        <f>PERCENTRANK(CJ$2:INDEX($CJ:$CJ,LOOKUP(2,1/(ISNUMBER($A$2:$A$1048576)),ROW($A$2:$A$1048576))),CJ5)</f>
        <v/>
      </c>
      <c r="CL5" s="38">
        <f>sum(CJ5-CJ$106)/CJ$107</f>
        <v/>
      </c>
      <c r="CM5" s="9" t="n">
        <v>55.89</v>
      </c>
      <c r="CN5" s="9" t="n">
        <v>20.77</v>
      </c>
      <c r="CO5" s="9" t="n">
        <v>37.17</v>
      </c>
      <c r="CP5" s="9" t="n">
        <v>1.83</v>
      </c>
      <c r="CQ5" s="9" t="n">
        <v>1.51</v>
      </c>
      <c r="CR5" s="9" t="n">
        <v>12.4</v>
      </c>
      <c r="CS5" s="33">
        <f>PERCENTRANK(CR$2:INDEX($CR:$CR,LOOKUP(2,1/(ISNUMBER($A$2:$A$1048576)),ROW($A$2:$A$1048576))),CR5)</f>
        <v/>
      </c>
      <c r="CT5" s="39">
        <f>1-(CR5-CR$106)/CR$107</f>
        <v/>
      </c>
      <c r="CU5" s="9" t="n">
        <v>4.51</v>
      </c>
      <c r="CV5" s="33">
        <f>PERCENTRANK(CU$2:INDEX($CU:$CU,LOOKUP(2,1/(ISNUMBER($A$2:$A$1048576)),ROW($A$2:$A$1048576))),CU5)</f>
        <v/>
      </c>
      <c r="CW5" s="39">
        <f>1-(CU5-CU$106)/CU$107</f>
        <v/>
      </c>
      <c r="CX5" s="9" t="n">
        <v>36.41</v>
      </c>
      <c r="CY5" s="9" t="n">
        <v>64.45999999999999</v>
      </c>
      <c r="CZ5" s="9" t="n">
        <v>37.89</v>
      </c>
      <c r="DA5" s="9" t="n">
        <v>58.78</v>
      </c>
      <c r="DB5" s="9" t="n">
        <v>41.51</v>
      </c>
      <c r="DC5" s="9" t="n">
        <v>18.26</v>
      </c>
      <c r="DD5" s="9" t="n">
        <v>43.98</v>
      </c>
      <c r="DE5" s="9" t="n">
        <v>2.89</v>
      </c>
      <c r="DF5" s="9" t="n">
        <v>1.51</v>
      </c>
      <c r="DG5" s="9" t="n">
        <v>52.48</v>
      </c>
      <c r="DH5" s="9" t="n">
        <v>37.6</v>
      </c>
      <c r="DI5" s="33">
        <f>PERCENTRANK(DH$2:INDEX($DH:$DH,LOOKUP(2,1/(ISNUMBER($A$2:$A$1048576)),ROW($A$2:$A$1048576))),DH5)</f>
        <v/>
      </c>
      <c r="DJ5" s="39">
        <f>SUM(DH5-DH$106)/DH$107</f>
        <v/>
      </c>
      <c r="DK5" s="9" t="n">
        <v>15.91</v>
      </c>
      <c r="DL5" s="9" t="n">
        <v>14.89</v>
      </c>
      <c r="DM5" s="9" t="n">
        <v>2.63</v>
      </c>
      <c r="DN5" s="9" t="n">
        <v>0.06</v>
      </c>
      <c r="DO5" s="9" t="n">
        <v>132.23</v>
      </c>
      <c r="DP5" s="9" t="n">
        <v>91.31</v>
      </c>
      <c r="DQ5" s="33">
        <f>PERCENTRANK(DP$2:INDEX($DP:$DP,LOOKUP(2,1/(ISNUMBER($A$2:$A$1048576)),ROW($A$2:$A$1048576))),DP5)</f>
        <v/>
      </c>
      <c r="DR5" s="40">
        <f>sum(DP5-DP$106)/DP$107</f>
        <v/>
      </c>
      <c r="DS5" s="9" t="n">
        <v>69.06</v>
      </c>
      <c r="DT5" s="9" t="n">
        <v>48.49</v>
      </c>
      <c r="DU5" s="9" t="n">
        <v>44.74</v>
      </c>
      <c r="DV5" s="9" t="n">
        <v>92.28</v>
      </c>
      <c r="DW5" s="9" t="n">
        <v>117.4</v>
      </c>
      <c r="DX5" s="9" t="n">
        <v>97.14</v>
      </c>
      <c r="DY5" s="9" t="n">
        <v>82.75</v>
      </c>
      <c r="DZ5" s="9" t="n">
        <v>47.51</v>
      </c>
      <c r="EA5" s="9" t="n">
        <v>24.74</v>
      </c>
      <c r="EB5" s="9" t="n">
        <v>52.07</v>
      </c>
      <c r="EC5" s="9" t="n">
        <v>58</v>
      </c>
      <c r="ED5" s="9" t="n">
        <v>37.09</v>
      </c>
      <c r="EE5" s="33">
        <f>PERCENTRANK(ED$2:INDEX($ED:$ED,LOOKUP(2,1/(ISNUMBER($A$2:$A$1048576)),ROW($A$2:$A$1048576))),ED5)</f>
        <v/>
      </c>
      <c r="EF5" s="40">
        <f>sum(ED5-ED$106)/ED$107</f>
        <v/>
      </c>
      <c r="EG5" s="9" t="n">
        <v>63.94</v>
      </c>
      <c r="EH5" s="9" t="n">
        <v>68.40000000000001</v>
      </c>
      <c r="EI5" s="9" t="n">
        <v>51.43</v>
      </c>
      <c r="EJ5" s="33">
        <f>PERCENTRANK(EI$2:INDEX($EI:$EI,LOOKUP(2,1/(ISNUMBER($A$2:$A$1048576)),ROW($A$2:$A$1048576))),EI5)</f>
        <v/>
      </c>
      <c r="EK5" s="40">
        <f>sum(EI5-EI$106)/EI$107</f>
        <v/>
      </c>
      <c r="EL5" s="9" t="n">
        <v>75.19</v>
      </c>
      <c r="EM5" s="9" t="n">
        <v>1.37</v>
      </c>
      <c r="EN5" s="9" t="n">
        <v>0.49</v>
      </c>
      <c r="EO5" s="9" t="n">
        <v>35.42</v>
      </c>
      <c r="EP5" s="9" t="n">
        <v>22.11</v>
      </c>
      <c r="EQ5" s="9" t="n">
        <v>18.23</v>
      </c>
      <c r="ER5" s="9" t="n">
        <v>82.43000000000001</v>
      </c>
      <c r="ES5" s="9" t="n">
        <v>8.43</v>
      </c>
      <c r="ET5" s="9" t="n">
        <v>16.12</v>
      </c>
      <c r="EU5" s="9" t="n">
        <v>3.32</v>
      </c>
      <c r="EV5" s="9" t="n">
        <v>14.21</v>
      </c>
      <c r="EW5" s="9" t="n">
        <v>18.4</v>
      </c>
      <c r="EX5" s="33">
        <f>PERCENTRANK(EW$2:INDEX($EW:$EW,LOOKUP(2,1/(ISNUMBER($A$2:$A$1048576)),ROW($A$2:$A$1048576))),EW5)</f>
        <v/>
      </c>
      <c r="EY5" s="38">
        <f>1-(EW5-EW$106)/EW$107</f>
        <v/>
      </c>
      <c r="EZ5" s="9" t="n">
        <v>20.5</v>
      </c>
      <c r="FA5" s="9" t="n">
        <v>10.18</v>
      </c>
      <c r="FB5" s="33">
        <f>PERCENTRANK(FA$2:INDEX($FA:$FA,LOOKUP(2,1/(ISNUMBER($A$2:$A$1048576)),ROW($A$2:$A$1048576))),FA5)</f>
        <v/>
      </c>
      <c r="FC5" s="39">
        <f>1-(FA5-FA$106)/FA$107</f>
        <v/>
      </c>
      <c r="FD5" s="9" t="n">
        <v>1.51</v>
      </c>
      <c r="FE5" s="9" t="n">
        <v>1.39</v>
      </c>
      <c r="FF5" s="33">
        <f>PERCENTRANK(FE$2:INDEX($FE:$FE,LOOKUP(2,1/(ISNUMBER($A$2:$A$1048576)),ROW($A$2:$A$1048576))),FE5)</f>
        <v/>
      </c>
      <c r="FG5" s="39">
        <f>1-(FE5-FE$106)/FE$107</f>
        <v/>
      </c>
      <c r="FH5" s="9" t="n">
        <v>12.4</v>
      </c>
      <c r="FI5" s="9" t="n">
        <v>4.26</v>
      </c>
      <c r="FJ5" s="9" t="n">
        <v>34.33</v>
      </c>
      <c r="FK5" s="9" t="n">
        <v>405.03</v>
      </c>
      <c r="FL5" s="33">
        <f>PERCENTRANK(FK$2:INDEX($FK:$FK,LOOKUP(2,1/(ISNUMBER($A$2:$A$1048576)),ROW($A$2:$A$1048576))),FK5)</f>
        <v/>
      </c>
      <c r="FM5" s="39">
        <f>SWA4-(FK5-FK$106)/FK$107</f>
        <v/>
      </c>
      <c r="FN5" s="9" t="n">
        <v>330.17</v>
      </c>
      <c r="FO5" s="9" t="n">
        <v>81.52</v>
      </c>
      <c r="FP5" s="9" t="n">
        <v>54.63</v>
      </c>
      <c r="FQ5" s="9" t="n">
        <v>111.8</v>
      </c>
      <c r="FR5" s="9" t="n">
        <v>24.4</v>
      </c>
      <c r="FS5" s="9" t="n">
        <v>39.69</v>
      </c>
      <c r="FT5" s="9" t="n">
        <v>47.71</v>
      </c>
      <c r="FU5" s="9" t="n">
        <v>82.09</v>
      </c>
      <c r="FV5" s="9" t="n">
        <v>43.23</v>
      </c>
      <c r="FW5" s="9" t="n">
        <v>28.91</v>
      </c>
      <c r="FX5" s="9" t="n">
        <v>9.94</v>
      </c>
      <c r="FY5" s="9" t="n">
        <v>193.29</v>
      </c>
      <c r="FZ5" s="9" t="n">
        <v>95.89</v>
      </c>
      <c r="GA5" s="9" t="n">
        <v>49.61</v>
      </c>
      <c r="GB5" s="9" t="n">
        <v>5.54</v>
      </c>
      <c r="GC5" s="9" t="n">
        <v>1.31</v>
      </c>
      <c r="GD5" s="9" t="n">
        <v>23.71</v>
      </c>
      <c r="GE5" s="9" t="n">
        <v>27.23</v>
      </c>
      <c r="GF5" s="9" t="n">
        <v>7.66</v>
      </c>
      <c r="GG5" s="9" t="n">
        <v>28.12</v>
      </c>
      <c r="GH5" s="9" t="n">
        <v>0.9399999999999999</v>
      </c>
      <c r="GI5" s="9" t="n">
        <v>0.51</v>
      </c>
      <c r="GJ5" s="9" t="n">
        <v>54.55</v>
      </c>
      <c r="GK5" s="9" t="n">
        <v>28.8</v>
      </c>
      <c r="GL5" s="9" t="n">
        <v>3.69</v>
      </c>
      <c r="GM5" s="9" t="n">
        <v>12.8</v>
      </c>
      <c r="GN5" s="9" t="n">
        <v>5.2</v>
      </c>
      <c r="GO5" s="9" t="n">
        <v>1.51</v>
      </c>
      <c r="GP5" s="9" t="n">
        <v>29.12</v>
      </c>
      <c r="GQ5" s="9" t="n">
        <v>2.29</v>
      </c>
      <c r="GR5" s="9" t="n">
        <v>0.57</v>
      </c>
      <c r="GS5" s="9" t="n">
        <v>25</v>
      </c>
      <c r="GT5" s="9" t="n">
        <v>0.09</v>
      </c>
      <c r="GU5" s="9" t="n">
        <v>0.06</v>
      </c>
      <c r="GV5" s="9" t="n">
        <v>66.67</v>
      </c>
      <c r="GW5" s="9" t="n">
        <v>14.8</v>
      </c>
      <c r="GX5" s="9" t="n">
        <v>4.8</v>
      </c>
      <c r="GY5" s="9" t="n">
        <v>32.43</v>
      </c>
      <c r="GZ5" s="9" t="n">
        <v>4.86</v>
      </c>
      <c r="HA5" s="9" t="n">
        <v>7.49</v>
      </c>
      <c r="HB5" s="9" t="n">
        <v>25.89</v>
      </c>
      <c r="HC5" s="9" t="n">
        <v>4.11</v>
      </c>
      <c r="HD5" s="9" t="n">
        <v>9.26</v>
      </c>
      <c r="HE5" s="9" t="n">
        <v>17.6</v>
      </c>
      <c r="HF5" s="9" t="n">
        <v>64.45999999999999</v>
      </c>
      <c r="HG5" s="9" t="n">
        <v>26.57</v>
      </c>
      <c r="HH5" s="9" t="n">
        <v>41.22</v>
      </c>
      <c r="HI5" s="9" t="n">
        <v>1.71</v>
      </c>
      <c r="HJ5" s="9" t="n">
        <v>1.46</v>
      </c>
      <c r="HK5" s="9" t="n">
        <v>11.54</v>
      </c>
      <c r="HL5" s="9" t="n">
        <v>4.51</v>
      </c>
      <c r="HM5" s="9" t="n">
        <v>39.11</v>
      </c>
      <c r="HN5" s="9" t="n">
        <v>55.89</v>
      </c>
      <c r="HO5" s="9" t="n">
        <v>35.11</v>
      </c>
      <c r="HP5" s="9" t="n">
        <v>62.83</v>
      </c>
      <c r="HQ5" s="9" t="n">
        <v>41.51</v>
      </c>
      <c r="HR5" s="9" t="n">
        <v>19.89</v>
      </c>
      <c r="HS5" s="9" t="n">
        <v>47.9</v>
      </c>
      <c r="HT5" s="9" t="n">
        <v>1.86</v>
      </c>
      <c r="HU5" s="9" t="n">
        <v>0.6</v>
      </c>
      <c r="HV5" s="9" t="n">
        <v>32.31</v>
      </c>
      <c r="HW5" s="9" t="n">
        <v>44.11</v>
      </c>
      <c r="HX5" s="9" t="n">
        <v>17.74</v>
      </c>
      <c r="HY5" s="9" t="n">
        <v>12.4</v>
      </c>
      <c r="HZ5" s="9" t="n">
        <v>2.31</v>
      </c>
      <c r="IA5" s="9" t="n">
        <v>0.2</v>
      </c>
      <c r="IB5" s="9" t="n">
        <v>143.49</v>
      </c>
      <c r="IC5" s="9" t="n">
        <v>102.54</v>
      </c>
      <c r="ID5" s="9" t="n">
        <v>71.47</v>
      </c>
      <c r="IE5" s="9" t="n">
        <v>62.83</v>
      </c>
      <c r="IF5" s="9" t="n">
        <v>59.17</v>
      </c>
      <c r="IG5" s="9" t="n">
        <v>94.18000000000001</v>
      </c>
      <c r="IH5" s="9" t="n">
        <v>141.97</v>
      </c>
      <c r="II5" s="9" t="n">
        <v>122.83</v>
      </c>
      <c r="IJ5" s="9" t="n">
        <v>86.52</v>
      </c>
      <c r="IK5" s="9" t="n">
        <v>50.51</v>
      </c>
      <c r="IL5" s="9" t="n">
        <v>27.2</v>
      </c>
      <c r="IM5" s="9" t="n">
        <v>53.85</v>
      </c>
      <c r="IN5" s="9" t="n">
        <v>51.63</v>
      </c>
      <c r="IO5" s="9" t="n">
        <v>34.69</v>
      </c>
      <c r="IP5" s="9" t="n">
        <v>67.18000000000001</v>
      </c>
      <c r="IQ5" s="9" t="n">
        <v>75.73999999999999</v>
      </c>
      <c r="IR5" s="9" t="n">
        <v>51.4</v>
      </c>
      <c r="IS5" s="9" t="n">
        <v>67.86</v>
      </c>
      <c r="IT5" s="33">
        <f>PERCENTRANK(IS$2:INDEX($IS:$IS,LOOKUP(2,1/(ISNUMBER($A$2:$A$1048576)),ROW($A$2:$A$1048576))),IS5)</f>
        <v/>
      </c>
      <c r="IU5" s="39">
        <f>1-(IS5-IS$106)/IS$107</f>
        <v/>
      </c>
      <c r="IV5" s="9" t="n">
        <v>1.91</v>
      </c>
      <c r="IW5" s="9" t="n">
        <v>0.91</v>
      </c>
      <c r="IX5" s="9" t="n">
        <v>47.76</v>
      </c>
      <c r="IY5" s="9" t="n">
        <v>19.91</v>
      </c>
      <c r="IZ5" s="9" t="n">
        <v>17.77</v>
      </c>
      <c r="JA5" s="9" t="n">
        <v>89.23999999999999</v>
      </c>
      <c r="JB5" s="9" t="n">
        <v>8.4</v>
      </c>
      <c r="JC5" s="9" t="n">
        <v>15.48</v>
      </c>
      <c r="JD5" s="9" t="n">
        <v>3.79</v>
      </c>
      <c r="JE5" s="9" t="n">
        <v>13.11</v>
      </c>
      <c r="JF5" s="9" t="n">
        <v>18.96</v>
      </c>
      <c r="JG5" s="9" t="n">
        <v>20.09</v>
      </c>
      <c r="JH5" s="9" t="n">
        <v>10.51</v>
      </c>
    </row>
    <row r="6">
      <c r="A6" s="12" t="n">
        <v>2023</v>
      </c>
      <c r="B6" s="31" t="inlineStr">
        <is>
          <t>Indy Eleven</t>
        </is>
      </c>
      <c r="C6" s="12" t="n">
        <v>49</v>
      </c>
      <c r="D6" s="5">
        <f>(C6-AVERAGE($C$2:INDEX($C:$C,LOOKUP(2,1/(ISNUMBER($A$2:$A$1048576)),ROW($A$2:$A$1048576)))))/_xlfn.STDEV.P($C$2:INDEX($C:$C,LOOKUP(2,1/(ISNUMBER($A$2:$A$1048576)),ROW($A$2:$A$1048576))))</f>
        <v/>
      </c>
      <c r="E6" s="12" t="n">
        <v>6</v>
      </c>
      <c r="F6" s="6">
        <f>-E6</f>
        <v/>
      </c>
      <c r="G6" s="7">
        <f>(F6-AVERAGE($F$2:INDEX($F:$F,LOOKUP(2,1/(ISNUMBER($A$2:$A$1048576)),ROW($A$2:$A$1048576)))))/_xlfn.STDEV.P($F$2:INDEX($F:$F,LOOKUP(2,1/(ISNUMBER($A$2:$A$1048576)),ROW($A$2:$A$1048576))))</f>
        <v/>
      </c>
      <c r="H6" s="32">
        <f>sum(0.5*D6)+(0.5*G6)</f>
        <v/>
      </c>
      <c r="I6" s="12" t="inlineStr">
        <is>
          <t>East</t>
        </is>
      </c>
      <c r="J6" s="10">
        <f>sum(L6*L$105)+(N6*N$105)+(P6*P$105)+(T6*R$105)</f>
        <v/>
      </c>
      <c r="K6" s="33">
        <f>PERCENTRANK(J$2:INDEX($J:$J,LOOKUP(2,1/(ISNUMBER($A$2:$A$1048576)),ROW($A$2:$A$1048576))),J6)</f>
        <v/>
      </c>
      <c r="L6" s="10">
        <f>sum(AA6*0.66)+(AD6*0.55)+(AG6*0.59)+(CG6*0.51)+(CL6*0.6)+(EY6*0.31)</f>
        <v/>
      </c>
      <c r="M6" s="33">
        <f>PERCENTRANK(L$2:INDEX($L:$L,LOOKUP(2,1/(ISNUMBER($A$2:$A$1048576)),ROW($A$2:$A$1048576))),L6)</f>
        <v/>
      </c>
      <c r="N6" s="10">
        <f>sum(CT6*0.57)+(CW6*0.71)+(DJ6*0.08)+(FC6*0.33)+(FG6*0.69)+(FM6*0.26)+(IU6*0.54)+(AU6*0.4)</f>
        <v/>
      </c>
      <c r="O6" s="33">
        <f>PERCENTRANK(N$2:INDEX($N:$N,LOOKUP(2,1/(ISNUMBER($A$2:$A$1048576)),ROW($A$2:$A$1048576))),N6)</f>
        <v/>
      </c>
      <c r="P6" s="10">
        <f>sum(BG6*0.51)+(CD6*0.51)+(DR6*0.11)+(EF6*0.42)+(EK6*0.44)+(W6*0.6)</f>
        <v/>
      </c>
      <c r="Q6" s="33">
        <f>PERCENTRANK(P$2:INDEX($P:$P,LOOKUP(2,1/(ISNUMBER($A$2:$A$1048576)),ROW($A$2:$A$1048576))),P6)</f>
        <v/>
      </c>
      <c r="R6" s="10">
        <f>sum(Y6-FE6)</f>
        <v/>
      </c>
      <c r="S6" s="33">
        <f>PERCENTRANK(R$2:INDEX($R:$R,LOOKUP(2,1/(ISNUMBER($A$2:$A$1048576)),ROW($A$2:$A$1048576))),R6)</f>
        <v/>
      </c>
      <c r="T6" s="34">
        <f>sum(R6-R$106)/R$107</f>
        <v/>
      </c>
      <c r="U6" s="35">
        <f>sum(Y6/AI6)*100</f>
        <v/>
      </c>
      <c r="V6" s="33">
        <f>PERCENTRANK(U$2:INDEX($U:$U,LOOKUP(2,1/(ISNUMBER($A$2:$A$1048576)),ROW($A$2:$A$1048576))),U6)</f>
        <v/>
      </c>
      <c r="W6" s="36">
        <f>sum(U6-U$106)/U$107</f>
        <v/>
      </c>
      <c r="X6" s="9" t="n">
        <v>1.46</v>
      </c>
      <c r="Y6" s="9" t="n">
        <v>1.36</v>
      </c>
      <c r="Z6" s="33">
        <f>PERCENTRANK(Y$2:INDEX($Y:$Y,LOOKUP(2,1/(ISNUMBER($A$2:$A$1048576)),ROW($A$2:$A$1048576))),Y6)</f>
        <v/>
      </c>
      <c r="AA6" s="37">
        <f>sum(Y6-Y$106)/Y$107</f>
        <v/>
      </c>
      <c r="AB6" s="9" t="n">
        <v>11.54</v>
      </c>
      <c r="AC6" s="33">
        <f>PERCENTRANK(AB$2:INDEX($AB:$AB,LOOKUP(2,1/(ISNUMBER($A$2:$A$1048576)),ROW($A$2:$A$1048576))),AB6)</f>
        <v/>
      </c>
      <c r="AD6" s="38">
        <f>sum(AB6-AB$106)/AB$107</f>
        <v/>
      </c>
      <c r="AE6" s="9" t="n">
        <v>4.37</v>
      </c>
      <c r="AF6" s="33">
        <f>PERCENTRANK(AE$2:INDEX($AE:$AE,LOOKUP(2,1/(ISNUMBER($A$2:$A$1048576)),ROW($A$2:$A$1048576))),AE6)</f>
        <v/>
      </c>
      <c r="AG6" s="38">
        <f>sum(AE6-AE$106)/AE$107</f>
        <v/>
      </c>
      <c r="AH6" s="9" t="n">
        <v>37.87</v>
      </c>
      <c r="AI6" s="9" t="n">
        <v>349.46</v>
      </c>
      <c r="AJ6" s="9" t="n">
        <v>272.29</v>
      </c>
      <c r="AK6" s="9" t="n">
        <v>77.92</v>
      </c>
      <c r="AL6" s="9" t="n">
        <v>45.37</v>
      </c>
      <c r="AM6" s="9" t="n">
        <v>108.14</v>
      </c>
      <c r="AN6" s="9" t="n">
        <v>18.06</v>
      </c>
      <c r="AO6" s="9" t="n">
        <v>31.86</v>
      </c>
      <c r="AP6" s="9" t="n">
        <v>58.23</v>
      </c>
      <c r="AQ6" s="9" t="n">
        <v>82.63</v>
      </c>
      <c r="AR6" s="9" t="n">
        <v>34.86</v>
      </c>
      <c r="AS6" s="9" t="n">
        <v>33.06</v>
      </c>
      <c r="AT6" s="33">
        <f>PERCENTRANK(AS$2:INDEX($AS:$AS,LOOKUP(2,1/(ISNUMBER($A$2:$A$1048576)),ROW($A$2:$A$1048576))),AS6)</f>
        <v/>
      </c>
      <c r="AU6" s="39">
        <f>SUM(AS6-AS$106)/AS$107</f>
        <v/>
      </c>
      <c r="AV6" s="9" t="n">
        <v>14.71</v>
      </c>
      <c r="AW6" s="33">
        <f>PERCENTRANK(AV$2:INDEX($AV:$AV,LOOKUP(2,1/(ISNUMBER($A$2:$A$1048576)),ROW($A$2:$A$1048576))),AV6)</f>
        <v/>
      </c>
      <c r="AX6" s="9" t="n">
        <v>193.29</v>
      </c>
      <c r="AY6" s="9" t="n">
        <v>88.8</v>
      </c>
      <c r="AZ6" s="9" t="n">
        <v>45.94</v>
      </c>
      <c r="BA6" s="9" t="n">
        <v>4.77</v>
      </c>
      <c r="BB6" s="9" t="n">
        <v>1.63</v>
      </c>
      <c r="BC6" s="9" t="n">
        <v>34.13</v>
      </c>
      <c r="BD6" s="9" t="n">
        <v>30.23</v>
      </c>
      <c r="BE6" s="9" t="n">
        <v>6.66</v>
      </c>
      <c r="BF6" s="33">
        <f>PERCENTRANK(BE$2:INDEX($BE:$BE,LOOKUP(2,1/(ISNUMBER($A$2:$A$1048576)),ROW($A$2:$A$1048576))),BE6)</f>
        <v/>
      </c>
      <c r="BG6" s="40">
        <f>sum(BE6-BE$106)/BE$107</f>
        <v/>
      </c>
      <c r="BH6" s="9" t="n">
        <v>22.02</v>
      </c>
      <c r="BI6" s="9" t="n">
        <v>1.23</v>
      </c>
      <c r="BJ6" s="9" t="n">
        <v>0.57</v>
      </c>
      <c r="BK6" s="9" t="n">
        <v>46.51</v>
      </c>
      <c r="BL6" s="9" t="n">
        <v>25.37</v>
      </c>
      <c r="BM6" s="9" t="n">
        <v>3.51</v>
      </c>
      <c r="BN6" s="9" t="n">
        <v>13.85</v>
      </c>
      <c r="BO6" s="9" t="n">
        <v>5.23</v>
      </c>
      <c r="BP6" s="9" t="n">
        <v>1.2</v>
      </c>
      <c r="BQ6" s="9" t="n">
        <v>22.95</v>
      </c>
      <c r="BR6" s="9" t="n">
        <v>2.23</v>
      </c>
      <c r="BS6" s="9" t="n">
        <v>0.66</v>
      </c>
      <c r="BT6" s="9" t="n">
        <v>29.49</v>
      </c>
      <c r="BU6" s="9" t="n">
        <v>0.2</v>
      </c>
      <c r="BV6" s="9" t="n">
        <v>0.2</v>
      </c>
      <c r="BW6" s="9" t="n">
        <v>100</v>
      </c>
      <c r="BX6" s="9" t="n">
        <v>19.23</v>
      </c>
      <c r="BY6" s="9" t="n">
        <v>5.34</v>
      </c>
      <c r="BZ6" s="9" t="n">
        <v>27.79</v>
      </c>
      <c r="CA6" s="9" t="n">
        <v>5.2</v>
      </c>
      <c r="CB6" s="9" t="n">
        <v>6.86</v>
      </c>
      <c r="CC6" s="33">
        <f>PERCENTRANK(CD$2:INDEX($CD:$CD,LOOKUP(2,1/(ISNUMBER($A$2:$A$1048576)),ROW($A$2:$A$1048576))),CD6)</f>
        <v/>
      </c>
      <c r="CD6" s="40">
        <f>sum(CB6-CB$106)/CB$107</f>
        <v/>
      </c>
      <c r="CE6" s="9" t="n">
        <v>25.2</v>
      </c>
      <c r="CF6" s="33">
        <f>PERCENTRANK(CE$2:INDEX($CE:$CE,LOOKUP(2,1/(ISNUMBER($A$2:$A$1048576)),ROW($A$2:$A$1048576))),CE6)</f>
        <v/>
      </c>
      <c r="CG6" s="38">
        <f>sum(CE6-CE$106)/CE$107</f>
        <v/>
      </c>
      <c r="CH6" s="9" t="n">
        <v>2.57</v>
      </c>
      <c r="CI6" s="9" t="n">
        <v>11.8</v>
      </c>
      <c r="CJ6" s="9" t="n">
        <v>16.97</v>
      </c>
      <c r="CK6" s="33">
        <f>PERCENTRANK(CJ$2:INDEX($CJ:$CJ,LOOKUP(2,1/(ISNUMBER($A$2:$A$1048576)),ROW($A$2:$A$1048576))),CJ6)</f>
        <v/>
      </c>
      <c r="CL6" s="38">
        <f>sum(CJ6-CJ$106)/CJ$107</f>
        <v/>
      </c>
      <c r="CM6" s="9" t="n">
        <v>55.89</v>
      </c>
      <c r="CN6" s="9" t="n">
        <v>20.77</v>
      </c>
      <c r="CO6" s="9" t="n">
        <v>37.17</v>
      </c>
      <c r="CP6" s="9" t="n">
        <v>1.83</v>
      </c>
      <c r="CQ6" s="9" t="n">
        <v>1.51</v>
      </c>
      <c r="CR6" s="9" t="n">
        <v>12.4</v>
      </c>
      <c r="CS6" s="33">
        <f>PERCENTRANK(CR$2:INDEX($CR:$CR,LOOKUP(2,1/(ISNUMBER($A$2:$A$1048576)),ROW($A$2:$A$1048576))),CR6)</f>
        <v/>
      </c>
      <c r="CT6" s="39">
        <f>1-(CR6-CR$106)/CR$107</f>
        <v/>
      </c>
      <c r="CU6" s="9" t="n">
        <v>4.51</v>
      </c>
      <c r="CV6" s="33">
        <f>PERCENTRANK(CU$2:INDEX($CU:$CU,LOOKUP(2,1/(ISNUMBER($A$2:$A$1048576)),ROW($A$2:$A$1048576))),CU6)</f>
        <v/>
      </c>
      <c r="CW6" s="39">
        <f>1-(CU6-CU$106)/CU$107</f>
        <v/>
      </c>
      <c r="CX6" s="9" t="n">
        <v>36.41</v>
      </c>
      <c r="CY6" s="9" t="n">
        <v>64.45999999999999</v>
      </c>
      <c r="CZ6" s="9" t="n">
        <v>37.89</v>
      </c>
      <c r="DA6" s="9" t="n">
        <v>58.78</v>
      </c>
      <c r="DB6" s="9" t="n">
        <v>41.51</v>
      </c>
      <c r="DC6" s="9" t="n">
        <v>18.26</v>
      </c>
      <c r="DD6" s="9" t="n">
        <v>43.98</v>
      </c>
      <c r="DE6" s="9" t="n">
        <v>2.89</v>
      </c>
      <c r="DF6" s="9" t="n">
        <v>1.51</v>
      </c>
      <c r="DG6" s="9" t="n">
        <v>52.48</v>
      </c>
      <c r="DH6" s="9" t="n">
        <v>37.6</v>
      </c>
      <c r="DI6" s="33">
        <f>PERCENTRANK(DH$2:INDEX($DH:$DH,LOOKUP(2,1/(ISNUMBER($A$2:$A$1048576)),ROW($A$2:$A$1048576))),DH6)</f>
        <v/>
      </c>
      <c r="DJ6" s="39">
        <f>SUM(DH6-DH$106)/DH$107</f>
        <v/>
      </c>
      <c r="DK6" s="9" t="n">
        <v>15.91</v>
      </c>
      <c r="DL6" s="9" t="n">
        <v>14.89</v>
      </c>
      <c r="DM6" s="9" t="n">
        <v>2.63</v>
      </c>
      <c r="DN6" s="9" t="n">
        <v>0.06</v>
      </c>
      <c r="DO6" s="9" t="n">
        <v>132.23</v>
      </c>
      <c r="DP6" s="9" t="n">
        <v>91.31</v>
      </c>
      <c r="DQ6" s="33">
        <f>PERCENTRANK(DP$2:INDEX($DP:$DP,LOOKUP(2,1/(ISNUMBER($A$2:$A$1048576)),ROW($A$2:$A$1048576))),DP6)</f>
        <v/>
      </c>
      <c r="DR6" s="40">
        <f>sum(DP6-DP$106)/DP$107</f>
        <v/>
      </c>
      <c r="DS6" s="9" t="n">
        <v>69.06</v>
      </c>
      <c r="DT6" s="9" t="n">
        <v>48.49</v>
      </c>
      <c r="DU6" s="9" t="n">
        <v>44.74</v>
      </c>
      <c r="DV6" s="9" t="n">
        <v>92.28</v>
      </c>
      <c r="DW6" s="9" t="n">
        <v>117.4</v>
      </c>
      <c r="DX6" s="9" t="n">
        <v>97.14</v>
      </c>
      <c r="DY6" s="9" t="n">
        <v>82.75</v>
      </c>
      <c r="DZ6" s="9" t="n">
        <v>47.51</v>
      </c>
      <c r="EA6" s="9" t="n">
        <v>24.74</v>
      </c>
      <c r="EB6" s="9" t="n">
        <v>52.07</v>
      </c>
      <c r="EC6" s="9" t="n">
        <v>58</v>
      </c>
      <c r="ED6" s="9" t="n">
        <v>37.09</v>
      </c>
      <c r="EE6" s="33">
        <f>PERCENTRANK(ED$2:INDEX($ED:$ED,LOOKUP(2,1/(ISNUMBER($A$2:$A$1048576)),ROW($A$2:$A$1048576))),ED6)</f>
        <v/>
      </c>
      <c r="EF6" s="40">
        <f>sum(ED6-ED$106)/ED$107</f>
        <v/>
      </c>
      <c r="EG6" s="9" t="n">
        <v>63.94</v>
      </c>
      <c r="EH6" s="9" t="n">
        <v>68.40000000000001</v>
      </c>
      <c r="EI6" s="9" t="n">
        <v>51.43</v>
      </c>
      <c r="EJ6" s="33">
        <f>PERCENTRANK(EI$2:INDEX($EI:$EI,LOOKUP(2,1/(ISNUMBER($A$2:$A$1048576)),ROW($A$2:$A$1048576))),EI6)</f>
        <v/>
      </c>
      <c r="EK6" s="40">
        <f>sum(EI6-EI$106)/EI$107</f>
        <v/>
      </c>
      <c r="EL6" s="9" t="n">
        <v>75.19</v>
      </c>
      <c r="EM6" s="9" t="n">
        <v>1.37</v>
      </c>
      <c r="EN6" s="9" t="n">
        <v>0.49</v>
      </c>
      <c r="EO6" s="9" t="n">
        <v>35.42</v>
      </c>
      <c r="EP6" s="9" t="n">
        <v>22.11</v>
      </c>
      <c r="EQ6" s="9" t="n">
        <v>18.23</v>
      </c>
      <c r="ER6" s="9" t="n">
        <v>82.43000000000001</v>
      </c>
      <c r="ES6" s="9" t="n">
        <v>8.43</v>
      </c>
      <c r="ET6" s="9" t="n">
        <v>16.12</v>
      </c>
      <c r="EU6" s="9" t="n">
        <v>3.32</v>
      </c>
      <c r="EV6" s="9" t="n">
        <v>14.21</v>
      </c>
      <c r="EW6" s="9" t="n">
        <v>18.4</v>
      </c>
      <c r="EX6" s="33">
        <f>PERCENTRANK(EW$2:INDEX($EW:$EW,LOOKUP(2,1/(ISNUMBER($A$2:$A$1048576)),ROW($A$2:$A$1048576))),EW6)</f>
        <v/>
      </c>
      <c r="EY6" s="38">
        <f>1-(EW6-EW$106)/EW$107</f>
        <v/>
      </c>
      <c r="EZ6" s="9" t="n">
        <v>20.5</v>
      </c>
      <c r="FA6" s="9" t="n">
        <v>10.18</v>
      </c>
      <c r="FB6" s="33">
        <f>PERCENTRANK(FA$2:INDEX($FA:$FA,LOOKUP(2,1/(ISNUMBER($A$2:$A$1048576)),ROW($A$2:$A$1048576))),FA6)</f>
        <v/>
      </c>
      <c r="FC6" s="39">
        <f>1-(FA6-FA$106)/FA$107</f>
        <v/>
      </c>
      <c r="FD6" s="9" t="n">
        <v>1.51</v>
      </c>
      <c r="FE6" s="9" t="n">
        <v>1.39</v>
      </c>
      <c r="FF6" s="33">
        <f>PERCENTRANK(FE$2:INDEX($FE:$FE,LOOKUP(2,1/(ISNUMBER($A$2:$A$1048576)),ROW($A$2:$A$1048576))),FE6)</f>
        <v/>
      </c>
      <c r="FG6" s="39">
        <f>1-(FE6-FE$106)/FE$107</f>
        <v/>
      </c>
      <c r="FH6" s="9" t="n">
        <v>12.4</v>
      </c>
      <c r="FI6" s="9" t="n">
        <v>4.26</v>
      </c>
      <c r="FJ6" s="9" t="n">
        <v>34.33</v>
      </c>
      <c r="FK6" s="9" t="n">
        <v>405.03</v>
      </c>
      <c r="FL6" s="33">
        <f>PERCENTRANK(FK$2:INDEX($FK:$FK,LOOKUP(2,1/(ISNUMBER($A$2:$A$1048576)),ROW($A$2:$A$1048576))),FK6)</f>
        <v/>
      </c>
      <c r="FM6" s="39">
        <f>SWA5-(FK6-FK$106)/FK$107</f>
        <v/>
      </c>
      <c r="FN6" s="9" t="n">
        <v>330.17</v>
      </c>
      <c r="FO6" s="9" t="n">
        <v>81.52</v>
      </c>
      <c r="FP6" s="9" t="n">
        <v>54.63</v>
      </c>
      <c r="FQ6" s="9" t="n">
        <v>111.8</v>
      </c>
      <c r="FR6" s="9" t="n">
        <v>24.4</v>
      </c>
      <c r="FS6" s="9" t="n">
        <v>39.69</v>
      </c>
      <c r="FT6" s="9" t="n">
        <v>47.71</v>
      </c>
      <c r="FU6" s="9" t="n">
        <v>82.09</v>
      </c>
      <c r="FV6" s="9" t="n">
        <v>43.23</v>
      </c>
      <c r="FW6" s="9" t="n">
        <v>28.91</v>
      </c>
      <c r="FX6" s="9" t="n">
        <v>9.94</v>
      </c>
      <c r="FY6" s="9" t="n">
        <v>193.29</v>
      </c>
      <c r="FZ6" s="9" t="n">
        <v>95.89</v>
      </c>
      <c r="GA6" s="9" t="n">
        <v>49.61</v>
      </c>
      <c r="GB6" s="9" t="n">
        <v>5.54</v>
      </c>
      <c r="GC6" s="9" t="n">
        <v>1.31</v>
      </c>
      <c r="GD6" s="9" t="n">
        <v>23.71</v>
      </c>
      <c r="GE6" s="9" t="n">
        <v>27.23</v>
      </c>
      <c r="GF6" s="9" t="n">
        <v>7.66</v>
      </c>
      <c r="GG6" s="9" t="n">
        <v>28.12</v>
      </c>
      <c r="GH6" s="9" t="n">
        <v>0.9399999999999999</v>
      </c>
      <c r="GI6" s="9" t="n">
        <v>0.51</v>
      </c>
      <c r="GJ6" s="9" t="n">
        <v>54.55</v>
      </c>
      <c r="GK6" s="9" t="n">
        <v>28.8</v>
      </c>
      <c r="GL6" s="9" t="n">
        <v>3.69</v>
      </c>
      <c r="GM6" s="9" t="n">
        <v>12.8</v>
      </c>
      <c r="GN6" s="9" t="n">
        <v>5.2</v>
      </c>
      <c r="GO6" s="9" t="n">
        <v>1.51</v>
      </c>
      <c r="GP6" s="9" t="n">
        <v>29.12</v>
      </c>
      <c r="GQ6" s="9" t="n">
        <v>2.29</v>
      </c>
      <c r="GR6" s="9" t="n">
        <v>0.57</v>
      </c>
      <c r="GS6" s="9" t="n">
        <v>25</v>
      </c>
      <c r="GT6" s="9" t="n">
        <v>0.09</v>
      </c>
      <c r="GU6" s="9" t="n">
        <v>0.06</v>
      </c>
      <c r="GV6" s="9" t="n">
        <v>66.67</v>
      </c>
      <c r="GW6" s="9" t="n">
        <v>14.8</v>
      </c>
      <c r="GX6" s="9" t="n">
        <v>4.8</v>
      </c>
      <c r="GY6" s="9" t="n">
        <v>32.43</v>
      </c>
      <c r="GZ6" s="9" t="n">
        <v>4.86</v>
      </c>
      <c r="HA6" s="9" t="n">
        <v>7.49</v>
      </c>
      <c r="HB6" s="9" t="n">
        <v>25.89</v>
      </c>
      <c r="HC6" s="9" t="n">
        <v>4.11</v>
      </c>
      <c r="HD6" s="9" t="n">
        <v>9.26</v>
      </c>
      <c r="HE6" s="9" t="n">
        <v>17.6</v>
      </c>
      <c r="HF6" s="9" t="n">
        <v>64.45999999999999</v>
      </c>
      <c r="HG6" s="9" t="n">
        <v>26.57</v>
      </c>
      <c r="HH6" s="9" t="n">
        <v>41.22</v>
      </c>
      <c r="HI6" s="9" t="n">
        <v>1.71</v>
      </c>
      <c r="HJ6" s="9" t="n">
        <v>1.46</v>
      </c>
      <c r="HK6" s="9" t="n">
        <v>11.54</v>
      </c>
      <c r="HL6" s="9" t="n">
        <v>4.51</v>
      </c>
      <c r="HM6" s="9" t="n">
        <v>39.11</v>
      </c>
      <c r="HN6" s="9" t="n">
        <v>55.89</v>
      </c>
      <c r="HO6" s="9" t="n">
        <v>35.11</v>
      </c>
      <c r="HP6" s="9" t="n">
        <v>62.83</v>
      </c>
      <c r="HQ6" s="9" t="n">
        <v>41.51</v>
      </c>
      <c r="HR6" s="9" t="n">
        <v>19.89</v>
      </c>
      <c r="HS6" s="9" t="n">
        <v>47.9</v>
      </c>
      <c r="HT6" s="9" t="n">
        <v>1.86</v>
      </c>
      <c r="HU6" s="9" t="n">
        <v>0.6</v>
      </c>
      <c r="HV6" s="9" t="n">
        <v>32.31</v>
      </c>
      <c r="HW6" s="9" t="n">
        <v>44.11</v>
      </c>
      <c r="HX6" s="9" t="n">
        <v>17.74</v>
      </c>
      <c r="HY6" s="9" t="n">
        <v>12.4</v>
      </c>
      <c r="HZ6" s="9" t="n">
        <v>2.31</v>
      </c>
      <c r="IA6" s="9" t="n">
        <v>0.2</v>
      </c>
      <c r="IB6" s="9" t="n">
        <v>143.49</v>
      </c>
      <c r="IC6" s="9" t="n">
        <v>102.54</v>
      </c>
      <c r="ID6" s="9" t="n">
        <v>71.47</v>
      </c>
      <c r="IE6" s="9" t="n">
        <v>62.83</v>
      </c>
      <c r="IF6" s="9" t="n">
        <v>59.17</v>
      </c>
      <c r="IG6" s="9" t="n">
        <v>94.18000000000001</v>
      </c>
      <c r="IH6" s="9" t="n">
        <v>141.97</v>
      </c>
      <c r="II6" s="9" t="n">
        <v>122.83</v>
      </c>
      <c r="IJ6" s="9" t="n">
        <v>86.52</v>
      </c>
      <c r="IK6" s="9" t="n">
        <v>50.51</v>
      </c>
      <c r="IL6" s="9" t="n">
        <v>27.2</v>
      </c>
      <c r="IM6" s="9" t="n">
        <v>53.85</v>
      </c>
      <c r="IN6" s="9" t="n">
        <v>51.63</v>
      </c>
      <c r="IO6" s="9" t="n">
        <v>34.69</v>
      </c>
      <c r="IP6" s="9" t="n">
        <v>67.18000000000001</v>
      </c>
      <c r="IQ6" s="9" t="n">
        <v>75.73999999999999</v>
      </c>
      <c r="IR6" s="9" t="n">
        <v>51.4</v>
      </c>
      <c r="IS6" s="9" t="n">
        <v>67.86</v>
      </c>
      <c r="IT6" s="33">
        <f>PERCENTRANK(IS$2:INDEX($IS:$IS,LOOKUP(2,1/(ISNUMBER($A$2:$A$1048576)),ROW($A$2:$A$1048576))),IS6)</f>
        <v/>
      </c>
      <c r="IU6" s="39">
        <f>1-(IS6-IS$106)/IS$107</f>
        <v/>
      </c>
      <c r="IV6" s="9" t="n">
        <v>1.91</v>
      </c>
      <c r="IW6" s="9" t="n">
        <v>0.91</v>
      </c>
      <c r="IX6" s="9" t="n">
        <v>47.76</v>
      </c>
      <c r="IY6" s="9" t="n">
        <v>19.91</v>
      </c>
      <c r="IZ6" s="9" t="n">
        <v>17.77</v>
      </c>
      <c r="JA6" s="9" t="n">
        <v>89.23999999999999</v>
      </c>
      <c r="JB6" s="9" t="n">
        <v>8.4</v>
      </c>
      <c r="JC6" s="9" t="n">
        <v>15.48</v>
      </c>
      <c r="JD6" s="9" t="n">
        <v>3.79</v>
      </c>
      <c r="JE6" s="9" t="n">
        <v>13.11</v>
      </c>
      <c r="JF6" s="9" t="n">
        <v>18.96</v>
      </c>
      <c r="JG6" s="9" t="n">
        <v>20.09</v>
      </c>
      <c r="JH6" s="9" t="n">
        <v>10.51</v>
      </c>
    </row>
    <row r="7">
      <c r="A7" s="12" t="n">
        <v>2025</v>
      </c>
      <c r="B7" s="31" t="inlineStr">
        <is>
          <t>FC Tulsa</t>
        </is>
      </c>
      <c r="C7" s="12" t="n">
        <v>57</v>
      </c>
      <c r="D7" s="5">
        <f>(C7-AVERAGE($C$2:INDEX($C:$C,LOOKUP(2,1/(ISNUMBER($A$2:$A$1048576)),ROW($A$2:$A$1048576)))))/_xlfn.STDEV.P($C$2:INDEX($C:$C,LOOKUP(2,1/(ISNUMBER($A$2:$A$1048576)),ROW($A$2:$A$1048576))))</f>
        <v/>
      </c>
      <c r="E7" s="12" t="n">
        <v>1</v>
      </c>
      <c r="F7" s="6">
        <f>-E7</f>
        <v/>
      </c>
      <c r="G7" s="7">
        <f>(F7-AVERAGE($F$2:INDEX($F:$F,LOOKUP(2,1/(ISNUMBER($A$2:$A$1048576)),ROW($A$2:$A$1048576)))))/_xlfn.STDEV.P($F$2:INDEX($F:$F,LOOKUP(2,1/(ISNUMBER($A$2:$A$1048576)),ROW($A$2:$A$1048576))))</f>
        <v/>
      </c>
      <c r="H7" s="32">
        <f>sum(0.5*D7)+(0.5*G7)</f>
        <v/>
      </c>
      <c r="I7" s="12" t="inlineStr">
        <is>
          <t>West</t>
        </is>
      </c>
      <c r="J7" s="10">
        <f>sum(L7*L$105)+(N7*N$105)+(P7*P$105)+(T7*R$105)</f>
        <v/>
      </c>
      <c r="K7" s="33">
        <f>PERCENTRANK(J$2:INDEX($J:$J,LOOKUP(2,1/(ISNUMBER($A$2:$A$1048576)),ROW($A$2:$A$1048576))),J7)</f>
        <v/>
      </c>
      <c r="L7" s="10">
        <f>sum(AA7*0.66)+(AD7*0.55)+(AG7*0.59)+(CG7*0.51)+(CL7*0.6)+(EY7*0.31)</f>
        <v/>
      </c>
      <c r="M7" s="33">
        <f>PERCENTRANK(L$2:INDEX($L:$L,LOOKUP(2,1/(ISNUMBER($A$2:$A$1048576)),ROW($A$2:$A$1048576))),L7)</f>
        <v/>
      </c>
      <c r="N7" s="10">
        <f>sum(CT7*0.57)+(CW7*0.71)+(DJ7*0.08)+(FC7*0.33)+(FG7*0.69)+(FM7*0.26)+(IU7*0.54)+(AU7*0.4)</f>
        <v/>
      </c>
      <c r="O7" s="33">
        <f>PERCENTRANK(N$2:INDEX($N:$N,LOOKUP(2,1/(ISNUMBER($A$2:$A$1048576)),ROW($A$2:$A$1048576))),N7)</f>
        <v/>
      </c>
      <c r="P7" s="10">
        <f>sum(BG7*0.51)+(CD7*0.51)+(DR7*0.11)+(EF7*0.42)+(EK7*0.44)+(W7*0.6)</f>
        <v/>
      </c>
      <c r="Q7" s="33">
        <f>PERCENTRANK(P$2:INDEX($P:$P,LOOKUP(2,1/(ISNUMBER($A$2:$A$1048576)),ROW($A$2:$A$1048576))),P7)</f>
        <v/>
      </c>
      <c r="R7" s="10">
        <f>sum(Y7-FE7)</f>
        <v/>
      </c>
      <c r="S7" s="33">
        <f>PERCENTRANK(R$2:INDEX($R:$R,LOOKUP(2,1/(ISNUMBER($A$2:$A$1048576)),ROW($A$2:$A$1048576))),R7)</f>
        <v/>
      </c>
      <c r="T7" s="34">
        <f>sum(R7-R$106)/R$107</f>
        <v/>
      </c>
      <c r="U7" s="35">
        <f>sum(Y7/AI7)*100</f>
        <v/>
      </c>
      <c r="V7" s="33">
        <f>PERCENTRANK(U$2:INDEX($U:$U,LOOKUP(2,1/(ISNUMBER($A$2:$A$1048576)),ROW($A$2:$A$1048576))),U7)</f>
        <v/>
      </c>
      <c r="W7" s="36">
        <f>sum(U7-U$106)/U$107</f>
        <v/>
      </c>
      <c r="X7" s="9" t="n">
        <v>1.68</v>
      </c>
      <c r="Y7" s="9" t="n">
        <v>1.67</v>
      </c>
      <c r="Z7" s="33">
        <f>PERCENTRANK(Y$2:INDEX($Y:$Y,LOOKUP(2,1/(ISNUMBER($A$2:$A$1048576)),ROW($A$2:$A$1048576))),Y7)</f>
        <v/>
      </c>
      <c r="AA7" s="37">
        <f>sum(Y7-Y$106)/Y$107</f>
        <v/>
      </c>
      <c r="AB7" s="9" t="n">
        <v>13.08</v>
      </c>
      <c r="AC7" s="33">
        <f>PERCENTRANK(AB$2:INDEX($AB:$AB,LOOKUP(2,1/(ISNUMBER($A$2:$A$1048576)),ROW($A$2:$A$1048576))),AB7)</f>
        <v/>
      </c>
      <c r="AD7" s="38">
        <f>sum(AB7-AB$106)/AB$107</f>
        <v/>
      </c>
      <c r="AE7" s="9" t="n">
        <v>4.18</v>
      </c>
      <c r="AF7" s="33">
        <f>PERCENTRANK(AE$2:INDEX($AE:$AE,LOOKUP(2,1/(ISNUMBER($A$2:$A$1048576)),ROW($A$2:$A$1048576))),AE7)</f>
        <v/>
      </c>
      <c r="AG7" s="38">
        <f>sum(AE7-AE$106)/AE$107</f>
        <v/>
      </c>
      <c r="AH7" s="9" t="n">
        <v>31.93</v>
      </c>
      <c r="AI7" s="9" t="n">
        <v>297.93</v>
      </c>
      <c r="AJ7" s="9" t="n">
        <v>223.98</v>
      </c>
      <c r="AK7" s="9" t="n">
        <v>75.18000000000001</v>
      </c>
      <c r="AL7" s="9" t="n">
        <v>46.6</v>
      </c>
      <c r="AM7" s="9" t="n">
        <v>116.28</v>
      </c>
      <c r="AN7" s="9" t="n">
        <v>18.25</v>
      </c>
      <c r="AO7" s="9" t="n">
        <v>39.68</v>
      </c>
      <c r="AP7" s="9" t="n">
        <v>58.35</v>
      </c>
      <c r="AQ7" s="9" t="n">
        <v>83.59999999999999</v>
      </c>
      <c r="AR7" s="9" t="n">
        <v>33.78</v>
      </c>
      <c r="AS7" s="9" t="n">
        <v>35.5</v>
      </c>
      <c r="AT7" s="33">
        <f>PERCENTRANK(AS$2:INDEX($AS:$AS,LOOKUP(2,1/(ISNUMBER($A$2:$A$1048576)),ROW($A$2:$A$1048576))),AS7)</f>
        <v/>
      </c>
      <c r="AU7" s="39">
        <f>SUM(AS7-AS$106)/AS$107</f>
        <v/>
      </c>
      <c r="AV7" s="9" t="n">
        <v>14.33</v>
      </c>
      <c r="AW7" s="33">
        <f>PERCENTRANK(AV$2:INDEX($AV:$AV,LOOKUP(2,1/(ISNUMBER($A$2:$A$1048576)),ROW($A$2:$A$1048576))),AV7)</f>
        <v/>
      </c>
      <c r="AX7" s="9" t="n">
        <v>208.48</v>
      </c>
      <c r="AY7" s="9" t="n">
        <v>98.65000000000001</v>
      </c>
      <c r="AZ7" s="9" t="n">
        <v>47.32</v>
      </c>
      <c r="BA7" s="9" t="n">
        <v>5.18</v>
      </c>
      <c r="BB7" s="9" t="n">
        <v>1.13</v>
      </c>
      <c r="BC7" s="9" t="n">
        <v>21.74</v>
      </c>
      <c r="BD7" s="9" t="n">
        <v>28.55</v>
      </c>
      <c r="BE7" s="9" t="n">
        <v>8.08</v>
      </c>
      <c r="BF7" s="33">
        <f>PERCENTRANK(BE$2:INDEX($BE:$BE,LOOKUP(2,1/(ISNUMBER($A$2:$A$1048576)),ROW($A$2:$A$1048576))),BE7)</f>
        <v/>
      </c>
      <c r="BG7" s="40">
        <f>sum(BE7-BE$106)/BE$107</f>
        <v/>
      </c>
      <c r="BH7" s="9" t="n">
        <v>28.28</v>
      </c>
      <c r="BI7" s="9" t="n">
        <v>0.48</v>
      </c>
      <c r="BJ7" s="9" t="n">
        <v>0.33</v>
      </c>
      <c r="BK7" s="9" t="n">
        <v>68.42</v>
      </c>
      <c r="BL7" s="9" t="n">
        <v>28.15</v>
      </c>
      <c r="BM7" s="9" t="n">
        <v>3.95</v>
      </c>
      <c r="BN7" s="9" t="n">
        <v>14.03</v>
      </c>
      <c r="BO7" s="9" t="n">
        <v>5.33</v>
      </c>
      <c r="BP7" s="9" t="n">
        <v>1.68</v>
      </c>
      <c r="BQ7" s="9" t="n">
        <v>31.46</v>
      </c>
      <c r="BR7" s="9" t="n">
        <v>3.05</v>
      </c>
      <c r="BS7" s="9" t="n">
        <v>0.65</v>
      </c>
      <c r="BT7" s="9" t="n">
        <v>21.31</v>
      </c>
      <c r="BU7" s="9" t="n">
        <v>0.23</v>
      </c>
      <c r="BV7" s="9" t="n">
        <v>0.2</v>
      </c>
      <c r="BW7" s="9" t="n">
        <v>88.89</v>
      </c>
      <c r="BX7" s="9" t="n">
        <v>16.78</v>
      </c>
      <c r="BY7" s="9" t="n">
        <v>5.88</v>
      </c>
      <c r="BZ7" s="9" t="n">
        <v>35.02</v>
      </c>
      <c r="CA7" s="9" t="n">
        <v>6</v>
      </c>
      <c r="CB7" s="9" t="n">
        <v>7.25</v>
      </c>
      <c r="CC7" s="33">
        <f>PERCENTRANK(CD$2:INDEX($CD:$CD,LOOKUP(2,1/(ISNUMBER($A$2:$A$1048576)),ROW($A$2:$A$1048576))),CD7)</f>
        <v/>
      </c>
      <c r="CD7" s="40">
        <f>sum(CB7-CB$106)/CB$107</f>
        <v/>
      </c>
      <c r="CE7" s="9" t="n">
        <v>26.58</v>
      </c>
      <c r="CF7" s="33">
        <f>PERCENTRANK(CE$2:INDEX($CE:$CE,LOOKUP(2,1/(ISNUMBER($A$2:$A$1048576)),ROW($A$2:$A$1048576))),CE7)</f>
        <v/>
      </c>
      <c r="CG7" s="38">
        <f>sum(CE7-CE$106)/CE$107</f>
        <v/>
      </c>
      <c r="CH7" s="9" t="n">
        <v>3.23</v>
      </c>
      <c r="CI7" s="9" t="n">
        <v>11.35</v>
      </c>
      <c r="CJ7" s="9" t="n">
        <v>19.03</v>
      </c>
      <c r="CK7" s="33">
        <f>PERCENTRANK(CJ$2:INDEX($CJ:$CJ,LOOKUP(2,1/(ISNUMBER($A$2:$A$1048576)),ROW($A$2:$A$1048576))),CJ7)</f>
        <v/>
      </c>
      <c r="CL7" s="38">
        <f>sum(CJ7-CJ$106)/CJ$107</f>
        <v/>
      </c>
      <c r="CM7" s="9" t="n">
        <v>59.48</v>
      </c>
      <c r="CN7" s="9" t="n">
        <v>24</v>
      </c>
      <c r="CO7" s="9" t="n">
        <v>40.35</v>
      </c>
      <c r="CP7" s="9" t="n">
        <v>1.13</v>
      </c>
      <c r="CQ7" s="9" t="n">
        <v>0.98</v>
      </c>
      <c r="CR7" s="9" t="n">
        <v>10.43</v>
      </c>
      <c r="CS7" s="33">
        <f>PERCENTRANK(CR$2:INDEX($CR:$CR,LOOKUP(2,1/(ISNUMBER($A$2:$A$1048576)),ROW($A$2:$A$1048576))),CR7)</f>
        <v/>
      </c>
      <c r="CT7" s="39">
        <f>1-(CR7-CR$106)/CR$107</f>
        <v/>
      </c>
      <c r="CU7" s="9" t="n">
        <v>3.3</v>
      </c>
      <c r="CV7" s="33">
        <f>PERCENTRANK(CU$2:INDEX($CU:$CU,LOOKUP(2,1/(ISNUMBER($A$2:$A$1048576)),ROW($A$2:$A$1048576))),CU7)</f>
        <v/>
      </c>
      <c r="CW7" s="39">
        <f>1-(CU7-CU$106)/CU$107</f>
        <v/>
      </c>
      <c r="CX7" s="9" t="n">
        <v>31.65</v>
      </c>
      <c r="CY7" s="9" t="n">
        <v>63.98</v>
      </c>
      <c r="CZ7" s="9" t="n">
        <v>38.48</v>
      </c>
      <c r="DA7" s="9" t="n">
        <v>60.14</v>
      </c>
      <c r="DB7" s="9" t="n">
        <v>55.88</v>
      </c>
      <c r="DC7" s="9" t="n">
        <v>23.63</v>
      </c>
      <c r="DD7" s="9" t="n">
        <v>42.28</v>
      </c>
      <c r="DE7" s="9" t="n">
        <v>3.23</v>
      </c>
      <c r="DF7" s="9" t="n">
        <v>1.7</v>
      </c>
      <c r="DG7" s="9" t="n">
        <v>52.71</v>
      </c>
      <c r="DH7" s="9" t="n">
        <v>37.08</v>
      </c>
      <c r="DI7" s="33">
        <f>PERCENTRANK(DH$2:INDEX($DH:$DH,LOOKUP(2,1/(ISNUMBER($A$2:$A$1048576)),ROW($A$2:$A$1048576))),DH7)</f>
        <v/>
      </c>
      <c r="DJ7" s="39">
        <f>SUM(DH7-DH$106)/DH$107</f>
        <v/>
      </c>
      <c r="DK7" s="9" t="n">
        <v>17.05</v>
      </c>
      <c r="DL7" s="9" t="n">
        <v>16.83</v>
      </c>
      <c r="DM7" s="9" t="n">
        <v>3.03</v>
      </c>
      <c r="DN7" s="9" t="n">
        <v>0.08</v>
      </c>
      <c r="DO7" s="9" t="n">
        <v>119.58</v>
      </c>
      <c r="DP7" s="9" t="n">
        <v>78.45</v>
      </c>
      <c r="DQ7" s="33">
        <f>PERCENTRANK(DP$2:INDEX($DP:$DP,LOOKUP(2,1/(ISNUMBER($A$2:$A$1048576)),ROW($A$2:$A$1048576))),DP7)</f>
        <v/>
      </c>
      <c r="DR7" s="40">
        <f>sum(DP7-DP$106)/DP$107</f>
        <v/>
      </c>
      <c r="DS7" s="9" t="n">
        <v>65.61</v>
      </c>
      <c r="DT7" s="9" t="n">
        <v>40.73</v>
      </c>
      <c r="DU7" s="9" t="n">
        <v>37.15</v>
      </c>
      <c r="DV7" s="9" t="n">
        <v>91.22</v>
      </c>
      <c r="DW7" s="9" t="n">
        <v>96.90000000000001</v>
      </c>
      <c r="DX7" s="9" t="n">
        <v>79.53</v>
      </c>
      <c r="DY7" s="9" t="n">
        <v>82.06999999999999</v>
      </c>
      <c r="DZ7" s="9" t="n">
        <v>49.78</v>
      </c>
      <c r="EA7" s="9" t="n">
        <v>24.63</v>
      </c>
      <c r="EB7" s="9" t="n">
        <v>49.47</v>
      </c>
      <c r="EC7" s="9" t="n">
        <v>52.1</v>
      </c>
      <c r="ED7" s="9" t="n">
        <v>32.18</v>
      </c>
      <c r="EE7" s="33">
        <f>PERCENTRANK(ED$2:INDEX($ED:$ED,LOOKUP(2,1/(ISNUMBER($A$2:$A$1048576)),ROW($A$2:$A$1048576))),ED7)</f>
        <v/>
      </c>
      <c r="EF7" s="40">
        <f>sum(ED7-ED$106)/ED$107</f>
        <v/>
      </c>
      <c r="EG7" s="9" t="n">
        <v>61.76</v>
      </c>
      <c r="EH7" s="9" t="n">
        <v>65.88</v>
      </c>
      <c r="EI7" s="9" t="n">
        <v>48.1</v>
      </c>
      <c r="EJ7" s="33">
        <f>PERCENTRANK(EI$2:INDEX($EI:$EI,LOOKUP(2,1/(ISNUMBER($A$2:$A$1048576)),ROW($A$2:$A$1048576))),EI7)</f>
        <v/>
      </c>
      <c r="EK7" s="40">
        <f>sum(EI7-EI$106)/EI$107</f>
        <v/>
      </c>
      <c r="EL7" s="9" t="n">
        <v>73.02</v>
      </c>
      <c r="EM7" s="9" t="n">
        <v>0.73</v>
      </c>
      <c r="EN7" s="9" t="n">
        <v>0.4</v>
      </c>
      <c r="EO7" s="9" t="n">
        <v>55.17</v>
      </c>
      <c r="EP7" s="9" t="n">
        <v>22.15</v>
      </c>
      <c r="EQ7" s="9" t="n">
        <v>18.78</v>
      </c>
      <c r="ER7" s="9" t="n">
        <v>84.76000000000001</v>
      </c>
      <c r="ES7" s="9" t="n">
        <v>8.300000000000001</v>
      </c>
      <c r="ET7" s="9" t="n">
        <v>14.47</v>
      </c>
      <c r="EU7" s="9" t="n">
        <v>2.8</v>
      </c>
      <c r="EV7" s="9" t="n">
        <v>17.21</v>
      </c>
      <c r="EW7" s="9" t="n">
        <v>17.82</v>
      </c>
      <c r="EX7" s="33">
        <f>PERCENTRANK(EW$2:INDEX($EW:$EW,LOOKUP(2,1/(ISNUMBER($A$2:$A$1048576)),ROW($A$2:$A$1048576))),EW7)</f>
        <v/>
      </c>
      <c r="EY7" s="38">
        <f>1-(EW7-EW$106)/EW$107</f>
        <v/>
      </c>
      <c r="EZ7" s="9" t="n">
        <v>21.48</v>
      </c>
      <c r="FA7" s="9" t="n">
        <v>9.02</v>
      </c>
      <c r="FB7" s="33">
        <f>PERCENTRANK(FA$2:INDEX($FA:$FA,LOOKUP(2,1/(ISNUMBER($A$2:$A$1048576)),ROW($A$2:$A$1048576))),FA7)</f>
        <v/>
      </c>
      <c r="FC7" s="39">
        <f>1-(FA7-FA$106)/FA$107</f>
        <v/>
      </c>
      <c r="FD7" s="9" t="n">
        <v>0.98</v>
      </c>
      <c r="FE7" s="9" t="n">
        <v>1.14</v>
      </c>
      <c r="FF7" s="33">
        <f>PERCENTRANK(FE$2:INDEX($FE:$FE,LOOKUP(2,1/(ISNUMBER($A$2:$A$1048576)),ROW($A$2:$A$1048576))),FE7)</f>
        <v/>
      </c>
      <c r="FG7" s="39">
        <f>1-(FE7-FE$106)/FE$107</f>
        <v/>
      </c>
      <c r="FH7" s="9" t="n">
        <v>10.43</v>
      </c>
      <c r="FI7" s="9" t="n">
        <v>3.15</v>
      </c>
      <c r="FJ7" s="9" t="n">
        <v>30.22</v>
      </c>
      <c r="FK7" s="9" t="n">
        <v>355.35</v>
      </c>
      <c r="FL7" s="33">
        <f>PERCENTRANK(FK$2:INDEX($FK:$FK,LOOKUP(2,1/(ISNUMBER($A$2:$A$1048576)),ROW($A$2:$A$1048576))),FK7)</f>
        <v/>
      </c>
      <c r="FM7" s="39">
        <f>SWA6-(FK7-FK$106)/FK$107</f>
        <v/>
      </c>
      <c r="FN7" s="9" t="n">
        <v>279.25</v>
      </c>
      <c r="FO7" s="9" t="n">
        <v>78.58</v>
      </c>
      <c r="FP7" s="9" t="n">
        <v>53.4</v>
      </c>
      <c r="FQ7" s="9" t="n">
        <v>119.75</v>
      </c>
      <c r="FR7" s="9" t="n">
        <v>26.58</v>
      </c>
      <c r="FS7" s="9" t="n">
        <v>43.9</v>
      </c>
      <c r="FT7" s="9" t="n">
        <v>49.28</v>
      </c>
      <c r="FU7" s="9" t="n">
        <v>81.88</v>
      </c>
      <c r="FV7" s="9" t="n">
        <v>41.2</v>
      </c>
      <c r="FW7" s="9" t="n">
        <v>30.9</v>
      </c>
      <c r="FX7" s="9" t="n">
        <v>9.779999999999999</v>
      </c>
      <c r="FY7" s="9" t="n">
        <v>208.48</v>
      </c>
      <c r="FZ7" s="9" t="n">
        <v>99.40000000000001</v>
      </c>
      <c r="GA7" s="9" t="n">
        <v>47.68</v>
      </c>
      <c r="GB7" s="9" t="n">
        <v>3.83</v>
      </c>
      <c r="GC7" s="9" t="n">
        <v>0.85</v>
      </c>
      <c r="GD7" s="9" t="n">
        <v>22.22</v>
      </c>
      <c r="GE7" s="9" t="n">
        <v>23.13</v>
      </c>
      <c r="GF7" s="9" t="n">
        <v>5.83</v>
      </c>
      <c r="GG7" s="9" t="n">
        <v>25.19</v>
      </c>
      <c r="GH7" s="9" t="n">
        <v>0.65</v>
      </c>
      <c r="GI7" s="9" t="n">
        <v>0.38</v>
      </c>
      <c r="GJ7" s="9" t="n">
        <v>57.69</v>
      </c>
      <c r="GK7" s="9" t="n">
        <v>29.5</v>
      </c>
      <c r="GL7" s="9" t="n">
        <v>3.63</v>
      </c>
      <c r="GM7" s="9" t="n">
        <v>12.29</v>
      </c>
      <c r="GN7" s="9" t="n">
        <v>4.35</v>
      </c>
      <c r="GO7" s="9" t="n">
        <v>1.38</v>
      </c>
      <c r="GP7" s="9" t="n">
        <v>31.61</v>
      </c>
      <c r="GQ7" s="9" t="n">
        <v>3.43</v>
      </c>
      <c r="GR7" s="9" t="n">
        <v>0.98</v>
      </c>
      <c r="GS7" s="9" t="n">
        <v>28.47</v>
      </c>
      <c r="GT7" s="9" t="n">
        <v>0.13</v>
      </c>
      <c r="GU7" s="9" t="n">
        <v>0.13</v>
      </c>
      <c r="GV7" s="9" t="n">
        <v>100</v>
      </c>
      <c r="GW7" s="9" t="n">
        <v>13.58</v>
      </c>
      <c r="GX7" s="9" t="n">
        <v>4.75</v>
      </c>
      <c r="GY7" s="9" t="n">
        <v>34.99</v>
      </c>
      <c r="GZ7" s="9" t="n">
        <v>4.58</v>
      </c>
      <c r="HA7" s="9" t="n">
        <v>5.6</v>
      </c>
      <c r="HB7" s="9" t="n">
        <v>21.98</v>
      </c>
      <c r="HC7" s="9" t="n">
        <v>3.23</v>
      </c>
      <c r="HD7" s="9" t="n">
        <v>8.6</v>
      </c>
      <c r="HE7" s="9" t="n">
        <v>15.2</v>
      </c>
      <c r="HF7" s="9" t="n">
        <v>63.95</v>
      </c>
      <c r="HG7" s="9" t="n">
        <v>25.48</v>
      </c>
      <c r="HH7" s="9" t="n">
        <v>39.84</v>
      </c>
      <c r="HI7" s="9" t="n">
        <v>1.53</v>
      </c>
      <c r="HJ7" s="9" t="n">
        <v>1.68</v>
      </c>
      <c r="HK7" s="9" t="n">
        <v>13.08</v>
      </c>
      <c r="HL7" s="9" t="n">
        <v>4.38</v>
      </c>
      <c r="HM7" s="9" t="n">
        <v>33.46</v>
      </c>
      <c r="HN7" s="9" t="n">
        <v>59.5</v>
      </c>
      <c r="HO7" s="9" t="n">
        <v>35.48</v>
      </c>
      <c r="HP7" s="9" t="n">
        <v>59.62</v>
      </c>
      <c r="HQ7" s="9" t="n">
        <v>55.88</v>
      </c>
      <c r="HR7" s="9" t="n">
        <v>26.95</v>
      </c>
      <c r="HS7" s="9" t="n">
        <v>48.23</v>
      </c>
      <c r="HT7" s="9" t="n">
        <v>2.98</v>
      </c>
      <c r="HU7" s="9" t="n">
        <v>1.4</v>
      </c>
      <c r="HV7" s="9" t="n">
        <v>47.06</v>
      </c>
      <c r="HW7" s="9" t="n">
        <v>38</v>
      </c>
      <c r="HX7" s="9" t="n">
        <v>18.85</v>
      </c>
      <c r="HY7" s="9" t="n">
        <v>14.98</v>
      </c>
      <c r="HZ7" s="9" t="n">
        <v>2.43</v>
      </c>
      <c r="IA7" s="9" t="n">
        <v>0.1</v>
      </c>
      <c r="IB7" s="9" t="n">
        <v>136.83</v>
      </c>
      <c r="IC7" s="9" t="n">
        <v>91.34999999999999</v>
      </c>
      <c r="ID7" s="9" t="n">
        <v>66.76000000000001</v>
      </c>
      <c r="IE7" s="9" t="n">
        <v>52</v>
      </c>
      <c r="IF7" s="9" t="n">
        <v>48.23</v>
      </c>
      <c r="IG7" s="9" t="n">
        <v>92.73999999999999</v>
      </c>
      <c r="IH7" s="9" t="n">
        <v>119.78</v>
      </c>
      <c r="II7" s="9" t="n">
        <v>102.75</v>
      </c>
      <c r="IJ7" s="9" t="n">
        <v>85.79000000000001</v>
      </c>
      <c r="IK7" s="9" t="n">
        <v>53.88</v>
      </c>
      <c r="IL7" s="9" t="n">
        <v>26.13</v>
      </c>
      <c r="IM7" s="9" t="n">
        <v>48.49</v>
      </c>
      <c r="IN7" s="9" t="n">
        <v>50.75</v>
      </c>
      <c r="IO7" s="9" t="n">
        <v>30.5</v>
      </c>
      <c r="IP7" s="9" t="n">
        <v>60.1</v>
      </c>
      <c r="IQ7" s="9" t="n">
        <v>68.59999999999999</v>
      </c>
      <c r="IR7" s="9" t="n">
        <v>45.08</v>
      </c>
      <c r="IS7" s="9" t="n">
        <v>65.70999999999999</v>
      </c>
      <c r="IT7" s="33">
        <f>PERCENTRANK(IS$2:INDEX($IS:$IS,LOOKUP(2,1/(ISNUMBER($A$2:$A$1048576)),ROW($A$2:$A$1048576))),IS7)</f>
        <v/>
      </c>
      <c r="IU7" s="39">
        <f>1-(IS7-IS$106)/IS$107</f>
        <v/>
      </c>
      <c r="IV7" s="9" t="n">
        <v>0.95</v>
      </c>
      <c r="IW7" s="9" t="n">
        <v>0.45</v>
      </c>
      <c r="IX7" s="9" t="n">
        <v>47.37</v>
      </c>
      <c r="IY7" s="9" t="n">
        <v>22.28</v>
      </c>
      <c r="IZ7" s="9" t="n">
        <v>19.3</v>
      </c>
      <c r="JA7" s="9" t="n">
        <v>86.64</v>
      </c>
      <c r="JB7" s="9" t="n">
        <v>9.48</v>
      </c>
      <c r="JC7" s="9" t="n">
        <v>15.06</v>
      </c>
      <c r="JD7" s="9" t="n">
        <v>3.36</v>
      </c>
      <c r="JE7" s="9" t="n">
        <v>15.87</v>
      </c>
      <c r="JF7" s="9" t="n">
        <v>17.37</v>
      </c>
      <c r="JG7" s="9" t="n">
        <v>21.13</v>
      </c>
      <c r="JH7" s="9" t="n">
        <v>7.79</v>
      </c>
    </row>
    <row r="8">
      <c r="A8" s="12" t="n">
        <v>2022</v>
      </c>
      <c r="B8" s="31" t="inlineStr">
        <is>
          <t>Rio Grande Valley</t>
        </is>
      </c>
      <c r="C8" s="12" t="n">
        <v>49</v>
      </c>
      <c r="D8" s="5">
        <f>(C8-AVERAGE($C$2:INDEX($C:$C,LOOKUP(2,1/(ISNUMBER($A$2:$A$1048576)),ROW($A$2:$A$1048576)))))/_xlfn.STDEV.P($C$2:INDEX($C:$C,LOOKUP(2,1/(ISNUMBER($A$2:$A$1048576)),ROW($A$2:$A$1048576))))</f>
        <v/>
      </c>
      <c r="E8" s="12" t="n">
        <v>6</v>
      </c>
      <c r="F8" s="6">
        <f>-E8</f>
        <v/>
      </c>
      <c r="G8" s="7">
        <f>(F8-AVERAGE($F$2:INDEX($F:$F,LOOKUP(2,1/(ISNUMBER($A$2:$A$1048576)),ROW($A$2:$A$1048576)))))/_xlfn.STDEV.P($F$2:INDEX($F:$F,LOOKUP(2,1/(ISNUMBER($A$2:$A$1048576)),ROW($A$2:$A$1048576))))</f>
        <v/>
      </c>
      <c r="H8" s="32">
        <f>sum(0.5*D8)+(0.5*G8)</f>
        <v/>
      </c>
      <c r="I8" s="12" t="inlineStr">
        <is>
          <t>West</t>
        </is>
      </c>
      <c r="J8" s="10">
        <f>sum(L8*L$105)+(N8*N$105)+(P8*P$105)+(T8*R$105)</f>
        <v/>
      </c>
      <c r="K8" s="33">
        <f>PERCENTRANK(J$2:INDEX($J:$J,LOOKUP(2,1/(ISNUMBER($A$2:$A$1048576)),ROW($A$2:$A$1048576))),J8)</f>
        <v/>
      </c>
      <c r="L8" s="10">
        <f>sum(AA8*0.66)+(AD8*0.55)+(AG8*0.59)+(CG8*0.51)+(CL8*0.6)+(EY8*0.31)</f>
        <v/>
      </c>
      <c r="M8" s="33">
        <f>PERCENTRANK(L$2:INDEX($L:$L,LOOKUP(2,1/(ISNUMBER($A$2:$A$1048576)),ROW($A$2:$A$1048576))),L8)</f>
        <v/>
      </c>
      <c r="N8" s="10">
        <f>sum(CT8*0.57)+(CW8*0.71)+(DJ8*0.08)+(FC8*0.33)+(FG8*0.69)+(FM8*0.26)+(IU8*0.54)+(AU8*0.4)</f>
        <v/>
      </c>
      <c r="O8" s="33">
        <f>PERCENTRANK(N$2:INDEX($N:$N,LOOKUP(2,1/(ISNUMBER($A$2:$A$1048576)),ROW($A$2:$A$1048576))),N8)</f>
        <v/>
      </c>
      <c r="P8" s="10">
        <f>sum(BG8*0.51)+(CD8*0.51)+(DR8*0.11)+(EF8*0.42)+(EK8*0.44)+(W8*0.6)</f>
        <v/>
      </c>
      <c r="Q8" s="33">
        <f>PERCENTRANK(P$2:INDEX($P:$P,LOOKUP(2,1/(ISNUMBER($A$2:$A$1048576)),ROW($A$2:$A$1048576))),P8)</f>
        <v/>
      </c>
      <c r="R8" s="10">
        <f>sum(Y8-FE8)</f>
        <v/>
      </c>
      <c r="S8" s="33">
        <f>PERCENTRANK(R$2:INDEX($R:$R,LOOKUP(2,1/(ISNUMBER($A$2:$A$1048576)),ROW($A$2:$A$1048576))),R8)</f>
        <v/>
      </c>
      <c r="T8" s="34">
        <f>sum(R8-R$106)/R$107</f>
        <v/>
      </c>
      <c r="U8" s="35">
        <f>sum(Y8/AI8)*100</f>
        <v/>
      </c>
      <c r="V8" s="33">
        <f>PERCENTRANK(U$2:INDEX($U:$U,LOOKUP(2,1/(ISNUMBER($A$2:$A$1048576)),ROW($A$2:$A$1048576))),U8)</f>
        <v/>
      </c>
      <c r="W8" s="36">
        <f>sum(U8-U$106)/U$107</f>
        <v/>
      </c>
      <c r="X8" s="9" t="n">
        <v>1.46</v>
      </c>
      <c r="Y8" s="9" t="n">
        <v>1.45</v>
      </c>
      <c r="Z8" s="33">
        <f>PERCENTRANK(Y$2:INDEX($Y:$Y,LOOKUP(2,1/(ISNUMBER($A$2:$A$1048576)),ROW($A$2:$A$1048576))),Y8)</f>
        <v/>
      </c>
      <c r="AA8" s="37">
        <f>sum(Y8-Y$106)/Y$107</f>
        <v/>
      </c>
      <c r="AB8" s="9" t="n">
        <v>13.11</v>
      </c>
      <c r="AC8" s="33">
        <f>PERCENTRANK(AB$2:INDEX($AB:$AB,LOOKUP(2,1/(ISNUMBER($A$2:$A$1048576)),ROW($A$2:$A$1048576))),AB8)</f>
        <v/>
      </c>
      <c r="AD8" s="38">
        <f>sum(AB8-AB$106)/AB$107</f>
        <v/>
      </c>
      <c r="AE8" s="9" t="n">
        <v>4.34</v>
      </c>
      <c r="AF8" s="33">
        <f>PERCENTRANK(AE$2:INDEX($AE:$AE,LOOKUP(2,1/(ISNUMBER($A$2:$A$1048576)),ROW($A$2:$A$1048576))),AE8)</f>
        <v/>
      </c>
      <c r="AG8" s="38">
        <f>sum(AE8-AE$106)/AE$107</f>
        <v/>
      </c>
      <c r="AH8" s="9" t="n">
        <v>33.12</v>
      </c>
      <c r="AI8" s="9" t="n">
        <v>401.77</v>
      </c>
      <c r="AJ8" s="9" t="n">
        <v>328.6</v>
      </c>
      <c r="AK8" s="9" t="n">
        <v>81.79000000000001</v>
      </c>
      <c r="AL8" s="9" t="n">
        <v>51.78</v>
      </c>
      <c r="AM8" s="9" t="n">
        <v>99.37</v>
      </c>
      <c r="AN8" s="9" t="n">
        <v>13.83</v>
      </c>
      <c r="AO8" s="9" t="n">
        <v>38.69</v>
      </c>
      <c r="AP8" s="9" t="n">
        <v>46.86</v>
      </c>
      <c r="AQ8" s="9" t="n">
        <v>81.8</v>
      </c>
      <c r="AR8" s="9" t="n">
        <v>34.46</v>
      </c>
      <c r="AS8" s="9" t="n">
        <v>33.29</v>
      </c>
      <c r="AT8" s="33">
        <f>PERCENTRANK(AS$2:INDEX($AS:$AS,LOOKUP(2,1/(ISNUMBER($A$2:$A$1048576)),ROW($A$2:$A$1048576))),AS8)</f>
        <v/>
      </c>
      <c r="AU8" s="39">
        <f>SUM(AS8-AS$106)/AS$107</f>
        <v/>
      </c>
      <c r="AV8" s="9" t="n">
        <v>14.06</v>
      </c>
      <c r="AW8" s="33">
        <f>PERCENTRANK(AV$2:INDEX($AV:$AV,LOOKUP(2,1/(ISNUMBER($A$2:$A$1048576)),ROW($A$2:$A$1048576))),AV8)</f>
        <v/>
      </c>
      <c r="AX8" s="9" t="n">
        <v>203.11</v>
      </c>
      <c r="AY8" s="9" t="n">
        <v>97.56999999999999</v>
      </c>
      <c r="AZ8" s="9" t="n">
        <v>48.04</v>
      </c>
      <c r="BA8" s="9" t="n">
        <v>5.74</v>
      </c>
      <c r="BB8" s="9" t="n">
        <v>1.4</v>
      </c>
      <c r="BC8" s="9" t="n">
        <v>24.38</v>
      </c>
      <c r="BD8" s="9" t="n">
        <v>30.37</v>
      </c>
      <c r="BE8" s="9" t="n">
        <v>7.83</v>
      </c>
      <c r="BF8" s="33">
        <f>PERCENTRANK(BE$2:INDEX($BE:$BE,LOOKUP(2,1/(ISNUMBER($A$2:$A$1048576)),ROW($A$2:$A$1048576))),BE8)</f>
        <v/>
      </c>
      <c r="BG8" s="40">
        <f>sum(BE8-BE$106)/BE$107</f>
        <v/>
      </c>
      <c r="BH8" s="9" t="n">
        <v>25.78</v>
      </c>
      <c r="BI8" s="9" t="n">
        <v>1.69</v>
      </c>
      <c r="BJ8" s="9" t="n">
        <v>0.91</v>
      </c>
      <c r="BK8" s="9" t="n">
        <v>54.24</v>
      </c>
      <c r="BL8" s="9" t="n">
        <v>27.83</v>
      </c>
      <c r="BM8" s="9" t="n">
        <v>3.83</v>
      </c>
      <c r="BN8" s="9" t="n">
        <v>13.76</v>
      </c>
      <c r="BO8" s="9" t="n">
        <v>5.31</v>
      </c>
      <c r="BP8" s="9" t="n">
        <v>2.14</v>
      </c>
      <c r="BQ8" s="9" t="n">
        <v>40.32</v>
      </c>
      <c r="BR8" s="9" t="n">
        <v>2.6</v>
      </c>
      <c r="BS8" s="9" t="n">
        <v>0.43</v>
      </c>
      <c r="BT8" s="9" t="n">
        <v>16.48</v>
      </c>
      <c r="BU8" s="9" t="n">
        <v>0.09</v>
      </c>
      <c r="BV8" s="9" t="n">
        <v>0</v>
      </c>
      <c r="BW8" s="9" t="n">
        <v>0</v>
      </c>
      <c r="BX8" s="9" t="n">
        <v>17.6</v>
      </c>
      <c r="BY8" s="9" t="n">
        <v>5.51</v>
      </c>
      <c r="BZ8" s="9" t="n">
        <v>31.33</v>
      </c>
      <c r="CA8" s="9" t="n">
        <v>5.54</v>
      </c>
      <c r="CB8" s="9" t="n">
        <v>6.69</v>
      </c>
      <c r="CC8" s="33">
        <f>PERCENTRANK(CD$2:INDEX($CD:$CD,LOOKUP(2,1/(ISNUMBER($A$2:$A$1048576)),ROW($A$2:$A$1048576))),CD8)</f>
        <v/>
      </c>
      <c r="CD8" s="40">
        <f>sum(CB8-CB$106)/CB$107</f>
        <v/>
      </c>
      <c r="CE8" s="9" t="n">
        <v>25.09</v>
      </c>
      <c r="CF8" s="33">
        <f>PERCENTRANK(CE$2:INDEX($CE:$CE,LOOKUP(2,1/(ISNUMBER($A$2:$A$1048576)),ROW($A$2:$A$1048576))),CE8)</f>
        <v/>
      </c>
      <c r="CG8" s="38">
        <f>sum(CE8-CE$106)/CE$107</f>
        <v/>
      </c>
      <c r="CH8" s="9" t="n">
        <v>3.66</v>
      </c>
      <c r="CI8" s="9" t="n">
        <v>10.8</v>
      </c>
      <c r="CJ8" s="9" t="n">
        <v>17.29</v>
      </c>
      <c r="CK8" s="33">
        <f>PERCENTRANK(CJ$2:INDEX($CJ:$CJ,LOOKUP(2,1/(ISNUMBER($A$2:$A$1048576)),ROW($A$2:$A$1048576))),CJ8)</f>
        <v/>
      </c>
      <c r="CL8" s="38">
        <f>sum(CJ8-CJ$106)/CJ$107</f>
        <v/>
      </c>
      <c r="CM8" s="9" t="n">
        <v>70.17</v>
      </c>
      <c r="CN8" s="9" t="n">
        <v>27.94</v>
      </c>
      <c r="CO8" s="9" t="n">
        <v>39.82</v>
      </c>
      <c r="CP8" s="9" t="n">
        <v>1.83</v>
      </c>
      <c r="CQ8" s="9" t="n">
        <v>1.23</v>
      </c>
      <c r="CR8" s="9" t="n">
        <v>8.31</v>
      </c>
      <c r="CS8" s="33">
        <f>PERCENTRANK(CR$2:INDEX($CR:$CR,LOOKUP(2,1/(ISNUMBER($A$2:$A$1048576)),ROW($A$2:$A$1048576))),CR8)</f>
        <v/>
      </c>
      <c r="CT8" s="39">
        <f>1-(CR8-CR$106)/CR$107</f>
        <v/>
      </c>
      <c r="CU8" s="9" t="n">
        <v>3.6</v>
      </c>
      <c r="CV8" s="33">
        <f>PERCENTRANK(CU$2:INDEX($CU:$CU,LOOKUP(2,1/(ISNUMBER($A$2:$A$1048576)),ROW($A$2:$A$1048576))),CU8)</f>
        <v/>
      </c>
      <c r="CW8" s="39">
        <f>1-(CU8-CU$106)/CU$107</f>
        <v/>
      </c>
      <c r="CX8" s="9" t="n">
        <v>43.3</v>
      </c>
      <c r="CY8" s="9" t="n">
        <v>67.23</v>
      </c>
      <c r="CZ8" s="9" t="n">
        <v>40.63</v>
      </c>
      <c r="DA8" s="9" t="n">
        <v>60.43</v>
      </c>
      <c r="DB8" s="9" t="n">
        <v>35</v>
      </c>
      <c r="DC8" s="9" t="n">
        <v>16</v>
      </c>
      <c r="DD8" s="9" t="n">
        <v>45.71</v>
      </c>
      <c r="DE8" s="9" t="n">
        <v>4.29</v>
      </c>
      <c r="DF8" s="9" t="n">
        <v>2.31</v>
      </c>
      <c r="DG8" s="9" t="n">
        <v>54</v>
      </c>
      <c r="DH8" s="9" t="n">
        <v>36.26</v>
      </c>
      <c r="DI8" s="33">
        <f>PERCENTRANK(DH$2:INDEX($DH:$DH,LOOKUP(2,1/(ISNUMBER($A$2:$A$1048576)),ROW($A$2:$A$1048576))),DH8)</f>
        <v/>
      </c>
      <c r="DJ8" s="39">
        <f>SUM(DH8-DH$106)/DH$107</f>
        <v/>
      </c>
      <c r="DK8" s="9" t="n">
        <v>13.31</v>
      </c>
      <c r="DL8" s="9" t="n">
        <v>14.11</v>
      </c>
      <c r="DM8" s="9" t="n">
        <v>2.51</v>
      </c>
      <c r="DN8" s="9" t="n">
        <v>0.11</v>
      </c>
      <c r="DO8" s="9" t="n">
        <v>139.14</v>
      </c>
      <c r="DP8" s="9" t="n">
        <v>98.89</v>
      </c>
      <c r="DQ8" s="33">
        <f>PERCENTRANK(DP$2:INDEX($DP:$DP,LOOKUP(2,1/(ISNUMBER($A$2:$A$1048576)),ROW($A$2:$A$1048576))),DP8)</f>
        <v/>
      </c>
      <c r="DR8" s="40">
        <f>sum(DP8-DP$106)/DP$107</f>
        <v/>
      </c>
      <c r="DS8" s="9" t="n">
        <v>71.06999999999999</v>
      </c>
      <c r="DT8" s="9" t="n">
        <v>60.34</v>
      </c>
      <c r="DU8" s="9" t="n">
        <v>56.6</v>
      </c>
      <c r="DV8" s="9" t="n">
        <v>93.8</v>
      </c>
      <c r="DW8" s="9" t="n">
        <v>147.46</v>
      </c>
      <c r="DX8" s="9" t="n">
        <v>129</v>
      </c>
      <c r="DY8" s="9" t="n">
        <v>87.48</v>
      </c>
      <c r="DZ8" s="9" t="n">
        <v>51.63</v>
      </c>
      <c r="EA8" s="9" t="n">
        <v>27.23</v>
      </c>
      <c r="EB8" s="9" t="n">
        <v>52.74</v>
      </c>
      <c r="EC8" s="9" t="n">
        <v>53.8</v>
      </c>
      <c r="ED8" s="9" t="n">
        <v>35.63</v>
      </c>
      <c r="EE8" s="33">
        <f>PERCENTRANK(ED$2:INDEX($ED:$ED,LOOKUP(2,1/(ISNUMBER($A$2:$A$1048576)),ROW($A$2:$A$1048576))),ED8)</f>
        <v/>
      </c>
      <c r="EF8" s="40">
        <f>sum(ED8-ED$106)/ED$107</f>
        <v/>
      </c>
      <c r="EG8" s="9" t="n">
        <v>66.22</v>
      </c>
      <c r="EH8" s="9" t="n">
        <v>72.37</v>
      </c>
      <c r="EI8" s="9" t="n">
        <v>53.49</v>
      </c>
      <c r="EJ8" s="33">
        <f>PERCENTRANK(EI$2:INDEX($EI:$EI,LOOKUP(2,1/(ISNUMBER($A$2:$A$1048576)),ROW($A$2:$A$1048576))),EI8)</f>
        <v/>
      </c>
      <c r="EK8" s="40">
        <f>sum(EI8-EI$106)/EI$107</f>
        <v/>
      </c>
      <c r="EL8" s="9" t="n">
        <v>73.90000000000001</v>
      </c>
      <c r="EM8" s="9" t="n">
        <v>3.66</v>
      </c>
      <c r="EN8" s="9" t="n">
        <v>1.69</v>
      </c>
      <c r="EO8" s="9" t="n">
        <v>46.09</v>
      </c>
      <c r="EP8" s="9" t="n">
        <v>23.94</v>
      </c>
      <c r="EQ8" s="9" t="n">
        <v>21.86</v>
      </c>
      <c r="ER8" s="9" t="n">
        <v>91.29000000000001</v>
      </c>
      <c r="ES8" s="9" t="n">
        <v>7.77</v>
      </c>
      <c r="ET8" s="9" t="n">
        <v>15.81</v>
      </c>
      <c r="EU8" s="9" t="n">
        <v>3.66</v>
      </c>
      <c r="EV8" s="9" t="n">
        <v>13.79</v>
      </c>
      <c r="EW8" s="9" t="n">
        <v>19.17</v>
      </c>
      <c r="EX8" s="33">
        <f>PERCENTRANK(EW$2:INDEX($EW:$EW,LOOKUP(2,1/(ISNUMBER($A$2:$A$1048576)),ROW($A$2:$A$1048576))),EW8)</f>
        <v/>
      </c>
      <c r="EY8" s="38">
        <f>1-(EW8-EW$106)/EW$107</f>
        <v/>
      </c>
      <c r="EZ8" s="9" t="n">
        <v>21.06</v>
      </c>
      <c r="FA8" s="9" t="n">
        <v>9.75</v>
      </c>
      <c r="FB8" s="33">
        <f>PERCENTRANK(FA$2:INDEX($FA:$FA,LOOKUP(2,1/(ISNUMBER($A$2:$A$1048576)),ROW($A$2:$A$1048576))),FA8)</f>
        <v/>
      </c>
      <c r="FC8" s="39">
        <f>1-(FA8-FA$106)/FA$107</f>
        <v/>
      </c>
      <c r="FD8" s="9" t="n">
        <v>1.23</v>
      </c>
      <c r="FE8" s="9" t="n">
        <v>1.05</v>
      </c>
      <c r="FF8" s="33">
        <f>PERCENTRANK(FE$2:INDEX($FE:$FE,LOOKUP(2,1/(ISNUMBER($A$2:$A$1048576)),ROW($A$2:$A$1048576))),FE8)</f>
        <v/>
      </c>
      <c r="FG8" s="39">
        <f>1-(FE8-FE$106)/FE$107</f>
        <v/>
      </c>
      <c r="FH8" s="9" t="n">
        <v>8.31</v>
      </c>
      <c r="FI8" s="9" t="n">
        <v>3.46</v>
      </c>
      <c r="FJ8" s="9" t="n">
        <v>41.58</v>
      </c>
      <c r="FK8" s="9" t="n">
        <v>375.86</v>
      </c>
      <c r="FL8" s="33">
        <f>PERCENTRANK(FK$2:INDEX($FK:$FK,LOOKUP(2,1/(ISNUMBER($A$2:$A$1048576)),ROW($A$2:$A$1048576))),FK8)</f>
        <v/>
      </c>
      <c r="FM8" s="39">
        <f>SWA7-(FK8-FK$106)/FK$107</f>
        <v/>
      </c>
      <c r="FN8" s="9" t="n">
        <v>306.26</v>
      </c>
      <c r="FO8" s="9" t="n">
        <v>81.48</v>
      </c>
      <c r="FP8" s="9" t="n">
        <v>48.22</v>
      </c>
      <c r="FQ8" s="9" t="n">
        <v>104.6</v>
      </c>
      <c r="FR8" s="9" t="n">
        <v>21.31</v>
      </c>
      <c r="FS8" s="9" t="n">
        <v>38.51</v>
      </c>
      <c r="FT8" s="9" t="n">
        <v>44.77</v>
      </c>
      <c r="FU8" s="9" t="n">
        <v>78.8</v>
      </c>
      <c r="FV8" s="9" t="n">
        <v>38.03</v>
      </c>
      <c r="FW8" s="9" t="n">
        <v>31.69</v>
      </c>
      <c r="FX8" s="9" t="n">
        <v>9.09</v>
      </c>
      <c r="FY8" s="9" t="n">
        <v>203.11</v>
      </c>
      <c r="FZ8" s="9" t="n">
        <v>98.23</v>
      </c>
      <c r="GA8" s="9" t="n">
        <v>48.36</v>
      </c>
      <c r="GB8" s="9" t="n">
        <v>3.57</v>
      </c>
      <c r="GC8" s="9" t="n">
        <v>1.17</v>
      </c>
      <c r="GD8" s="9" t="n">
        <v>32.8</v>
      </c>
      <c r="GE8" s="9" t="n">
        <v>24.6</v>
      </c>
      <c r="GF8" s="9" t="n">
        <v>4.86</v>
      </c>
      <c r="GG8" s="9" t="n">
        <v>19.74</v>
      </c>
      <c r="GH8" s="9" t="n">
        <v>1.23</v>
      </c>
      <c r="GI8" s="9" t="n">
        <v>0.37</v>
      </c>
      <c r="GJ8" s="9" t="n">
        <v>30.23</v>
      </c>
      <c r="GK8" s="9" t="n">
        <v>28.03</v>
      </c>
      <c r="GL8" s="9" t="n">
        <v>2.43</v>
      </c>
      <c r="GM8" s="9" t="n">
        <v>8.66</v>
      </c>
      <c r="GN8" s="9" t="n">
        <v>3.74</v>
      </c>
      <c r="GO8" s="9" t="n">
        <v>0.71</v>
      </c>
      <c r="GP8" s="9" t="n">
        <v>19.08</v>
      </c>
      <c r="GQ8" s="9" t="n">
        <v>3</v>
      </c>
      <c r="GR8" s="9" t="n">
        <v>0.6899999999999999</v>
      </c>
      <c r="GS8" s="9" t="n">
        <v>22.86</v>
      </c>
      <c r="GT8" s="9" t="n">
        <v>0.14</v>
      </c>
      <c r="GU8" s="9" t="n">
        <v>0.09</v>
      </c>
      <c r="GV8" s="9" t="n">
        <v>60</v>
      </c>
      <c r="GW8" s="9" t="n">
        <v>11.49</v>
      </c>
      <c r="GX8" s="9" t="n">
        <v>3.66</v>
      </c>
      <c r="GY8" s="9" t="n">
        <v>31.84</v>
      </c>
      <c r="GZ8" s="9" t="n">
        <v>3.66</v>
      </c>
      <c r="HA8" s="9" t="n">
        <v>4.49</v>
      </c>
      <c r="HB8" s="9" t="n">
        <v>18.34</v>
      </c>
      <c r="HC8" s="9" t="n">
        <v>2.91</v>
      </c>
      <c r="HD8" s="9" t="n">
        <v>6.71</v>
      </c>
      <c r="HE8" s="9" t="n">
        <v>11.66</v>
      </c>
      <c r="HF8" s="9" t="n">
        <v>67.23</v>
      </c>
      <c r="HG8" s="9" t="n">
        <v>26.6</v>
      </c>
      <c r="HH8" s="9" t="n">
        <v>39.57</v>
      </c>
      <c r="HI8" s="9" t="n">
        <v>1.74</v>
      </c>
      <c r="HJ8" s="9" t="n">
        <v>1.46</v>
      </c>
      <c r="HK8" s="9" t="n">
        <v>13.11</v>
      </c>
      <c r="HL8" s="9" t="n">
        <v>4.6</v>
      </c>
      <c r="HM8" s="9" t="n">
        <v>35.08</v>
      </c>
      <c r="HN8" s="9" t="n">
        <v>70.14</v>
      </c>
      <c r="HO8" s="9" t="n">
        <v>42.2</v>
      </c>
      <c r="HP8" s="9" t="n">
        <v>60.16</v>
      </c>
      <c r="HQ8" s="9" t="n">
        <v>35.03</v>
      </c>
      <c r="HR8" s="9" t="n">
        <v>17.03</v>
      </c>
      <c r="HS8" s="9" t="n">
        <v>48.61</v>
      </c>
      <c r="HT8" s="9" t="n">
        <v>4.4</v>
      </c>
      <c r="HU8" s="9" t="n">
        <v>1.97</v>
      </c>
      <c r="HV8" s="9" t="n">
        <v>44.81</v>
      </c>
      <c r="HW8" s="9" t="n">
        <v>40.8</v>
      </c>
      <c r="HX8" s="9" t="n">
        <v>16.51</v>
      </c>
      <c r="HY8" s="9" t="n">
        <v>14.63</v>
      </c>
      <c r="HZ8" s="9" t="n">
        <v>3.31</v>
      </c>
      <c r="IA8" s="9" t="n">
        <v>0.17</v>
      </c>
      <c r="IB8" s="9" t="n">
        <v>136.77</v>
      </c>
      <c r="IC8" s="9" t="n">
        <v>96.91</v>
      </c>
      <c r="ID8" s="9" t="n">
        <v>70.86</v>
      </c>
      <c r="IE8" s="9" t="n">
        <v>57.51</v>
      </c>
      <c r="IF8" s="9" t="n">
        <v>53.54</v>
      </c>
      <c r="IG8" s="9" t="n">
        <v>93.09</v>
      </c>
      <c r="IH8" s="9" t="n">
        <v>127.23</v>
      </c>
      <c r="II8" s="9" t="n">
        <v>111.97</v>
      </c>
      <c r="IJ8" s="9" t="n">
        <v>88.01000000000001</v>
      </c>
      <c r="IK8" s="9" t="n">
        <v>43.17</v>
      </c>
      <c r="IL8" s="9" t="n">
        <v>22.06</v>
      </c>
      <c r="IM8" s="9" t="n">
        <v>51.09</v>
      </c>
      <c r="IN8" s="9" t="n">
        <v>46.31</v>
      </c>
      <c r="IO8" s="9" t="n">
        <v>28.4</v>
      </c>
      <c r="IP8" s="9" t="n">
        <v>61.32</v>
      </c>
      <c r="IQ8" s="9" t="n">
        <v>63.91</v>
      </c>
      <c r="IR8" s="9" t="n">
        <v>44.49</v>
      </c>
      <c r="IS8" s="9" t="n">
        <v>69.59999999999999</v>
      </c>
      <c r="IT8" s="33">
        <f>PERCENTRANK(IS$2:INDEX($IS:$IS,LOOKUP(2,1/(ISNUMBER($A$2:$A$1048576)),ROW($A$2:$A$1048576))),IS8)</f>
        <v/>
      </c>
      <c r="IU8" s="39">
        <f>1-(IS8-IS$106)/IS$107</f>
        <v/>
      </c>
      <c r="IV8" s="9" t="n">
        <v>3.77</v>
      </c>
      <c r="IW8" s="9" t="n">
        <v>1.2</v>
      </c>
      <c r="IX8" s="9" t="n">
        <v>31.82</v>
      </c>
      <c r="IY8" s="9" t="n">
        <v>22.09</v>
      </c>
      <c r="IZ8" s="9" t="n">
        <v>19.83</v>
      </c>
      <c r="JA8" s="9" t="n">
        <v>89.78</v>
      </c>
      <c r="JB8" s="9" t="n">
        <v>9.970000000000001</v>
      </c>
      <c r="JC8" s="9" t="n">
        <v>15.87</v>
      </c>
      <c r="JD8" s="9" t="n">
        <v>3.55</v>
      </c>
      <c r="JE8" s="9" t="n">
        <v>12.19</v>
      </c>
      <c r="JF8" s="9" t="n">
        <v>18.11</v>
      </c>
      <c r="JG8" s="9" t="n">
        <v>20.02</v>
      </c>
      <c r="JH8" s="9" t="n">
        <v>11.31</v>
      </c>
    </row>
    <row r="9">
      <c r="A9" s="12" t="n">
        <v>2025</v>
      </c>
      <c r="B9" s="31" t="inlineStr">
        <is>
          <t>Pittsburgh Riverhounds</t>
        </is>
      </c>
      <c r="C9" s="12" t="n">
        <v>44</v>
      </c>
      <c r="D9" s="5">
        <f>(C9-AVERAGE($C$2:INDEX($C:$C,LOOKUP(2,1/(ISNUMBER($A$2:$A$1048576)),ROW($A$2:$A$1048576)))))/_xlfn.STDEV.P($C$2:INDEX($C:$C,LOOKUP(2,1/(ISNUMBER($A$2:$A$1048576)),ROW($A$2:$A$1048576))))</f>
        <v/>
      </c>
      <c r="E9" s="12" t="n">
        <v>4</v>
      </c>
      <c r="F9" s="6">
        <f>-E9</f>
        <v/>
      </c>
      <c r="G9" s="7">
        <f>(F9-AVERAGE($F$2:INDEX($F:$F,LOOKUP(2,1/(ISNUMBER($A$2:$A$1048576)),ROW($A$2:$A$1048576)))))/_xlfn.STDEV.P($F$2:INDEX($F:$F,LOOKUP(2,1/(ISNUMBER($A$2:$A$1048576)),ROW($A$2:$A$1048576))))</f>
        <v/>
      </c>
      <c r="H9" s="32">
        <f>sum(0.5*D9)+(0.5*G9)</f>
        <v/>
      </c>
      <c r="I9" s="12" t="inlineStr">
        <is>
          <t>East</t>
        </is>
      </c>
      <c r="J9" s="10">
        <f>sum(L9*L$105)+(N9*N$105)+(P9*P$105)+(T9*R$105)</f>
        <v/>
      </c>
      <c r="K9" s="33">
        <f>PERCENTRANK(J$2:INDEX($J:$J,LOOKUP(2,1/(ISNUMBER($A$2:$A$1048576)),ROW($A$2:$A$1048576))),J9)</f>
        <v/>
      </c>
      <c r="L9" s="10">
        <f>sum(AA9*0.66)+(AD9*0.55)+(AG9*0.59)+(CG9*0.51)+(CL9*0.6)+(EY9*0.31)</f>
        <v/>
      </c>
      <c r="M9" s="33">
        <f>PERCENTRANK(L$2:INDEX($L:$L,LOOKUP(2,1/(ISNUMBER($A$2:$A$1048576)),ROW($A$2:$A$1048576))),L9)</f>
        <v/>
      </c>
      <c r="N9" s="10">
        <f>sum(CT9*0.57)+(CW9*0.71)+(DJ9*0.08)+(FC9*0.33)+(FG9*0.69)+(FM9*0.26)+(IU9*0.54)+(AU9*0.4)</f>
        <v/>
      </c>
      <c r="O9" s="33">
        <f>PERCENTRANK(N$2:INDEX($N:$N,LOOKUP(2,1/(ISNUMBER($A$2:$A$1048576)),ROW($A$2:$A$1048576))),N9)</f>
        <v/>
      </c>
      <c r="P9" s="10">
        <f>sum(BG9*0.51)+(CD9*0.51)+(DR9*0.11)+(EF9*0.42)+(EK9*0.44)+(W9*0.6)</f>
        <v/>
      </c>
      <c r="Q9" s="33">
        <f>PERCENTRANK(P$2:INDEX($P:$P,LOOKUP(2,1/(ISNUMBER($A$2:$A$1048576)),ROW($A$2:$A$1048576))),P9)</f>
        <v/>
      </c>
      <c r="R9" s="10">
        <f>sum(Y9-FE9)</f>
        <v/>
      </c>
      <c r="S9" s="33">
        <f>PERCENTRANK(R$2:INDEX($R:$R,LOOKUP(2,1/(ISNUMBER($A$2:$A$1048576)),ROW($A$2:$A$1048576))),R9)</f>
        <v/>
      </c>
      <c r="T9" s="34">
        <f>sum(R9-R$106)/R$107</f>
        <v/>
      </c>
      <c r="U9" s="35">
        <f>sum(Y9/AI9)*100</f>
        <v/>
      </c>
      <c r="V9" s="33">
        <f>PERCENTRANK(U$2:INDEX($U:$U,LOOKUP(2,1/(ISNUMBER($A$2:$A$1048576)),ROW($A$2:$A$1048576))),U9)</f>
        <v/>
      </c>
      <c r="W9" s="36">
        <f>sum(U9-U$106)/U$107</f>
        <v/>
      </c>
      <c r="X9" s="9" t="n">
        <v>0.97</v>
      </c>
      <c r="Y9" s="9" t="n">
        <v>1.19</v>
      </c>
      <c r="Z9" s="33">
        <f>PERCENTRANK(Y$2:INDEX($Y:$Y,LOOKUP(2,1/(ISNUMBER($A$2:$A$1048576)),ROW($A$2:$A$1048576))),Y9)</f>
        <v/>
      </c>
      <c r="AA9" s="37">
        <f>sum(Y9-Y$106)/Y$107</f>
        <v/>
      </c>
      <c r="AB9" s="9" t="n">
        <v>9.41</v>
      </c>
      <c r="AC9" s="33">
        <f>PERCENTRANK(AB$2:INDEX($AB:$AB,LOOKUP(2,1/(ISNUMBER($A$2:$A$1048576)),ROW($A$2:$A$1048576))),AB9)</f>
        <v/>
      </c>
      <c r="AD9" s="38">
        <f>sum(AB9-AB$106)/AB$107</f>
        <v/>
      </c>
      <c r="AE9" s="9" t="n">
        <v>3.44</v>
      </c>
      <c r="AF9" s="33">
        <f>PERCENTRANK(AE$2:INDEX($AE:$AE,LOOKUP(2,1/(ISNUMBER($A$2:$A$1048576)),ROW($A$2:$A$1048576))),AE9)</f>
        <v/>
      </c>
      <c r="AG9" s="38">
        <f>sum(AE9-AE$106)/AE$107</f>
        <v/>
      </c>
      <c r="AH9" s="9" t="n">
        <v>36.56</v>
      </c>
      <c r="AI9" s="9" t="n">
        <v>411.18</v>
      </c>
      <c r="AJ9" s="9" t="n">
        <v>319.74</v>
      </c>
      <c r="AK9" s="9" t="n">
        <v>77.76000000000001</v>
      </c>
      <c r="AL9" s="9" t="n">
        <v>50.64</v>
      </c>
      <c r="AM9" s="9" t="n">
        <v>128.82</v>
      </c>
      <c r="AN9" s="9" t="n">
        <v>17.97</v>
      </c>
      <c r="AO9" s="9" t="n">
        <v>49.06</v>
      </c>
      <c r="AP9" s="9" t="n">
        <v>61.79</v>
      </c>
      <c r="AQ9" s="9" t="n">
        <v>92.47</v>
      </c>
      <c r="AR9" s="9" t="n">
        <v>38.53</v>
      </c>
      <c r="AS9" s="9" t="n">
        <v>39.94</v>
      </c>
      <c r="AT9" s="33">
        <f>PERCENTRANK(AS$2:INDEX($AS:$AS,LOOKUP(2,1/(ISNUMBER($A$2:$A$1048576)),ROW($A$2:$A$1048576))),AS9)</f>
        <v/>
      </c>
      <c r="AU9" s="39">
        <f>SUM(AS9-AS$106)/AS$107</f>
        <v/>
      </c>
      <c r="AV9" s="9" t="n">
        <v>14</v>
      </c>
      <c r="AW9" s="33">
        <f>PERCENTRANK(AV$2:INDEX($AV:$AV,LOOKUP(2,1/(ISNUMBER($A$2:$A$1048576)),ROW($A$2:$A$1048576))),AV9)</f>
        <v/>
      </c>
      <c r="AX9" s="9" t="n">
        <v>202.76</v>
      </c>
      <c r="AY9" s="9" t="n">
        <v>96.44</v>
      </c>
      <c r="AZ9" s="9" t="n">
        <v>47.56</v>
      </c>
      <c r="BA9" s="9" t="n">
        <v>3.26</v>
      </c>
      <c r="BB9" s="9" t="n">
        <v>0.91</v>
      </c>
      <c r="BC9" s="9" t="n">
        <v>27.93</v>
      </c>
      <c r="BD9" s="9" t="n">
        <v>29.03</v>
      </c>
      <c r="BE9" s="9" t="n">
        <v>6.06</v>
      </c>
      <c r="BF9" s="33">
        <f>PERCENTRANK(BE$2:INDEX($BE:$BE,LOOKUP(2,1/(ISNUMBER($A$2:$A$1048576)),ROW($A$2:$A$1048576))),BE9)</f>
        <v/>
      </c>
      <c r="BG9" s="40">
        <f>sum(BE9-BE$106)/BE$107</f>
        <v/>
      </c>
      <c r="BH9" s="9" t="n">
        <v>20.87</v>
      </c>
      <c r="BI9" s="9" t="n">
        <v>0.41</v>
      </c>
      <c r="BJ9" s="9" t="n">
        <v>0.06</v>
      </c>
      <c r="BK9" s="9" t="n">
        <v>14.29</v>
      </c>
      <c r="BL9" s="9" t="n">
        <v>26.47</v>
      </c>
      <c r="BM9" s="9" t="n">
        <v>3</v>
      </c>
      <c r="BN9" s="9" t="n">
        <v>11.33</v>
      </c>
      <c r="BO9" s="9" t="n">
        <v>5.12</v>
      </c>
      <c r="BP9" s="9" t="n">
        <v>1.18</v>
      </c>
      <c r="BQ9" s="9" t="n">
        <v>22.99</v>
      </c>
      <c r="BR9" s="9" t="n">
        <v>2.53</v>
      </c>
      <c r="BS9" s="9" t="n">
        <v>0.82</v>
      </c>
      <c r="BT9" s="9" t="n">
        <v>32.56</v>
      </c>
      <c r="BU9" s="9" t="n">
        <v>0.09</v>
      </c>
      <c r="BV9" s="9" t="n">
        <v>0.09</v>
      </c>
      <c r="BW9" s="9" t="n">
        <v>100</v>
      </c>
      <c r="BX9" s="9" t="n">
        <v>18.21</v>
      </c>
      <c r="BY9" s="9" t="n">
        <v>5.12</v>
      </c>
      <c r="BZ9" s="9" t="n">
        <v>28.11</v>
      </c>
      <c r="CA9" s="9" t="n">
        <v>4.97</v>
      </c>
      <c r="CB9" s="9" t="n">
        <v>5.94</v>
      </c>
      <c r="CC9" s="33">
        <f>PERCENTRANK(CD$2:INDEX($CD:$CD,LOOKUP(2,1/(ISNUMBER($A$2:$A$1048576)),ROW($A$2:$A$1048576))),CD9)</f>
        <v/>
      </c>
      <c r="CD9" s="40">
        <f>sum(CB9-CB$106)/CB$107</f>
        <v/>
      </c>
      <c r="CE9" s="9" t="n">
        <v>26.26</v>
      </c>
      <c r="CF9" s="33">
        <f>PERCENTRANK(CE$2:INDEX($CE:$CE,LOOKUP(2,1/(ISNUMBER($A$2:$A$1048576)),ROW($A$2:$A$1048576))),CE9)</f>
        <v/>
      </c>
      <c r="CG9" s="38">
        <f>sum(CE9-CE$106)/CE$107</f>
        <v/>
      </c>
      <c r="CH9" s="9" t="n">
        <v>3.41</v>
      </c>
      <c r="CI9" s="9" t="n">
        <v>11.09</v>
      </c>
      <c r="CJ9" s="9" t="n">
        <v>16.21</v>
      </c>
      <c r="CK9" s="33">
        <f>PERCENTRANK(CJ$2:INDEX($CJ:$CJ,LOOKUP(2,1/(ISNUMBER($A$2:$A$1048576)),ROW($A$2:$A$1048576))),CJ9)</f>
        <v/>
      </c>
      <c r="CL9" s="38">
        <f>sum(CJ9-CJ$106)/CJ$107</f>
        <v/>
      </c>
      <c r="CM9" s="9" t="n">
        <v>58.88</v>
      </c>
      <c r="CN9" s="9" t="n">
        <v>21.82</v>
      </c>
      <c r="CO9" s="9" t="n">
        <v>37.06</v>
      </c>
      <c r="CP9" s="9" t="n">
        <v>2.32</v>
      </c>
      <c r="CQ9" s="9" t="n">
        <v>0.82</v>
      </c>
      <c r="CR9" s="9" t="n">
        <v>9</v>
      </c>
      <c r="CS9" s="33">
        <f>PERCENTRANK(CR$2:INDEX($CR:$CR,LOOKUP(2,1/(ISNUMBER($A$2:$A$1048576)),ROW($A$2:$A$1048576))),CR9)</f>
        <v/>
      </c>
      <c r="CT9" s="39">
        <f>1-(CR9-CR$106)/CR$107</f>
        <v/>
      </c>
      <c r="CU9" s="9" t="n">
        <v>3.03</v>
      </c>
      <c r="CV9" s="33">
        <f>PERCENTRANK(CU$2:INDEX($CU:$CU,LOOKUP(2,1/(ISNUMBER($A$2:$A$1048576)),ROW($A$2:$A$1048576))),CU9)</f>
        <v/>
      </c>
      <c r="CW9" s="39">
        <f>1-(CU9-CU$106)/CU$107</f>
        <v/>
      </c>
      <c r="CX9" s="9" t="n">
        <v>33.66</v>
      </c>
      <c r="CY9" s="9" t="n">
        <v>58.76</v>
      </c>
      <c r="CZ9" s="9" t="n">
        <v>36.65</v>
      </c>
      <c r="DA9" s="9" t="n">
        <v>62.36</v>
      </c>
      <c r="DB9" s="9" t="n">
        <v>57.15</v>
      </c>
      <c r="DC9" s="9" t="n">
        <v>26.53</v>
      </c>
      <c r="DD9" s="9" t="n">
        <v>46.42</v>
      </c>
      <c r="DE9" s="9" t="n">
        <v>1.59</v>
      </c>
      <c r="DF9" s="9" t="n">
        <v>0.79</v>
      </c>
      <c r="DG9" s="9" t="n">
        <v>50</v>
      </c>
      <c r="DH9" s="9" t="n">
        <v>38.97</v>
      </c>
      <c r="DI9" s="33">
        <f>PERCENTRANK(DH$2:INDEX($DH:$DH,LOOKUP(2,1/(ISNUMBER($A$2:$A$1048576)),ROW($A$2:$A$1048576))),DH9)</f>
        <v/>
      </c>
      <c r="DJ9" s="39">
        <f>SUM(DH9-DH$106)/DH$107</f>
        <v/>
      </c>
      <c r="DK9" s="9" t="n">
        <v>14.32</v>
      </c>
      <c r="DL9" s="9" t="n">
        <v>13.15</v>
      </c>
      <c r="DM9" s="9" t="n">
        <v>1.68</v>
      </c>
      <c r="DN9" s="9" t="n">
        <v>0.03</v>
      </c>
      <c r="DO9" s="9" t="n">
        <v>149.32</v>
      </c>
      <c r="DP9" s="9" t="n">
        <v>96.44</v>
      </c>
      <c r="DQ9" s="33">
        <f>PERCENTRANK(DP$2:INDEX($DP:$DP,LOOKUP(2,1/(ISNUMBER($A$2:$A$1048576)),ROW($A$2:$A$1048576))),DP9)</f>
        <v/>
      </c>
      <c r="DR9" s="40">
        <f>sum(DP9-DP$106)/DP$107</f>
        <v/>
      </c>
      <c r="DS9" s="9" t="n">
        <v>64.59</v>
      </c>
      <c r="DT9" s="9" t="n">
        <v>62.18</v>
      </c>
      <c r="DU9" s="9" t="n">
        <v>58.21</v>
      </c>
      <c r="DV9" s="9" t="n">
        <v>93.61</v>
      </c>
      <c r="DW9" s="9" t="n">
        <v>148</v>
      </c>
      <c r="DX9" s="9" t="n">
        <v>126.29</v>
      </c>
      <c r="DY9" s="9" t="n">
        <v>85.33</v>
      </c>
      <c r="DZ9" s="9" t="n">
        <v>63.94</v>
      </c>
      <c r="EA9" s="9" t="n">
        <v>31.74</v>
      </c>
      <c r="EB9" s="9" t="n">
        <v>49.63</v>
      </c>
      <c r="EC9" s="9" t="n">
        <v>64.5</v>
      </c>
      <c r="ED9" s="9" t="n">
        <v>38.88</v>
      </c>
      <c r="EE9" s="33">
        <f>PERCENTRANK(ED$2:INDEX($ED:$ED,LOOKUP(2,1/(ISNUMBER($A$2:$A$1048576)),ROW($A$2:$A$1048576))),ED9)</f>
        <v/>
      </c>
      <c r="EF9" s="40">
        <f>sum(ED9-ED$106)/ED$107</f>
        <v/>
      </c>
      <c r="EG9" s="9" t="n">
        <v>60.28</v>
      </c>
      <c r="EH9" s="9" t="n">
        <v>80.53</v>
      </c>
      <c r="EI9" s="9" t="n">
        <v>56.94</v>
      </c>
      <c r="EJ9" s="33">
        <f>PERCENTRANK(EI$2:INDEX($EI:$EI,LOOKUP(2,1/(ISNUMBER($A$2:$A$1048576)),ROW($A$2:$A$1048576))),EI9)</f>
        <v/>
      </c>
      <c r="EK9" s="40">
        <f>sum(EI9-EI$106)/EI$107</f>
        <v/>
      </c>
      <c r="EL9" s="9" t="n">
        <v>70.70999999999999</v>
      </c>
      <c r="EM9" s="9" t="n">
        <v>0.79</v>
      </c>
      <c r="EN9" s="9" t="n">
        <v>0.32</v>
      </c>
      <c r="EO9" s="9" t="n">
        <v>40.74</v>
      </c>
      <c r="EP9" s="9" t="n">
        <v>24.38</v>
      </c>
      <c r="EQ9" s="9" t="n">
        <v>20.85</v>
      </c>
      <c r="ER9" s="9" t="n">
        <v>85.52</v>
      </c>
      <c r="ES9" s="9" t="n">
        <v>7.15</v>
      </c>
      <c r="ET9" s="9" t="n">
        <v>16.03</v>
      </c>
      <c r="EU9" s="9" t="n">
        <v>3.75</v>
      </c>
      <c r="EV9" s="9" t="n">
        <v>16.08</v>
      </c>
      <c r="EW9" s="9" t="n">
        <v>16.75</v>
      </c>
      <c r="EX9" s="33">
        <f>PERCENTRANK(EW$2:INDEX($EW:$EW,LOOKUP(2,1/(ISNUMBER($A$2:$A$1048576)),ROW($A$2:$A$1048576))),EW9)</f>
        <v/>
      </c>
      <c r="EY9" s="38">
        <f>1-(EW9-EW$106)/EW$107</f>
        <v/>
      </c>
      <c r="EZ9" s="9" t="n">
        <v>21.12</v>
      </c>
      <c r="FA9" s="9" t="n">
        <v>11.32</v>
      </c>
      <c r="FB9" s="33">
        <f>PERCENTRANK(FA$2:INDEX($FA:$FA,LOOKUP(2,1/(ISNUMBER($A$2:$A$1048576)),ROW($A$2:$A$1048576))),FA9)</f>
        <v/>
      </c>
      <c r="FC9" s="39">
        <f>1-(FA9-FA$106)/FA$107</f>
        <v/>
      </c>
      <c r="FD9" s="9" t="n">
        <v>0.82</v>
      </c>
      <c r="FE9" s="9" t="n">
        <v>0.91</v>
      </c>
      <c r="FF9" s="33">
        <f>PERCENTRANK(FE$2:INDEX($FE:$FE,LOOKUP(2,1/(ISNUMBER($A$2:$A$1048576)),ROW($A$2:$A$1048576))),FE9)</f>
        <v/>
      </c>
      <c r="FG9" s="39">
        <f>1-(FE9-FE$106)/FE$107</f>
        <v/>
      </c>
      <c r="FH9" s="9" t="n">
        <v>9</v>
      </c>
      <c r="FI9" s="9" t="n">
        <v>2.91</v>
      </c>
      <c r="FJ9" s="9" t="n">
        <v>32.35</v>
      </c>
      <c r="FK9" s="9" t="n">
        <v>407.82</v>
      </c>
      <c r="FL9" s="33">
        <f>PERCENTRANK(FK$2:INDEX($FK:$FK,LOOKUP(2,1/(ISNUMBER($A$2:$A$1048576)),ROW($A$2:$A$1048576))),FK9)</f>
        <v/>
      </c>
      <c r="FM9" s="39">
        <f>SWA8-(FK9-FK$106)/FK$107</f>
        <v/>
      </c>
      <c r="FN9" s="9" t="n">
        <v>321.12</v>
      </c>
      <c r="FO9" s="9" t="n">
        <v>78.73999999999999</v>
      </c>
      <c r="FP9" s="9" t="n">
        <v>49.36</v>
      </c>
      <c r="FQ9" s="9" t="n">
        <v>132.65</v>
      </c>
      <c r="FR9" s="9" t="n">
        <v>22.97</v>
      </c>
      <c r="FS9" s="9" t="n">
        <v>52.47</v>
      </c>
      <c r="FT9" s="9" t="n">
        <v>57.21</v>
      </c>
      <c r="FU9" s="9" t="n">
        <v>91.81999999999999</v>
      </c>
      <c r="FV9" s="9" t="n">
        <v>42.56</v>
      </c>
      <c r="FW9" s="9" t="n">
        <v>38.65</v>
      </c>
      <c r="FX9" s="9" t="n">
        <v>10.62</v>
      </c>
      <c r="FY9" s="9" t="n">
        <v>202.76</v>
      </c>
      <c r="FZ9" s="9" t="n">
        <v>96.38</v>
      </c>
      <c r="GA9" s="9" t="n">
        <v>47.53</v>
      </c>
      <c r="GB9" s="9" t="n">
        <v>4.15</v>
      </c>
      <c r="GC9" s="9" t="n">
        <v>1.09</v>
      </c>
      <c r="GD9" s="9" t="n">
        <v>26.24</v>
      </c>
      <c r="GE9" s="9" t="n">
        <v>24.47</v>
      </c>
      <c r="GF9" s="9" t="n">
        <v>5.24</v>
      </c>
      <c r="GG9" s="9" t="n">
        <v>21.39</v>
      </c>
      <c r="GH9" s="9" t="n">
        <v>0.5600000000000001</v>
      </c>
      <c r="GI9" s="9" t="n">
        <v>0.32</v>
      </c>
      <c r="GJ9" s="9" t="n">
        <v>57.89</v>
      </c>
      <c r="GK9" s="9" t="n">
        <v>25.82</v>
      </c>
      <c r="GL9" s="9" t="n">
        <v>2.94</v>
      </c>
      <c r="GM9" s="9" t="n">
        <v>11.39</v>
      </c>
      <c r="GN9" s="9" t="n">
        <v>4</v>
      </c>
      <c r="GO9" s="9" t="n">
        <v>1.21</v>
      </c>
      <c r="GP9" s="9" t="n">
        <v>30.15</v>
      </c>
      <c r="GQ9" s="9" t="n">
        <v>2.5</v>
      </c>
      <c r="GR9" s="9" t="n">
        <v>0.44</v>
      </c>
      <c r="GS9" s="9" t="n">
        <v>17.65</v>
      </c>
      <c r="GT9" s="9" t="n">
        <v>0.03</v>
      </c>
      <c r="GU9" s="9" t="n">
        <v>0</v>
      </c>
      <c r="GV9" s="9" t="n">
        <v>0</v>
      </c>
      <c r="GW9" s="9" t="n">
        <v>10.65</v>
      </c>
      <c r="GX9" s="9" t="n">
        <v>3.18</v>
      </c>
      <c r="GY9" s="9" t="n">
        <v>29.83</v>
      </c>
      <c r="GZ9" s="9" t="n">
        <v>3.26</v>
      </c>
      <c r="HA9" s="9" t="n">
        <v>4.47</v>
      </c>
      <c r="HB9" s="9" t="n">
        <v>18.97</v>
      </c>
      <c r="HC9" s="9" t="n">
        <v>2.59</v>
      </c>
      <c r="HD9" s="9" t="n">
        <v>6.62</v>
      </c>
      <c r="HE9" s="9" t="n">
        <v>11.38</v>
      </c>
      <c r="HF9" s="9" t="n">
        <v>58.76</v>
      </c>
      <c r="HG9" s="9" t="n">
        <v>22.12</v>
      </c>
      <c r="HH9" s="9" t="n">
        <v>37.64</v>
      </c>
      <c r="HI9" s="9" t="n">
        <v>1.59</v>
      </c>
      <c r="HJ9" s="9" t="n">
        <v>0.97</v>
      </c>
      <c r="HK9" s="9" t="n">
        <v>9.41</v>
      </c>
      <c r="HL9" s="9" t="n">
        <v>3.62</v>
      </c>
      <c r="HM9" s="9" t="n">
        <v>38.44</v>
      </c>
      <c r="HN9" s="9" t="n">
        <v>58.88</v>
      </c>
      <c r="HO9" s="9" t="n">
        <v>37.06</v>
      </c>
      <c r="HP9" s="9" t="n">
        <v>62.94</v>
      </c>
      <c r="HQ9" s="9" t="n">
        <v>57.15</v>
      </c>
      <c r="HR9" s="9" t="n">
        <v>25.53</v>
      </c>
      <c r="HS9" s="9" t="n">
        <v>44.67</v>
      </c>
      <c r="HT9" s="9" t="n">
        <v>2</v>
      </c>
      <c r="HU9" s="9" t="n">
        <v>0.91</v>
      </c>
      <c r="HV9" s="9" t="n">
        <v>45.59</v>
      </c>
      <c r="HW9" s="9" t="n">
        <v>41.53</v>
      </c>
      <c r="HX9" s="9" t="n">
        <v>18.56</v>
      </c>
      <c r="HY9" s="9" t="n">
        <v>14.03</v>
      </c>
      <c r="HZ9" s="9" t="n">
        <v>1.76</v>
      </c>
      <c r="IA9" s="9" t="n">
        <v>0.06</v>
      </c>
      <c r="IB9" s="9" t="n">
        <v>152.03</v>
      </c>
      <c r="IC9" s="9" t="n">
        <v>97.91</v>
      </c>
      <c r="ID9" s="9" t="n">
        <v>64.40000000000001</v>
      </c>
      <c r="IE9" s="9" t="n">
        <v>59.26</v>
      </c>
      <c r="IF9" s="9" t="n">
        <v>55.53</v>
      </c>
      <c r="IG9" s="9" t="n">
        <v>93.7</v>
      </c>
      <c r="IH9" s="9" t="n">
        <v>140.29</v>
      </c>
      <c r="II9" s="9" t="n">
        <v>123.79</v>
      </c>
      <c r="IJ9" s="9" t="n">
        <v>88.23999999999999</v>
      </c>
      <c r="IK9" s="9" t="n">
        <v>63.94</v>
      </c>
      <c r="IL9" s="9" t="n">
        <v>32.06</v>
      </c>
      <c r="IM9" s="9" t="n">
        <v>50.14</v>
      </c>
      <c r="IN9" s="9" t="n">
        <v>57.56</v>
      </c>
      <c r="IO9" s="9" t="n">
        <v>32.03</v>
      </c>
      <c r="IP9" s="9" t="n">
        <v>55.65</v>
      </c>
      <c r="IQ9" s="9" t="n">
        <v>74.31999999999999</v>
      </c>
      <c r="IR9" s="9" t="n">
        <v>48.85</v>
      </c>
      <c r="IS9" s="9" t="n">
        <v>65.73</v>
      </c>
      <c r="IT9" s="33">
        <f>PERCENTRANK(IS$2:INDEX($IS:$IS,LOOKUP(2,1/(ISNUMBER($A$2:$A$1048576)),ROW($A$2:$A$1048576))),IS9)</f>
        <v/>
      </c>
      <c r="IU9" s="39">
        <f>1-(IS9-IS$106)/IS$107</f>
        <v/>
      </c>
      <c r="IV9" s="9" t="n">
        <v>0.82</v>
      </c>
      <c r="IW9" s="9" t="n">
        <v>0.26</v>
      </c>
      <c r="IX9" s="9" t="n">
        <v>32.14</v>
      </c>
      <c r="IY9" s="9" t="n">
        <v>24.35</v>
      </c>
      <c r="IZ9" s="9" t="n">
        <v>20.97</v>
      </c>
      <c r="JA9" s="9" t="n">
        <v>86.11</v>
      </c>
      <c r="JB9" s="9" t="n">
        <v>8.24</v>
      </c>
      <c r="JC9" s="9" t="n">
        <v>16.43</v>
      </c>
      <c r="JD9" s="9" t="n">
        <v>3.77</v>
      </c>
      <c r="JE9" s="9" t="n">
        <v>16.17</v>
      </c>
      <c r="JF9" s="9" t="n">
        <v>19.97</v>
      </c>
      <c r="JG9" s="9" t="n">
        <v>20.87</v>
      </c>
      <c r="JH9" s="9" t="n">
        <v>11.3</v>
      </c>
    </row>
    <row r="10">
      <c r="A10" s="10" t="n">
        <v>2024</v>
      </c>
      <c r="B10" s="31" t="inlineStr">
        <is>
          <t>Louisville City</t>
        </is>
      </c>
      <c r="C10" s="12" t="n">
        <v>76</v>
      </c>
      <c r="D10" s="5">
        <f>(C10-AVERAGE($C$2:INDEX($C:$C,LOOKUP(2,1/(ISNUMBER($A$2:$A$1048576)),ROW($A$2:$A$1048576)))))/_xlfn.STDEV.P($C$2:INDEX($C:$C,LOOKUP(2,1/(ISNUMBER($A$2:$A$1048576)),ROW($A$2:$A$1048576))))</f>
        <v/>
      </c>
      <c r="E10" s="12" t="n">
        <v>1</v>
      </c>
      <c r="F10" s="6">
        <f>-E10</f>
        <v/>
      </c>
      <c r="G10" s="7">
        <f>(F10-AVERAGE($F$2:INDEX($F:$F,LOOKUP(2,1/(ISNUMBER($A$2:$A$1048576)),ROW($A$2:$A$1048576)))))/_xlfn.STDEV.P($F$2:INDEX($F:$F,LOOKUP(2,1/(ISNUMBER($A$2:$A$1048576)),ROW($A$2:$A$1048576))))</f>
        <v/>
      </c>
      <c r="H10" s="32">
        <f>sum(0.5*D10)+(0.5*G10)</f>
        <v/>
      </c>
      <c r="I10" s="12" t="inlineStr">
        <is>
          <t>East</t>
        </is>
      </c>
      <c r="J10" s="10">
        <f>sum(L10*L$105)+(N10*N$105)+(P10*P$105)+(T10*R$105)</f>
        <v/>
      </c>
      <c r="K10" s="33">
        <f>PERCENTRANK(J$2:INDEX($J:$J,LOOKUP(2,1/(ISNUMBER($A$2:$A$1048576)),ROW($A$2:$A$1048576))),J10)</f>
        <v/>
      </c>
      <c r="L10" s="10">
        <f>sum(AA10*0.66)+(AD10*0.55)+(AG10*0.59)+(CG10*0.51)+(CL10*0.6)+(EY10*0.31)</f>
        <v/>
      </c>
      <c r="M10" s="33">
        <f>PERCENTRANK(L$2:INDEX($L:$L,LOOKUP(2,1/(ISNUMBER($A$2:$A$1048576)),ROW($A$2:$A$1048576))),L10)</f>
        <v/>
      </c>
      <c r="N10" s="10">
        <f>sum(CT10*0.57)+(CW10*0.71)+(DJ10*0.08)+(FC10*0.33)+(FG10*0.69)+(FM10*0.26)+(IU10*0.54)+(AU10*0.4)</f>
        <v/>
      </c>
      <c r="O10" s="33">
        <f>PERCENTRANK(N$2:INDEX($N:$N,LOOKUP(2,1/(ISNUMBER($A$2:$A$1048576)),ROW($A$2:$A$1048576))),N10)</f>
        <v/>
      </c>
      <c r="P10" s="10">
        <f>sum(BG10*0.51)+(CD10*0.51)+(DR10*0.11)+(EF10*0.42)+(EK10*0.44)+(W10*0.6)</f>
        <v/>
      </c>
      <c r="Q10" s="33">
        <f>PERCENTRANK(P$2:INDEX($P:$P,LOOKUP(2,1/(ISNUMBER($A$2:$A$1048576)),ROW($A$2:$A$1048576))),P10)</f>
        <v/>
      </c>
      <c r="R10" s="10">
        <f>sum(Y10-FE10)</f>
        <v/>
      </c>
      <c r="S10" s="33">
        <f>PERCENTRANK(R$2:INDEX($R:$R,LOOKUP(2,1/(ISNUMBER($A$2:$A$1048576)),ROW($A$2:$A$1048576))),R10)</f>
        <v/>
      </c>
      <c r="T10" s="34">
        <f>sum(R10-R$106)/R$107</f>
        <v/>
      </c>
      <c r="U10" s="35">
        <f>sum(Y10/AI10)*100</f>
        <v/>
      </c>
      <c r="V10" s="33">
        <f>PERCENTRANK(U$2:INDEX($U:$U,LOOKUP(2,1/(ISNUMBER($A$2:$A$1048576)),ROW($A$2:$A$1048576))),U10)</f>
        <v/>
      </c>
      <c r="W10" s="36">
        <f>sum(U10-U$106)/U$107</f>
        <v/>
      </c>
      <c r="X10" s="9" t="n">
        <v>2.47</v>
      </c>
      <c r="Y10" s="9" t="n">
        <v>2.05</v>
      </c>
      <c r="Z10" s="33">
        <f>PERCENTRANK(Y$2:INDEX($Y:$Y,LOOKUP(2,1/(ISNUMBER($A$2:$A$1048576)),ROW($A$2:$A$1048576))),Y10)</f>
        <v/>
      </c>
      <c r="AA10" s="37">
        <f>sum(Y10-Y$106)/Y$107</f>
        <v/>
      </c>
      <c r="AB10" s="9" t="n">
        <v>15.47</v>
      </c>
      <c r="AC10" s="33">
        <f>PERCENTRANK(AB$2:INDEX($AB:$AB,LOOKUP(2,1/(ISNUMBER($A$2:$A$1048576)),ROW($A$2:$A$1048576))),AB10)</f>
        <v/>
      </c>
      <c r="AD10" s="38">
        <f>sum(AB10-AB$106)/AB$107</f>
        <v/>
      </c>
      <c r="AE10" s="9" t="n">
        <v>5.81</v>
      </c>
      <c r="AF10" s="33">
        <f>PERCENTRANK(AE$2:INDEX($AE:$AE,LOOKUP(2,1/(ISNUMBER($A$2:$A$1048576)),ROW($A$2:$A$1048576))),AE10)</f>
        <v/>
      </c>
      <c r="AG10" s="38">
        <f>sum(AE10-AE$106)/AE$107</f>
        <v/>
      </c>
      <c r="AH10" s="9" t="n">
        <v>37.52</v>
      </c>
      <c r="AI10" s="9" t="n">
        <v>360.08</v>
      </c>
      <c r="AJ10" s="9" t="n">
        <v>289.69</v>
      </c>
      <c r="AK10" s="9" t="n">
        <v>80.45</v>
      </c>
      <c r="AL10" s="9" t="n">
        <v>47.14</v>
      </c>
      <c r="AM10" s="9" t="n">
        <v>104.19</v>
      </c>
      <c r="AN10" s="9" t="n">
        <v>16.56</v>
      </c>
      <c r="AO10" s="9" t="n">
        <v>33.86</v>
      </c>
      <c r="AP10" s="9" t="n">
        <v>53.78</v>
      </c>
      <c r="AQ10" s="9" t="n">
        <v>83.81</v>
      </c>
      <c r="AR10" s="9" t="n">
        <v>32.89</v>
      </c>
      <c r="AS10" s="9" t="n">
        <v>37.11</v>
      </c>
      <c r="AT10" s="33">
        <f>PERCENTRANK(AS$2:INDEX($AS:$AS,LOOKUP(2,1/(ISNUMBER($A$2:$A$1048576)),ROW($A$2:$A$1048576))),AS10)</f>
        <v/>
      </c>
      <c r="AU10" s="39">
        <f>SUM(AS10-AS$106)/AS$107</f>
        <v/>
      </c>
      <c r="AV10" s="9" t="n">
        <v>13.81</v>
      </c>
      <c r="AW10" s="33">
        <f>PERCENTRANK(AV$2:INDEX($AV:$AV,LOOKUP(2,1/(ISNUMBER($A$2:$A$1048576)),ROW($A$2:$A$1048576))),AV10)</f>
        <v/>
      </c>
      <c r="AX10" s="9" t="n">
        <v>197.83</v>
      </c>
      <c r="AY10" s="9" t="n">
        <v>97.39</v>
      </c>
      <c r="AZ10" s="9" t="n">
        <v>49.23</v>
      </c>
      <c r="BA10" s="9" t="n">
        <v>6.86</v>
      </c>
      <c r="BB10" s="9" t="n">
        <v>1.72</v>
      </c>
      <c r="BC10" s="9" t="n">
        <v>25.1</v>
      </c>
      <c r="BD10" s="9" t="n">
        <v>32.03</v>
      </c>
      <c r="BE10" s="9" t="n">
        <v>9.390000000000001</v>
      </c>
      <c r="BF10" s="33">
        <f>PERCENTRANK(BE$2:INDEX($BE:$BE,LOOKUP(2,1/(ISNUMBER($A$2:$A$1048576)),ROW($A$2:$A$1048576))),BE10)</f>
        <v/>
      </c>
      <c r="BG10" s="40">
        <f>sum(BE10-BE$106)/BE$107</f>
        <v/>
      </c>
      <c r="BH10" s="9" t="n">
        <v>29.31</v>
      </c>
      <c r="BI10" s="9" t="n">
        <v>1.03</v>
      </c>
      <c r="BJ10" s="9" t="n">
        <v>0.67</v>
      </c>
      <c r="BK10" s="9" t="n">
        <v>64.86</v>
      </c>
      <c r="BL10" s="9" t="n">
        <v>24.92</v>
      </c>
      <c r="BM10" s="9" t="n">
        <v>4.53</v>
      </c>
      <c r="BN10" s="9" t="n">
        <v>18.17</v>
      </c>
      <c r="BO10" s="9" t="n">
        <v>6.08</v>
      </c>
      <c r="BP10" s="9" t="n">
        <v>2.17</v>
      </c>
      <c r="BQ10" s="9" t="n">
        <v>35.62</v>
      </c>
      <c r="BR10" s="9" t="n">
        <v>2.72</v>
      </c>
      <c r="BS10" s="9" t="n">
        <v>0.64</v>
      </c>
      <c r="BT10" s="9" t="n">
        <v>23.47</v>
      </c>
      <c r="BU10" s="9" t="n">
        <v>0.22</v>
      </c>
      <c r="BV10" s="9" t="n">
        <v>0.19</v>
      </c>
      <c r="BW10" s="9" t="n">
        <v>87.5</v>
      </c>
      <c r="BX10" s="9" t="n">
        <v>17.17</v>
      </c>
      <c r="BY10" s="9" t="n">
        <v>6.06</v>
      </c>
      <c r="BZ10" s="9" t="n">
        <v>35.28</v>
      </c>
      <c r="CA10" s="9" t="n">
        <v>6.31</v>
      </c>
      <c r="CB10" s="9" t="n">
        <v>6.83</v>
      </c>
      <c r="CC10" s="33">
        <f>PERCENTRANK(CD$2:INDEX($CD:$CD,LOOKUP(2,1/(ISNUMBER($A$2:$A$1048576)),ROW($A$2:$A$1048576))),CD10)</f>
        <v/>
      </c>
      <c r="CD10" s="40">
        <f>sum(CB10-CB$106)/CB$107</f>
        <v/>
      </c>
      <c r="CE10" s="9" t="n">
        <v>26.11</v>
      </c>
      <c r="CF10" s="33">
        <f>PERCENTRANK(CE$2:INDEX($CE:$CE,LOOKUP(2,1/(ISNUMBER($A$2:$A$1048576)),ROW($A$2:$A$1048576))),CE10)</f>
        <v/>
      </c>
      <c r="CG10" s="38">
        <f>sum(CE10-CE$106)/CE$107</f>
        <v/>
      </c>
      <c r="CH10" s="9" t="n">
        <v>3.97</v>
      </c>
      <c r="CI10" s="9" t="n">
        <v>10.72</v>
      </c>
      <c r="CJ10" s="9" t="n">
        <v>18.69</v>
      </c>
      <c r="CK10" s="33">
        <f>PERCENTRANK(CJ$2:INDEX($CJ:$CJ,LOOKUP(2,1/(ISNUMBER($A$2:$A$1048576)),ROW($A$2:$A$1048576))),CJ10)</f>
        <v/>
      </c>
      <c r="CL10" s="38">
        <f>sum(CJ10-CJ$106)/CJ$107</f>
        <v/>
      </c>
      <c r="CM10" s="9" t="n">
        <v>65.19</v>
      </c>
      <c r="CN10" s="9" t="n">
        <v>26.25</v>
      </c>
      <c r="CO10" s="9" t="n">
        <v>40.26</v>
      </c>
      <c r="CP10" s="9" t="n">
        <v>2.31</v>
      </c>
      <c r="CQ10" s="9" t="n">
        <v>1.33</v>
      </c>
      <c r="CR10" s="9" t="n">
        <v>9.390000000000001</v>
      </c>
      <c r="CS10" s="33">
        <f>PERCENTRANK(CR$2:INDEX($CR:$CR,LOOKUP(2,1/(ISNUMBER($A$2:$A$1048576)),ROW($A$2:$A$1048576))),CR10)</f>
        <v/>
      </c>
      <c r="CT10" s="39">
        <f>1-(CR10-CR$106)/CR$107</f>
        <v/>
      </c>
      <c r="CU10" s="9" t="n">
        <v>3.72</v>
      </c>
      <c r="CV10" s="33">
        <f>PERCENTRANK(CU$2:INDEX($CU:$CU,LOOKUP(2,1/(ISNUMBER($A$2:$A$1048576)),ROW($A$2:$A$1048576))),CU10)</f>
        <v/>
      </c>
      <c r="CW10" s="39">
        <f>1-(CU10-CU$106)/CU$107</f>
        <v/>
      </c>
      <c r="CX10" s="9" t="n">
        <v>39.64</v>
      </c>
      <c r="CY10" s="9" t="n">
        <v>62.42</v>
      </c>
      <c r="CZ10" s="9" t="n">
        <v>37.81</v>
      </c>
      <c r="DA10" s="9" t="n">
        <v>60.57</v>
      </c>
      <c r="DB10" s="9" t="n">
        <v>44.14</v>
      </c>
      <c r="DC10" s="9" t="n">
        <v>22.5</v>
      </c>
      <c r="DD10" s="9" t="n">
        <v>50.98</v>
      </c>
      <c r="DE10" s="9" t="n">
        <v>2.47</v>
      </c>
      <c r="DF10" s="9" t="n">
        <v>1.39</v>
      </c>
      <c r="DG10" s="9" t="n">
        <v>56.18</v>
      </c>
      <c r="DH10" s="9" t="n">
        <v>36</v>
      </c>
      <c r="DI10" s="33">
        <f>PERCENTRANK(DH$2:INDEX($DH:$DH,LOOKUP(2,1/(ISNUMBER($A$2:$A$1048576)),ROW($A$2:$A$1048576))),DH10)</f>
        <v/>
      </c>
      <c r="DJ10" s="39">
        <f>SUM(DH10-DH$106)/DH$107</f>
        <v/>
      </c>
      <c r="DK10" s="9" t="n">
        <v>12.94</v>
      </c>
      <c r="DL10" s="9" t="n">
        <v>14.08</v>
      </c>
      <c r="DM10" s="9" t="n">
        <v>2.19</v>
      </c>
      <c r="DN10" s="9" t="n">
        <v>0.06</v>
      </c>
      <c r="DO10" s="9" t="n">
        <v>133.42</v>
      </c>
      <c r="DP10" s="9" t="n">
        <v>94.44</v>
      </c>
      <c r="DQ10" s="33">
        <f>PERCENTRANK(DP$2:INDEX($DP:$DP,LOOKUP(2,1/(ISNUMBER($A$2:$A$1048576)),ROW($A$2:$A$1048576))),DP10)</f>
        <v/>
      </c>
      <c r="DR10" s="40">
        <f>sum(DP10-DP$106)/DP$107</f>
        <v/>
      </c>
      <c r="DS10" s="9" t="n">
        <v>70.79000000000001</v>
      </c>
      <c r="DT10" s="9" t="n">
        <v>50.58</v>
      </c>
      <c r="DU10" s="9" t="n">
        <v>47.53</v>
      </c>
      <c r="DV10" s="9" t="n">
        <v>93.95999999999999</v>
      </c>
      <c r="DW10" s="9" t="n">
        <v>129.58</v>
      </c>
      <c r="DX10" s="9" t="n">
        <v>111.97</v>
      </c>
      <c r="DY10" s="9" t="n">
        <v>86.41</v>
      </c>
      <c r="DZ10" s="9" t="n">
        <v>46.47</v>
      </c>
      <c r="EA10" s="9" t="n">
        <v>24.94</v>
      </c>
      <c r="EB10" s="9" t="n">
        <v>53.68</v>
      </c>
      <c r="EC10" s="9" t="n">
        <v>58.11</v>
      </c>
      <c r="ED10" s="9" t="n">
        <v>37.64</v>
      </c>
      <c r="EE10" s="33">
        <f>PERCENTRANK(ED$2:INDEX($ED:$ED,LOOKUP(2,1/(ISNUMBER($A$2:$A$1048576)),ROW($A$2:$A$1048576))),ED10)</f>
        <v/>
      </c>
      <c r="EF10" s="40">
        <f>sum(ED10-ED$106)/ED$107</f>
        <v/>
      </c>
      <c r="EG10" s="9" t="n">
        <v>64.77</v>
      </c>
      <c r="EH10" s="9" t="n">
        <v>70.67</v>
      </c>
      <c r="EI10" s="9" t="n">
        <v>53.11</v>
      </c>
      <c r="EJ10" s="33">
        <f>PERCENTRANK(EI$2:INDEX($EI:$EI,LOOKUP(2,1/(ISNUMBER($A$2:$A$1048576)),ROW($A$2:$A$1048576))),EI10)</f>
        <v/>
      </c>
      <c r="EK10" s="40">
        <f>sum(EI10-EI$106)/EI$107</f>
        <v/>
      </c>
      <c r="EL10" s="9" t="n">
        <v>75.16</v>
      </c>
      <c r="EM10" s="9" t="n">
        <v>1.78</v>
      </c>
      <c r="EN10" s="9" t="n">
        <v>0.67</v>
      </c>
      <c r="EO10" s="9" t="n">
        <v>37.5</v>
      </c>
      <c r="EP10" s="9" t="n">
        <v>21.14</v>
      </c>
      <c r="EQ10" s="9" t="n">
        <v>19.31</v>
      </c>
      <c r="ER10" s="9" t="n">
        <v>91.33</v>
      </c>
      <c r="ES10" s="9" t="n">
        <v>6.75</v>
      </c>
      <c r="ET10" s="9" t="n">
        <v>15.42</v>
      </c>
      <c r="EU10" s="9" t="n">
        <v>3.46</v>
      </c>
      <c r="EV10" s="9" t="n">
        <v>13.4</v>
      </c>
      <c r="EW10" s="9" t="n">
        <v>17.65</v>
      </c>
      <c r="EX10" s="33">
        <f>PERCENTRANK(EW$2:INDEX($EW:$EW,LOOKUP(2,1/(ISNUMBER($A$2:$A$1048576)),ROW($A$2:$A$1048576))),EW10)</f>
        <v/>
      </c>
      <c r="EY10" s="38">
        <f>1-(EW10-EW$106)/EW$107</f>
        <v/>
      </c>
      <c r="EZ10" s="9" t="n">
        <v>20.91</v>
      </c>
      <c r="FA10" s="9" t="n">
        <v>10.56</v>
      </c>
      <c r="FB10" s="33">
        <f>PERCENTRANK(FA$2:INDEX($FA:$FA,LOOKUP(2,1/(ISNUMBER($A$2:$A$1048576)),ROW($A$2:$A$1048576))),FA10)</f>
        <v/>
      </c>
      <c r="FC10" s="39">
        <f>1-(FA10-FA$106)/FA$107</f>
        <v/>
      </c>
      <c r="FD10" s="9" t="n">
        <v>1.33</v>
      </c>
      <c r="FE10" s="9" t="n">
        <v>1.21</v>
      </c>
      <c r="FF10" s="33">
        <f>PERCENTRANK(FE$2:INDEX($FE:$FE,LOOKUP(2,1/(ISNUMBER($A$2:$A$1048576)),ROW($A$2:$A$1048576))),FE10)</f>
        <v/>
      </c>
      <c r="FG10" s="39">
        <f>1-(FE10-FE$106)/FE$107</f>
        <v/>
      </c>
      <c r="FH10" s="9" t="n">
        <v>9.390000000000001</v>
      </c>
      <c r="FI10" s="9" t="n">
        <v>3.47</v>
      </c>
      <c r="FJ10" s="9" t="n">
        <v>36.98</v>
      </c>
      <c r="FK10" s="9" t="n">
        <v>416.97</v>
      </c>
      <c r="FL10" s="33">
        <f>PERCENTRANK(FK$2:INDEX($FK:$FK,LOOKUP(2,1/(ISNUMBER($A$2:$A$1048576)),ROW($A$2:$A$1048576))),FK10)</f>
        <v/>
      </c>
      <c r="FM10" s="39">
        <f>SWA9-(FK10-FK$106)/FK$107</f>
        <v/>
      </c>
      <c r="FN10" s="9" t="n">
        <v>343.78</v>
      </c>
      <c r="FO10" s="9" t="n">
        <v>82.45</v>
      </c>
      <c r="FP10" s="9" t="n">
        <v>52.86</v>
      </c>
      <c r="FQ10" s="9" t="n">
        <v>108.97</v>
      </c>
      <c r="FR10" s="9" t="n">
        <v>24.03</v>
      </c>
      <c r="FS10" s="9" t="n">
        <v>41.36</v>
      </c>
      <c r="FT10" s="9" t="n">
        <v>43.58</v>
      </c>
      <c r="FU10" s="9" t="n">
        <v>78.72</v>
      </c>
      <c r="FV10" s="9" t="n">
        <v>40.17</v>
      </c>
      <c r="FW10" s="9" t="n">
        <v>28.64</v>
      </c>
      <c r="FX10" s="9" t="n">
        <v>9.92</v>
      </c>
      <c r="FY10" s="9" t="n">
        <v>197.83</v>
      </c>
      <c r="FZ10" s="9" t="n">
        <v>92.78</v>
      </c>
      <c r="GA10" s="9" t="n">
        <v>46.9</v>
      </c>
      <c r="GB10" s="9" t="n">
        <v>3.92</v>
      </c>
      <c r="GC10" s="9" t="n">
        <v>0.89</v>
      </c>
      <c r="GD10" s="9" t="n">
        <v>22.7</v>
      </c>
      <c r="GE10" s="9" t="n">
        <v>22.89</v>
      </c>
      <c r="GF10" s="9" t="n">
        <v>5.5</v>
      </c>
      <c r="GG10" s="9" t="n">
        <v>24.03</v>
      </c>
      <c r="GH10" s="9" t="n">
        <v>1</v>
      </c>
      <c r="GI10" s="9" t="n">
        <v>0.47</v>
      </c>
      <c r="GJ10" s="9" t="n">
        <v>47.22</v>
      </c>
      <c r="GK10" s="9" t="n">
        <v>28.11</v>
      </c>
      <c r="GL10" s="9" t="n">
        <v>3</v>
      </c>
      <c r="GM10" s="9" t="n">
        <v>10.67</v>
      </c>
      <c r="GN10" s="9" t="n">
        <v>3.33</v>
      </c>
      <c r="GO10" s="9" t="n">
        <v>1.08</v>
      </c>
      <c r="GP10" s="9" t="n">
        <v>32.5</v>
      </c>
      <c r="GQ10" s="9" t="n">
        <v>1.86</v>
      </c>
      <c r="GR10" s="9" t="n">
        <v>0.5</v>
      </c>
      <c r="GS10" s="9" t="n">
        <v>26.87</v>
      </c>
      <c r="GT10" s="9" t="n">
        <v>0.17</v>
      </c>
      <c r="GU10" s="9" t="n">
        <v>0.08</v>
      </c>
      <c r="GV10" s="9" t="n">
        <v>50</v>
      </c>
      <c r="GW10" s="9" t="n">
        <v>12.61</v>
      </c>
      <c r="GX10" s="9" t="n">
        <v>3.94</v>
      </c>
      <c r="GY10" s="9" t="n">
        <v>31.28</v>
      </c>
      <c r="GZ10" s="9" t="n">
        <v>3.69</v>
      </c>
      <c r="HA10" s="9" t="n">
        <v>4.81</v>
      </c>
      <c r="HB10" s="9" t="n">
        <v>18.86</v>
      </c>
      <c r="HC10" s="9" t="n">
        <v>3.11</v>
      </c>
      <c r="HD10" s="9" t="n">
        <v>8.029999999999999</v>
      </c>
      <c r="HE10" s="9" t="n">
        <v>12.42</v>
      </c>
      <c r="HF10" s="9" t="n">
        <v>62.42</v>
      </c>
      <c r="HG10" s="9" t="n">
        <v>24.61</v>
      </c>
      <c r="HH10" s="9" t="n">
        <v>39.43</v>
      </c>
      <c r="HI10" s="9" t="n">
        <v>1.72</v>
      </c>
      <c r="HJ10" s="9" t="n">
        <v>2.47</v>
      </c>
      <c r="HK10" s="9" t="n">
        <v>15.47</v>
      </c>
      <c r="HL10" s="9" t="n">
        <v>6.11</v>
      </c>
      <c r="HM10" s="9" t="n">
        <v>39.5</v>
      </c>
      <c r="HN10" s="9" t="n">
        <v>65.25</v>
      </c>
      <c r="HO10" s="9" t="n">
        <v>38.94</v>
      </c>
      <c r="HP10" s="9" t="n">
        <v>59.68</v>
      </c>
      <c r="HQ10" s="9" t="n">
        <v>44.08</v>
      </c>
      <c r="HR10" s="9" t="n">
        <v>18.11</v>
      </c>
      <c r="HS10" s="9" t="n">
        <v>41.08</v>
      </c>
      <c r="HT10" s="9" t="n">
        <v>3.03</v>
      </c>
      <c r="HU10" s="9" t="n">
        <v>1.75</v>
      </c>
      <c r="HV10" s="9" t="n">
        <v>57.8</v>
      </c>
      <c r="HW10" s="9" t="n">
        <v>40.03</v>
      </c>
      <c r="HX10" s="9" t="n">
        <v>16.36</v>
      </c>
      <c r="HY10" s="9" t="n">
        <v>12.08</v>
      </c>
      <c r="HZ10" s="9" t="n">
        <v>2.42</v>
      </c>
      <c r="IA10" s="9" t="n">
        <v>0.03</v>
      </c>
      <c r="IB10" s="9" t="n">
        <v>141.69</v>
      </c>
      <c r="IC10" s="9" t="n">
        <v>98.42</v>
      </c>
      <c r="ID10" s="9" t="n">
        <v>69.45999999999999</v>
      </c>
      <c r="IE10" s="9" t="n">
        <v>63.25</v>
      </c>
      <c r="IF10" s="9" t="n">
        <v>59.81</v>
      </c>
      <c r="IG10" s="9" t="n">
        <v>94.55</v>
      </c>
      <c r="IH10" s="9" t="n">
        <v>156.22</v>
      </c>
      <c r="II10" s="9" t="n">
        <v>139.5</v>
      </c>
      <c r="IJ10" s="9" t="n">
        <v>89.3</v>
      </c>
      <c r="IK10" s="9" t="n">
        <v>53.42</v>
      </c>
      <c r="IL10" s="9" t="n">
        <v>26.89</v>
      </c>
      <c r="IM10" s="9" t="n">
        <v>50.34</v>
      </c>
      <c r="IN10" s="9" t="n">
        <v>50.33</v>
      </c>
      <c r="IO10" s="9" t="n">
        <v>32.31</v>
      </c>
      <c r="IP10" s="9" t="n">
        <v>64.18000000000001</v>
      </c>
      <c r="IQ10" s="9" t="n">
        <v>72.25</v>
      </c>
      <c r="IR10" s="9" t="n">
        <v>48</v>
      </c>
      <c r="IS10" s="9" t="n">
        <v>66.44</v>
      </c>
      <c r="IT10" s="33">
        <f>PERCENTRANK(IS$2:INDEX($IS:$IS,LOOKUP(2,1/(ISNUMBER($A$2:$A$1048576)),ROW($A$2:$A$1048576))),IS10)</f>
        <v/>
      </c>
      <c r="IU10" s="39">
        <f>1-(IS10-IS$106)/IS$107</f>
        <v/>
      </c>
      <c r="IV10" s="9" t="n">
        <v>1.69</v>
      </c>
      <c r="IW10" s="9" t="n">
        <v>0.8100000000000001</v>
      </c>
      <c r="IX10" s="9" t="n">
        <v>47.54</v>
      </c>
      <c r="IY10" s="9" t="n">
        <v>19.83</v>
      </c>
      <c r="IZ10" s="9" t="n">
        <v>17.78</v>
      </c>
      <c r="JA10" s="9" t="n">
        <v>89.64</v>
      </c>
      <c r="JB10" s="9" t="n">
        <v>10.36</v>
      </c>
      <c r="JC10" s="9" t="n">
        <v>15.9</v>
      </c>
      <c r="JD10" s="9" t="n">
        <v>4.07</v>
      </c>
      <c r="JE10" s="9" t="n">
        <v>13.26</v>
      </c>
      <c r="JF10" s="9" t="n">
        <v>18.81</v>
      </c>
      <c r="JG10" s="9" t="n">
        <v>20.51</v>
      </c>
      <c r="JH10" s="9" t="n">
        <v>11.88</v>
      </c>
    </row>
    <row r="11">
      <c r="A11" s="12" t="n">
        <v>2022</v>
      </c>
      <c r="B11" s="31" t="inlineStr">
        <is>
          <t>San Antonio</t>
        </is>
      </c>
      <c r="C11" s="12" t="n">
        <v>77</v>
      </c>
      <c r="D11" s="5">
        <f>(C11-AVERAGE($C$2:INDEX($C:$C,LOOKUP(2,1/(ISNUMBER($A$2:$A$1048576)),ROW($A$2:$A$1048576)))))/_xlfn.STDEV.P($C$2:INDEX($C:$C,LOOKUP(2,1/(ISNUMBER($A$2:$A$1048576)),ROW($A$2:$A$1048576))))</f>
        <v/>
      </c>
      <c r="E11" s="12" t="n">
        <v>1</v>
      </c>
      <c r="F11" s="6">
        <f>-E11</f>
        <v/>
      </c>
      <c r="G11" s="7">
        <f>(F11-AVERAGE($F$2:INDEX($F:$F,LOOKUP(2,1/(ISNUMBER($A$2:$A$1048576)),ROW($A$2:$A$1048576)))))/_xlfn.STDEV.P($F$2:INDEX($F:$F,LOOKUP(2,1/(ISNUMBER($A$2:$A$1048576)),ROW($A$2:$A$1048576))))</f>
        <v/>
      </c>
      <c r="H11" s="32">
        <f>sum(0.5*D11)+(0.5*G11)</f>
        <v/>
      </c>
      <c r="I11" s="12" t="inlineStr">
        <is>
          <t>West</t>
        </is>
      </c>
      <c r="J11" s="10">
        <f>sum(L11*L$105)+(N11*N$105)+(P11*P$105)+(T11*R$105)</f>
        <v/>
      </c>
      <c r="K11" s="33">
        <f>PERCENTRANK(J$2:INDEX($J:$J,LOOKUP(2,1/(ISNUMBER($A$2:$A$1048576)),ROW($A$2:$A$1048576))),J11)</f>
        <v/>
      </c>
      <c r="L11" s="10">
        <f>sum(AA11*0.66)+(AD11*0.55)+(AG11*0.59)+(CG11*0.51)+(CL11*0.6)+(EY11*0.31)</f>
        <v/>
      </c>
      <c r="M11" s="33">
        <f>PERCENTRANK(L$2:INDEX($L:$L,LOOKUP(2,1/(ISNUMBER($A$2:$A$1048576)),ROW($A$2:$A$1048576))),L11)</f>
        <v/>
      </c>
      <c r="N11" s="10">
        <f>sum(CT11*0.57)+(CW11*0.71)+(DJ11*0.08)+(FC11*0.33)+(FG11*0.69)+(FM11*0.26)+(IU11*0.54)+(AU11*0.4)</f>
        <v/>
      </c>
      <c r="O11" s="33">
        <f>PERCENTRANK(N$2:INDEX($N:$N,LOOKUP(2,1/(ISNUMBER($A$2:$A$1048576)),ROW($A$2:$A$1048576))),N11)</f>
        <v/>
      </c>
      <c r="P11" s="10">
        <f>sum(BG11*0.51)+(CD11*0.51)+(DR11*0.11)+(EF11*0.42)+(EK11*0.44)+(W11*0.6)</f>
        <v/>
      </c>
      <c r="Q11" s="33">
        <f>PERCENTRANK(P$2:INDEX($P:$P,LOOKUP(2,1/(ISNUMBER($A$2:$A$1048576)),ROW($A$2:$A$1048576))),P11)</f>
        <v/>
      </c>
      <c r="R11" s="10">
        <f>sum(Y11-FE11)</f>
        <v/>
      </c>
      <c r="S11" s="33">
        <f>PERCENTRANK(R$2:INDEX($R:$R,LOOKUP(2,1/(ISNUMBER($A$2:$A$1048576)),ROW($A$2:$A$1048576))),R11)</f>
        <v/>
      </c>
      <c r="T11" s="34">
        <f>sum(R11-R$106)/R$107</f>
        <v/>
      </c>
      <c r="U11" s="35">
        <f>sum(Y11/AI11)*100</f>
        <v/>
      </c>
      <c r="V11" s="33">
        <f>PERCENTRANK(U$2:INDEX($U:$U,LOOKUP(2,1/(ISNUMBER($A$2:$A$1048576)),ROW($A$2:$A$1048576))),U11)</f>
        <v/>
      </c>
      <c r="W11" s="36">
        <f>sum(U11-U$106)/U$107</f>
        <v/>
      </c>
      <c r="X11" s="9" t="n">
        <v>1.68</v>
      </c>
      <c r="Y11" s="9" t="n">
        <v>1.46</v>
      </c>
      <c r="Z11" s="33">
        <f>PERCENTRANK(Y$2:INDEX($Y:$Y,LOOKUP(2,1/(ISNUMBER($A$2:$A$1048576)),ROW($A$2:$A$1048576))),Y11)</f>
        <v/>
      </c>
      <c r="AA11" s="37">
        <f>sum(Y11-Y$106)/Y$107</f>
        <v/>
      </c>
      <c r="AB11" s="9" t="n">
        <v>12.92</v>
      </c>
      <c r="AC11" s="33">
        <f>PERCENTRANK(AB$2:INDEX($AB:$AB,LOOKUP(2,1/(ISNUMBER($A$2:$A$1048576)),ROW($A$2:$A$1048576))),AB11)</f>
        <v/>
      </c>
      <c r="AD11" s="38">
        <f>sum(AB11-AB$106)/AB$107</f>
        <v/>
      </c>
      <c r="AE11" s="9" t="n">
        <v>5.05</v>
      </c>
      <c r="AF11" s="33">
        <f>PERCENTRANK(AE$2:INDEX($AE:$AE,LOOKUP(2,1/(ISNUMBER($A$2:$A$1048576)),ROW($A$2:$A$1048576))),AE11)</f>
        <v/>
      </c>
      <c r="AG11" s="38">
        <f>sum(AE11-AE$106)/AE$107</f>
        <v/>
      </c>
      <c r="AH11" s="9" t="n">
        <v>39.12</v>
      </c>
      <c r="AI11" s="9" t="n">
        <v>261.08</v>
      </c>
      <c r="AJ11" s="9" t="n">
        <v>187.84</v>
      </c>
      <c r="AK11" s="9" t="n">
        <v>71.95</v>
      </c>
      <c r="AL11" s="9" t="n">
        <v>43.42</v>
      </c>
      <c r="AM11" s="9" t="n">
        <v>113.73</v>
      </c>
      <c r="AN11" s="9" t="n">
        <v>19.7</v>
      </c>
      <c r="AO11" s="9" t="n">
        <v>36.03</v>
      </c>
      <c r="AP11" s="9" t="n">
        <v>58</v>
      </c>
      <c r="AQ11" s="9" t="n">
        <v>88.68000000000001</v>
      </c>
      <c r="AR11" s="9" t="n">
        <v>36.59</v>
      </c>
      <c r="AS11" s="9" t="n">
        <v>38.59</v>
      </c>
      <c r="AT11" s="33">
        <f>PERCENTRANK(AS$2:INDEX($AS:$AS,LOOKUP(2,1/(ISNUMBER($A$2:$A$1048576)),ROW($A$2:$A$1048576))),AS11)</f>
        <v/>
      </c>
      <c r="AU11" s="39">
        <f>SUM(AS11-AS$106)/AS$107</f>
        <v/>
      </c>
      <c r="AV11" s="9" t="n">
        <v>13.49</v>
      </c>
      <c r="AW11" s="33">
        <f>PERCENTRANK(AV$2:INDEX($AV:$AV,LOOKUP(2,1/(ISNUMBER($A$2:$A$1048576)),ROW($A$2:$A$1048576))),AV11)</f>
        <v/>
      </c>
      <c r="AX11" s="9" t="n">
        <v>229.16</v>
      </c>
      <c r="AY11" s="9" t="n">
        <v>112</v>
      </c>
      <c r="AZ11" s="9" t="n">
        <v>48.87</v>
      </c>
      <c r="BA11" s="9" t="n">
        <v>5.7</v>
      </c>
      <c r="BB11" s="9" t="n">
        <v>1.49</v>
      </c>
      <c r="BC11" s="9" t="n">
        <v>26.07</v>
      </c>
      <c r="BD11" s="9" t="n">
        <v>31.46</v>
      </c>
      <c r="BE11" s="9" t="n">
        <v>7.92</v>
      </c>
      <c r="BF11" s="33">
        <f>PERCENTRANK(BE$2:INDEX($BE:$BE,LOOKUP(2,1/(ISNUMBER($A$2:$A$1048576)),ROW($A$2:$A$1048576))),BE11)</f>
        <v/>
      </c>
      <c r="BG11" s="40">
        <f>sum(BE11-BE$106)/BE$107</f>
        <v/>
      </c>
      <c r="BH11" s="9" t="n">
        <v>25.17</v>
      </c>
      <c r="BI11" s="9" t="n">
        <v>1.7</v>
      </c>
      <c r="BJ11" s="9" t="n">
        <v>0.62</v>
      </c>
      <c r="BK11" s="9" t="n">
        <v>36.51</v>
      </c>
      <c r="BL11" s="9" t="n">
        <v>24.49</v>
      </c>
      <c r="BM11" s="9" t="n">
        <v>3.46</v>
      </c>
      <c r="BN11" s="9" t="n">
        <v>14.13</v>
      </c>
      <c r="BO11" s="9" t="n">
        <v>4.89</v>
      </c>
      <c r="BP11" s="9" t="n">
        <v>1.41</v>
      </c>
      <c r="BQ11" s="9" t="n">
        <v>28.73</v>
      </c>
      <c r="BR11" s="9" t="n">
        <v>4.65</v>
      </c>
      <c r="BS11" s="9" t="n">
        <v>1.22</v>
      </c>
      <c r="BT11" s="9" t="n">
        <v>26.16</v>
      </c>
      <c r="BU11" s="9" t="n">
        <v>0.22</v>
      </c>
      <c r="BV11" s="9" t="n">
        <v>0.11</v>
      </c>
      <c r="BW11" s="9" t="n">
        <v>50</v>
      </c>
      <c r="BX11" s="9" t="n">
        <v>14.27</v>
      </c>
      <c r="BY11" s="9" t="n">
        <v>3.68</v>
      </c>
      <c r="BZ11" s="9" t="n">
        <v>25.76</v>
      </c>
      <c r="CA11" s="9" t="n">
        <v>3.78</v>
      </c>
      <c r="CB11" s="9" t="n">
        <v>6.35</v>
      </c>
      <c r="CC11" s="33">
        <f>PERCENTRANK(CD$2:INDEX($CD:$CD,LOOKUP(2,1/(ISNUMBER($A$2:$A$1048576)),ROW($A$2:$A$1048576))),CD11)</f>
        <v/>
      </c>
      <c r="CD11" s="40">
        <f>sum(CB11-CB$106)/CB$107</f>
        <v/>
      </c>
      <c r="CE11" s="9" t="n">
        <v>22.84</v>
      </c>
      <c r="CF11" s="33">
        <f>PERCENTRANK(CE$2:INDEX($CE:$CE,LOOKUP(2,1/(ISNUMBER($A$2:$A$1048576)),ROW($A$2:$A$1048576))),CE11)</f>
        <v/>
      </c>
      <c r="CG11" s="38">
        <f>sum(CE11-CE$106)/CE$107</f>
        <v/>
      </c>
      <c r="CH11" s="9" t="n">
        <v>3.7</v>
      </c>
      <c r="CI11" s="9" t="n">
        <v>8.27</v>
      </c>
      <c r="CJ11" s="9" t="n">
        <v>16.41</v>
      </c>
      <c r="CK11" s="33">
        <f>PERCENTRANK(CJ$2:INDEX($CJ:$CJ,LOOKUP(2,1/(ISNUMBER($A$2:$A$1048576)),ROW($A$2:$A$1048576))),CJ11)</f>
        <v/>
      </c>
      <c r="CL11" s="38">
        <f>sum(CJ11-CJ$106)/CJ$107</f>
        <v/>
      </c>
      <c r="CM11" s="9" t="n">
        <v>68.38</v>
      </c>
      <c r="CN11" s="9" t="n">
        <v>27.76</v>
      </c>
      <c r="CO11" s="9" t="n">
        <v>40.59</v>
      </c>
      <c r="CP11" s="9" t="n">
        <v>2.46</v>
      </c>
      <c r="CQ11" s="9" t="n">
        <v>0.73</v>
      </c>
      <c r="CR11" s="9" t="n">
        <v>10.22</v>
      </c>
      <c r="CS11" s="33">
        <f>PERCENTRANK(CR$2:INDEX($CR:$CR,LOOKUP(2,1/(ISNUMBER($A$2:$A$1048576)),ROW($A$2:$A$1048576))),CR11)</f>
        <v/>
      </c>
      <c r="CT11" s="39">
        <f>1-(CR11-CR$106)/CR$107</f>
        <v/>
      </c>
      <c r="CU11" s="9" t="n">
        <v>3.54</v>
      </c>
      <c r="CV11" s="33">
        <f>PERCENTRANK(CU$2:INDEX($CU:$CU,LOOKUP(2,1/(ISNUMBER($A$2:$A$1048576)),ROW($A$2:$A$1048576))),CU11)</f>
        <v/>
      </c>
      <c r="CW11" s="39">
        <f>1-(CU11-CU$106)/CU$107</f>
        <v/>
      </c>
      <c r="CX11" s="9" t="n">
        <v>34.66</v>
      </c>
      <c r="CY11" s="9" t="n">
        <v>79.84</v>
      </c>
      <c r="CZ11" s="9" t="n">
        <v>47.3</v>
      </c>
      <c r="DA11" s="9" t="n">
        <v>59.24</v>
      </c>
      <c r="DB11" s="9" t="n">
        <v>44.57</v>
      </c>
      <c r="DC11" s="9" t="n">
        <v>22.16</v>
      </c>
      <c r="DD11" s="9" t="n">
        <v>49.73</v>
      </c>
      <c r="DE11" s="9" t="n">
        <v>4.27</v>
      </c>
      <c r="DF11" s="9" t="n">
        <v>2.19</v>
      </c>
      <c r="DG11" s="9" t="n">
        <v>51.27</v>
      </c>
      <c r="DH11" s="9" t="n">
        <v>44.92</v>
      </c>
      <c r="DI11" s="33">
        <f>PERCENTRANK(DH$2:INDEX($DH:$DH,LOOKUP(2,1/(ISNUMBER($A$2:$A$1048576)),ROW($A$2:$A$1048576))),DH11)</f>
        <v/>
      </c>
      <c r="DJ11" s="39">
        <f>SUM(DH11-DH$106)/DH$107</f>
        <v/>
      </c>
      <c r="DK11" s="9" t="n">
        <v>20.97</v>
      </c>
      <c r="DL11" s="9" t="n">
        <v>15</v>
      </c>
      <c r="DM11" s="9" t="n">
        <v>2.86</v>
      </c>
      <c r="DN11" s="9" t="n">
        <v>0.08</v>
      </c>
      <c r="DO11" s="9" t="n">
        <v>117.41</v>
      </c>
      <c r="DP11" s="9" t="n">
        <v>74.97</v>
      </c>
      <c r="DQ11" s="33">
        <f>PERCENTRANK(DP$2:INDEX($DP:$DP,LOOKUP(2,1/(ISNUMBER($A$2:$A$1048576)),ROW($A$2:$A$1048576))),DP11)</f>
        <v/>
      </c>
      <c r="DR11" s="40">
        <f>sum(DP11-DP$106)/DP$107</f>
        <v/>
      </c>
      <c r="DS11" s="9" t="n">
        <v>63.86</v>
      </c>
      <c r="DT11" s="9" t="n">
        <v>31.32</v>
      </c>
      <c r="DU11" s="9" t="n">
        <v>28.19</v>
      </c>
      <c r="DV11" s="9" t="n">
        <v>89.98999999999999</v>
      </c>
      <c r="DW11" s="9" t="n">
        <v>75.84</v>
      </c>
      <c r="DX11" s="9" t="n">
        <v>58.11</v>
      </c>
      <c r="DY11" s="9" t="n">
        <v>76.62</v>
      </c>
      <c r="DZ11" s="9" t="n">
        <v>43.24</v>
      </c>
      <c r="EA11" s="9" t="n">
        <v>19.73</v>
      </c>
      <c r="EB11" s="9" t="n">
        <v>45.63</v>
      </c>
      <c r="EC11" s="9" t="n">
        <v>51.35</v>
      </c>
      <c r="ED11" s="9" t="n">
        <v>29.57</v>
      </c>
      <c r="EE11" s="33">
        <f>PERCENTRANK(ED$2:INDEX($ED:$ED,LOOKUP(2,1/(ISNUMBER($A$2:$A$1048576)),ROW($A$2:$A$1048576))),ED11)</f>
        <v/>
      </c>
      <c r="EF11" s="40">
        <f>sum(ED11-ED$106)/ED$107</f>
        <v/>
      </c>
      <c r="EG11" s="9" t="n">
        <v>57.58</v>
      </c>
      <c r="EH11" s="9" t="n">
        <v>61.7</v>
      </c>
      <c r="EI11" s="9" t="n">
        <v>44.65</v>
      </c>
      <c r="EJ11" s="33">
        <f>PERCENTRANK(EI$2:INDEX($EI:$EI,LOOKUP(2,1/(ISNUMBER($A$2:$A$1048576)),ROW($A$2:$A$1048576))),EI11)</f>
        <v/>
      </c>
      <c r="EK11" s="40">
        <f>sum(EI11-EI$106)/EI$107</f>
        <v/>
      </c>
      <c r="EL11" s="9" t="n">
        <v>72.36</v>
      </c>
      <c r="EM11" s="9" t="n">
        <v>3.78</v>
      </c>
      <c r="EN11" s="9" t="n">
        <v>1.49</v>
      </c>
      <c r="EO11" s="9" t="n">
        <v>39.29</v>
      </c>
      <c r="EP11" s="9" t="n">
        <v>25.27</v>
      </c>
      <c r="EQ11" s="9" t="n">
        <v>20.3</v>
      </c>
      <c r="ER11" s="9" t="n">
        <v>80.31999999999999</v>
      </c>
      <c r="ES11" s="9" t="n">
        <v>8.24</v>
      </c>
      <c r="ET11" s="9" t="n">
        <v>14.26</v>
      </c>
      <c r="EU11" s="9" t="n">
        <v>2.26</v>
      </c>
      <c r="EV11" s="9" t="n">
        <v>17.26</v>
      </c>
      <c r="EW11" s="9" t="n">
        <v>19.11</v>
      </c>
      <c r="EX11" s="33">
        <f>PERCENTRANK(EW$2:INDEX($EW:$EW,LOOKUP(2,1/(ISNUMBER($A$2:$A$1048576)),ROW($A$2:$A$1048576))),EW11)</f>
        <v/>
      </c>
      <c r="EY11" s="38">
        <f>1-(EW11-EW$106)/EW$107</f>
        <v/>
      </c>
      <c r="EZ11" s="9" t="n">
        <v>21.71</v>
      </c>
      <c r="FA11" s="9" t="n">
        <v>7.73</v>
      </c>
      <c r="FB11" s="33">
        <f>PERCENTRANK(FA$2:INDEX($FA:$FA,LOOKUP(2,1/(ISNUMBER($A$2:$A$1048576)),ROW($A$2:$A$1048576))),FA11)</f>
        <v/>
      </c>
      <c r="FC11" s="39">
        <f>1-(FA11-FA$106)/FA$107</f>
        <v/>
      </c>
      <c r="FD11" s="9" t="n">
        <v>0.73</v>
      </c>
      <c r="FE11" s="9" t="n">
        <v>1</v>
      </c>
      <c r="FF11" s="33">
        <f>PERCENTRANK(FE$2:INDEX($FE:$FE,LOOKUP(2,1/(ISNUMBER($A$2:$A$1048576)),ROW($A$2:$A$1048576))),FE11)</f>
        <v/>
      </c>
      <c r="FG11" s="39">
        <f>1-(FE11-FE$106)/FE$107</f>
        <v/>
      </c>
      <c r="FH11" s="9" t="n">
        <v>10.22</v>
      </c>
      <c r="FI11" s="9" t="n">
        <v>3.3</v>
      </c>
      <c r="FJ11" s="9" t="n">
        <v>32.28</v>
      </c>
      <c r="FK11" s="9" t="n">
        <v>367.35</v>
      </c>
      <c r="FL11" s="33">
        <f>PERCENTRANK(FK$2:INDEX($FK:$FK,LOOKUP(2,1/(ISNUMBER($A$2:$A$1048576)),ROW($A$2:$A$1048576))),FK11)</f>
        <v/>
      </c>
      <c r="FM11" s="39">
        <f>SWA10-(FK11-FK$106)/FK$107</f>
        <v/>
      </c>
      <c r="FN11" s="9" t="n">
        <v>284.46</v>
      </c>
      <c r="FO11" s="9" t="n">
        <v>77.44</v>
      </c>
      <c r="FP11" s="9" t="n">
        <v>56.58</v>
      </c>
      <c r="FQ11" s="9" t="n">
        <v>121.35</v>
      </c>
      <c r="FR11" s="9" t="n">
        <v>21.73</v>
      </c>
      <c r="FS11" s="9" t="n">
        <v>48.41</v>
      </c>
      <c r="FT11" s="9" t="n">
        <v>51.22</v>
      </c>
      <c r="FU11" s="9" t="n">
        <v>84.92</v>
      </c>
      <c r="FV11" s="9" t="n">
        <v>44.81</v>
      </c>
      <c r="FW11" s="9" t="n">
        <v>29.16</v>
      </c>
      <c r="FX11" s="9" t="n">
        <v>10.95</v>
      </c>
      <c r="FY11" s="9" t="n">
        <v>229.16</v>
      </c>
      <c r="FZ11" s="9" t="n">
        <v>107.05</v>
      </c>
      <c r="GA11" s="9" t="n">
        <v>46.72</v>
      </c>
      <c r="GB11" s="9" t="n">
        <v>4.7</v>
      </c>
      <c r="GC11" s="9" t="n">
        <v>1.11</v>
      </c>
      <c r="GD11" s="9" t="n">
        <v>23.56</v>
      </c>
      <c r="GE11" s="9" t="n">
        <v>28.05</v>
      </c>
      <c r="GF11" s="9" t="n">
        <v>5.76</v>
      </c>
      <c r="GG11" s="9" t="n">
        <v>20.52</v>
      </c>
      <c r="GH11" s="9" t="n">
        <v>0.76</v>
      </c>
      <c r="GI11" s="9" t="n">
        <v>0.3</v>
      </c>
      <c r="GJ11" s="9" t="n">
        <v>39.29</v>
      </c>
      <c r="GK11" s="9" t="n">
        <v>30.81</v>
      </c>
      <c r="GL11" s="9" t="n">
        <v>3.59</v>
      </c>
      <c r="GM11" s="9" t="n">
        <v>11.67</v>
      </c>
      <c r="GN11" s="9" t="n">
        <v>5.35</v>
      </c>
      <c r="GO11" s="9" t="n">
        <v>1.76</v>
      </c>
      <c r="GP11" s="9" t="n">
        <v>32.83</v>
      </c>
      <c r="GQ11" s="9" t="n">
        <v>2.78</v>
      </c>
      <c r="GR11" s="9" t="n">
        <v>0.41</v>
      </c>
      <c r="GS11" s="9" t="n">
        <v>14.56</v>
      </c>
      <c r="GT11" s="9" t="n">
        <v>0.05</v>
      </c>
      <c r="GU11" s="9" t="n">
        <v>0.03</v>
      </c>
      <c r="GV11" s="9" t="n">
        <v>50</v>
      </c>
      <c r="GW11" s="9" t="n">
        <v>16.81</v>
      </c>
      <c r="GX11" s="9" t="n">
        <v>5.16</v>
      </c>
      <c r="GY11" s="9" t="n">
        <v>30.71</v>
      </c>
      <c r="GZ11" s="9" t="n">
        <v>4.95</v>
      </c>
      <c r="HA11" s="9" t="n">
        <v>4.95</v>
      </c>
      <c r="HB11" s="9" t="n">
        <v>23.65</v>
      </c>
      <c r="HC11" s="9" t="n">
        <v>3.84</v>
      </c>
      <c r="HD11" s="9" t="n">
        <v>10.59</v>
      </c>
      <c r="HE11" s="9" t="n">
        <v>14.24</v>
      </c>
      <c r="HF11" s="9" t="n">
        <v>79.84</v>
      </c>
      <c r="HG11" s="9" t="n">
        <v>32.54</v>
      </c>
      <c r="HH11" s="9" t="n">
        <v>40.76</v>
      </c>
      <c r="HI11" s="9" t="n">
        <v>0.95</v>
      </c>
      <c r="HJ11" s="9" t="n">
        <v>1.68</v>
      </c>
      <c r="HK11" s="9" t="n">
        <v>12.92</v>
      </c>
      <c r="HL11" s="9" t="n">
        <v>5.35</v>
      </c>
      <c r="HM11" s="9" t="n">
        <v>41.42</v>
      </c>
      <c r="HN11" s="9" t="n">
        <v>68.38</v>
      </c>
      <c r="HO11" s="9" t="n">
        <v>40.62</v>
      </c>
      <c r="HP11" s="9" t="n">
        <v>59.41</v>
      </c>
      <c r="HQ11" s="9" t="n">
        <v>44.57</v>
      </c>
      <c r="HR11" s="9" t="n">
        <v>19.78</v>
      </c>
      <c r="HS11" s="9" t="n">
        <v>44.39</v>
      </c>
      <c r="HT11" s="9" t="n">
        <v>3.81</v>
      </c>
      <c r="HU11" s="9" t="n">
        <v>1.84</v>
      </c>
      <c r="HV11" s="9" t="n">
        <v>48.23</v>
      </c>
      <c r="HW11" s="9" t="n">
        <v>41.27</v>
      </c>
      <c r="HX11" s="9" t="n">
        <v>17.3</v>
      </c>
      <c r="HY11" s="9" t="n">
        <v>13.11</v>
      </c>
      <c r="HZ11" s="9" t="n">
        <v>2.97</v>
      </c>
      <c r="IA11" s="9" t="n">
        <v>0.16</v>
      </c>
      <c r="IB11" s="9" t="n">
        <v>142.92</v>
      </c>
      <c r="IC11" s="9" t="n">
        <v>97.92</v>
      </c>
      <c r="ID11" s="9" t="n">
        <v>68.51000000000001</v>
      </c>
      <c r="IE11" s="9" t="n">
        <v>51.19</v>
      </c>
      <c r="IF11" s="9" t="n">
        <v>46.05</v>
      </c>
      <c r="IG11" s="9" t="n">
        <v>89.97</v>
      </c>
      <c r="IH11" s="9" t="n">
        <v>121.65</v>
      </c>
      <c r="II11" s="9" t="n">
        <v>100.54</v>
      </c>
      <c r="IJ11" s="9" t="n">
        <v>82.65000000000001</v>
      </c>
      <c r="IK11" s="9" t="n">
        <v>48.57</v>
      </c>
      <c r="IL11" s="9" t="n">
        <v>24.95</v>
      </c>
      <c r="IM11" s="9" t="n">
        <v>51.36</v>
      </c>
      <c r="IN11" s="9" t="n">
        <v>48.84</v>
      </c>
      <c r="IO11" s="9" t="n">
        <v>30.19</v>
      </c>
      <c r="IP11" s="9" t="n">
        <v>61.82</v>
      </c>
      <c r="IQ11" s="9" t="n">
        <v>73.56999999999999</v>
      </c>
      <c r="IR11" s="9" t="n">
        <v>48.86</v>
      </c>
      <c r="IS11" s="9" t="n">
        <v>66.42</v>
      </c>
      <c r="IT11" s="33">
        <f>PERCENTRANK(IS$2:INDEX($IS:$IS,LOOKUP(2,1/(ISNUMBER($A$2:$A$1048576)),ROW($A$2:$A$1048576))),IS11)</f>
        <v/>
      </c>
      <c r="IU11" s="39">
        <f>1-(IS11-IS$106)/IS$107</f>
        <v/>
      </c>
      <c r="IV11" s="9" t="n">
        <v>3.03</v>
      </c>
      <c r="IW11" s="9" t="n">
        <v>1.08</v>
      </c>
      <c r="IX11" s="9" t="n">
        <v>35.71</v>
      </c>
      <c r="IY11" s="9" t="n">
        <v>28.78</v>
      </c>
      <c r="IZ11" s="9" t="n">
        <v>25</v>
      </c>
      <c r="JA11" s="9" t="n">
        <v>86.84999999999999</v>
      </c>
      <c r="JB11" s="9" t="n">
        <v>10.3</v>
      </c>
      <c r="JC11" s="9" t="n">
        <v>15.37</v>
      </c>
      <c r="JD11" s="9" t="n">
        <v>3.04</v>
      </c>
      <c r="JE11" s="9" t="n">
        <v>13.53</v>
      </c>
      <c r="JF11" s="9" t="n">
        <v>19.49</v>
      </c>
      <c r="JG11" s="9" t="n">
        <v>20.61</v>
      </c>
      <c r="JH11" s="9" t="n">
        <v>7.52</v>
      </c>
    </row>
    <row r="12">
      <c r="A12" s="12" t="n">
        <v>2022</v>
      </c>
      <c r="B12" s="31" t="inlineStr">
        <is>
          <t>Birmingham Legion</t>
        </is>
      </c>
      <c r="C12" s="12" t="n">
        <v>58</v>
      </c>
      <c r="D12" s="5">
        <f>(C12-AVERAGE($C$2:INDEX($C:$C,LOOKUP(2,1/(ISNUMBER($A$2:$A$1048576)),ROW($A$2:$A$1048576)))))/_xlfn.STDEV.P($C$2:INDEX($C:$C,LOOKUP(2,1/(ISNUMBER($A$2:$A$1048576)),ROW($A$2:$A$1048576))))</f>
        <v/>
      </c>
      <c r="E12" s="12" t="n">
        <v>4</v>
      </c>
      <c r="F12" s="6">
        <f>-E12</f>
        <v/>
      </c>
      <c r="G12" s="7">
        <f>(F12-AVERAGE($F$2:INDEX($F:$F,LOOKUP(2,1/(ISNUMBER($A$2:$A$1048576)),ROW($A$2:$A$1048576)))))/_xlfn.STDEV.P($F$2:INDEX($F:$F,LOOKUP(2,1/(ISNUMBER($A$2:$A$1048576)),ROW($A$2:$A$1048576))))</f>
        <v/>
      </c>
      <c r="H12" s="32">
        <f>sum(0.5*D12)+(0.5*G12)</f>
        <v/>
      </c>
      <c r="I12" s="12" t="inlineStr">
        <is>
          <t>East</t>
        </is>
      </c>
      <c r="J12" s="10">
        <f>sum(L12*L$105)+(N12*N$105)+(P12*P$105)+(T12*R$105)</f>
        <v/>
      </c>
      <c r="K12" s="33">
        <f>PERCENTRANK(J$2:INDEX($J:$J,LOOKUP(2,1/(ISNUMBER($A$2:$A$1048576)),ROW($A$2:$A$1048576))),J12)</f>
        <v/>
      </c>
      <c r="L12" s="10">
        <f>sum(AA12*0.66)+(AD12*0.55)+(AG12*0.59)+(CG12*0.51)+(CL12*0.6)+(EY12*0.31)</f>
        <v/>
      </c>
      <c r="M12" s="33">
        <f>PERCENTRANK(L$2:INDEX($L:$L,LOOKUP(2,1/(ISNUMBER($A$2:$A$1048576)),ROW($A$2:$A$1048576))),L12)</f>
        <v/>
      </c>
      <c r="N12" s="10">
        <f>sum(CT12*0.57)+(CW12*0.71)+(DJ12*0.08)+(FC12*0.33)+(FG12*0.69)+(FM12*0.26)+(IU12*0.54)+(AU12*0.4)</f>
        <v/>
      </c>
      <c r="O12" s="33">
        <f>PERCENTRANK(N$2:INDEX($N:$N,LOOKUP(2,1/(ISNUMBER($A$2:$A$1048576)),ROW($A$2:$A$1048576))),N12)</f>
        <v/>
      </c>
      <c r="P12" s="10">
        <f>sum(BG12*0.51)+(CD12*0.51)+(DR12*0.11)+(EF12*0.42)+(EK12*0.44)+(W12*0.6)</f>
        <v/>
      </c>
      <c r="Q12" s="33">
        <f>PERCENTRANK(P$2:INDEX($P:$P,LOOKUP(2,1/(ISNUMBER($A$2:$A$1048576)),ROW($A$2:$A$1048576))),P12)</f>
        <v/>
      </c>
      <c r="R12" s="10">
        <f>sum(Y12-FE12)</f>
        <v/>
      </c>
      <c r="S12" s="33">
        <f>PERCENTRANK(R$2:INDEX($R:$R,LOOKUP(2,1/(ISNUMBER($A$2:$A$1048576)),ROW($A$2:$A$1048576))),R12)</f>
        <v/>
      </c>
      <c r="T12" s="34">
        <f>sum(R12-R$106)/R$107</f>
        <v/>
      </c>
      <c r="U12" s="35">
        <f>sum(Y12/AI12)*100</f>
        <v/>
      </c>
      <c r="V12" s="33">
        <f>PERCENTRANK(U$2:INDEX($U:$U,LOOKUP(2,1/(ISNUMBER($A$2:$A$1048576)),ROW($A$2:$A$1048576))),U12)</f>
        <v/>
      </c>
      <c r="W12" s="36">
        <f>sum(U12-U$106)/U$107</f>
        <v/>
      </c>
      <c r="X12" s="9" t="n">
        <v>1.66</v>
      </c>
      <c r="Y12" s="9" t="n">
        <v>1.8</v>
      </c>
      <c r="Z12" s="33">
        <f>PERCENTRANK(Y$2:INDEX($Y:$Y,LOOKUP(2,1/(ISNUMBER($A$2:$A$1048576)),ROW($A$2:$A$1048576))),Y12)</f>
        <v/>
      </c>
      <c r="AA12" s="37">
        <f>sum(Y12-Y$106)/Y$107</f>
        <v/>
      </c>
      <c r="AB12" s="9" t="n">
        <v>14.46</v>
      </c>
      <c r="AC12" s="33">
        <f>PERCENTRANK(AB$2:INDEX($AB:$AB,LOOKUP(2,1/(ISNUMBER($A$2:$A$1048576)),ROW($A$2:$A$1048576))),AB12)</f>
        <v/>
      </c>
      <c r="AD12" s="38">
        <f>sum(AB12-AB$106)/AB$107</f>
        <v/>
      </c>
      <c r="AE12" s="9" t="n">
        <v>5.49</v>
      </c>
      <c r="AF12" s="33">
        <f>PERCENTRANK(AE$2:INDEX($AE:$AE,LOOKUP(2,1/(ISNUMBER($A$2:$A$1048576)),ROW($A$2:$A$1048576))),AE12)</f>
        <v/>
      </c>
      <c r="AG12" s="38">
        <f>sum(AE12-AE$106)/AE$107</f>
        <v/>
      </c>
      <c r="AH12" s="9" t="n">
        <v>37.94</v>
      </c>
      <c r="AI12" s="9" t="n">
        <v>400.29</v>
      </c>
      <c r="AJ12" s="9" t="n">
        <v>328.29</v>
      </c>
      <c r="AK12" s="9" t="n">
        <v>82.01000000000001</v>
      </c>
      <c r="AL12" s="9" t="n">
        <v>49.76</v>
      </c>
      <c r="AM12" s="9" t="n">
        <v>106.29</v>
      </c>
      <c r="AN12" s="9" t="n">
        <v>17.8</v>
      </c>
      <c r="AO12" s="9" t="n">
        <v>36.23</v>
      </c>
      <c r="AP12" s="9" t="n">
        <v>52.26</v>
      </c>
      <c r="AQ12" s="9" t="n">
        <v>86.06</v>
      </c>
      <c r="AR12" s="9" t="n">
        <v>35.66</v>
      </c>
      <c r="AS12" s="9" t="n">
        <v>36.94</v>
      </c>
      <c r="AT12" s="33">
        <f>PERCENTRANK(AS$2:INDEX($AS:$AS,LOOKUP(2,1/(ISNUMBER($A$2:$A$1048576)),ROW($A$2:$A$1048576))),AS12)</f>
        <v/>
      </c>
      <c r="AU12" s="39">
        <f>SUM(AS12-AS$106)/AS$107</f>
        <v/>
      </c>
      <c r="AV12" s="9" t="n">
        <v>13.46</v>
      </c>
      <c r="AW12" s="33">
        <f>PERCENTRANK(AV$2:INDEX($AV:$AV,LOOKUP(2,1/(ISNUMBER($A$2:$A$1048576)),ROW($A$2:$A$1048576))),AV12)</f>
        <v/>
      </c>
      <c r="AX12" s="9" t="n">
        <v>212.2</v>
      </c>
      <c r="AY12" s="9" t="n">
        <v>98.8</v>
      </c>
      <c r="AZ12" s="9" t="n">
        <v>46.56</v>
      </c>
      <c r="BA12" s="9" t="n">
        <v>6.03</v>
      </c>
      <c r="BB12" s="9" t="n">
        <v>1.74</v>
      </c>
      <c r="BC12" s="9" t="n">
        <v>28.91</v>
      </c>
      <c r="BD12" s="9" t="n">
        <v>33.34</v>
      </c>
      <c r="BE12" s="9" t="n">
        <v>9.06</v>
      </c>
      <c r="BF12" s="33">
        <f>PERCENTRANK(BE$2:INDEX($BE:$BE,LOOKUP(2,1/(ISNUMBER($A$2:$A$1048576)),ROW($A$2:$A$1048576))),BE12)</f>
        <v/>
      </c>
      <c r="BG12" s="40">
        <f>sum(BE12-BE$106)/BE$107</f>
        <v/>
      </c>
      <c r="BH12" s="9" t="n">
        <v>27.16</v>
      </c>
      <c r="BI12" s="9" t="n">
        <v>1.83</v>
      </c>
      <c r="BJ12" s="9" t="n">
        <v>0.6899999999999999</v>
      </c>
      <c r="BK12" s="9" t="n">
        <v>37.5</v>
      </c>
      <c r="BL12" s="9" t="n">
        <v>24.83</v>
      </c>
      <c r="BM12" s="9" t="n">
        <v>3.97</v>
      </c>
      <c r="BN12" s="9" t="n">
        <v>16</v>
      </c>
      <c r="BO12" s="9" t="n">
        <v>5.26</v>
      </c>
      <c r="BP12" s="9" t="n">
        <v>1.51</v>
      </c>
      <c r="BQ12" s="9" t="n">
        <v>28.8</v>
      </c>
      <c r="BR12" s="9" t="n">
        <v>2.43</v>
      </c>
      <c r="BS12" s="9" t="n">
        <v>0.91</v>
      </c>
      <c r="BT12" s="9" t="n">
        <v>37.65</v>
      </c>
      <c r="BU12" s="9" t="n">
        <v>0.37</v>
      </c>
      <c r="BV12" s="9" t="n">
        <v>0.26</v>
      </c>
      <c r="BW12" s="9" t="n">
        <v>69.23</v>
      </c>
      <c r="BX12" s="9" t="n">
        <v>13.63</v>
      </c>
      <c r="BY12" s="9" t="n">
        <v>4.8</v>
      </c>
      <c r="BZ12" s="9" t="n">
        <v>35.22</v>
      </c>
      <c r="CA12" s="9" t="n">
        <v>4.91</v>
      </c>
      <c r="CB12" s="9" t="n">
        <v>10.06</v>
      </c>
      <c r="CC12" s="33">
        <f>PERCENTRANK(CD$2:INDEX($CD:$CD,LOOKUP(2,1/(ISNUMBER($A$2:$A$1048576)),ROW($A$2:$A$1048576))),CD12)</f>
        <v/>
      </c>
      <c r="CD12" s="40">
        <f>sum(CB12-CB$106)/CB$107</f>
        <v/>
      </c>
      <c r="CE12" s="9" t="n">
        <v>27.66</v>
      </c>
      <c r="CF12" s="33">
        <f>PERCENTRANK(CE$2:INDEX($CE:$CE,LOOKUP(2,1/(ISNUMBER($A$2:$A$1048576)),ROW($A$2:$A$1048576))),CE12)</f>
        <v/>
      </c>
      <c r="CG12" s="38">
        <f>sum(CE12-CE$106)/CE$107</f>
        <v/>
      </c>
      <c r="CH12" s="9" t="n">
        <v>5.17</v>
      </c>
      <c r="CI12" s="9" t="n">
        <v>7.6</v>
      </c>
      <c r="CJ12" s="9" t="n">
        <v>22.37</v>
      </c>
      <c r="CK12" s="33">
        <f>PERCENTRANK(CJ$2:INDEX($CJ:$CJ,LOOKUP(2,1/(ISNUMBER($A$2:$A$1048576)),ROW($A$2:$A$1048576))),CJ12)</f>
        <v/>
      </c>
      <c r="CL12" s="38">
        <f>sum(CJ12-CJ$106)/CJ$107</f>
        <v/>
      </c>
      <c r="CM12" s="9" t="n">
        <v>71.51000000000001</v>
      </c>
      <c r="CN12" s="9" t="n">
        <v>26.57</v>
      </c>
      <c r="CO12" s="9" t="n">
        <v>37.16</v>
      </c>
      <c r="CP12" s="9" t="n">
        <v>2.31</v>
      </c>
      <c r="CQ12" s="9" t="n">
        <v>1.11</v>
      </c>
      <c r="CR12" s="9" t="n">
        <v>10.86</v>
      </c>
      <c r="CS12" s="33">
        <f>PERCENTRANK(CR$2:INDEX($CR:$CR,LOOKUP(2,1/(ISNUMBER($A$2:$A$1048576)),ROW($A$2:$A$1048576))),CR12)</f>
        <v/>
      </c>
      <c r="CT12" s="39">
        <f>1-(CR12-CR$106)/CR$107</f>
        <v/>
      </c>
      <c r="CU12" s="9" t="n">
        <v>3.97</v>
      </c>
      <c r="CV12" s="33">
        <f>PERCENTRANK(CU$2:INDEX($CU:$CU,LOOKUP(2,1/(ISNUMBER($A$2:$A$1048576)),ROW($A$2:$A$1048576))),CU12)</f>
        <v/>
      </c>
      <c r="CW12" s="39">
        <f>1-(CU12-CU$106)/CU$107</f>
        <v/>
      </c>
      <c r="CX12" s="9" t="n">
        <v>36.58</v>
      </c>
      <c r="CY12" s="9" t="n">
        <v>67.2</v>
      </c>
      <c r="CZ12" s="9" t="n">
        <v>39.74</v>
      </c>
      <c r="DA12" s="9" t="n">
        <v>59.14</v>
      </c>
      <c r="DB12" s="9" t="n">
        <v>38.34</v>
      </c>
      <c r="DC12" s="9" t="n">
        <v>18.4</v>
      </c>
      <c r="DD12" s="9" t="n">
        <v>47.99</v>
      </c>
      <c r="DE12" s="9" t="n">
        <v>3.83</v>
      </c>
      <c r="DF12" s="9" t="n">
        <v>1.86</v>
      </c>
      <c r="DG12" s="9" t="n">
        <v>48.51</v>
      </c>
      <c r="DH12" s="9" t="n">
        <v>40.57</v>
      </c>
      <c r="DI12" s="33">
        <f>PERCENTRANK(DH$2:INDEX($DH:$DH,LOOKUP(2,1/(ISNUMBER($A$2:$A$1048576)),ROW($A$2:$A$1048576))),DH12)</f>
        <v/>
      </c>
      <c r="DJ12" s="39">
        <f>SUM(DH12-DH$106)/DH$107</f>
        <v/>
      </c>
      <c r="DK12" s="9" t="n">
        <v>14.71</v>
      </c>
      <c r="DL12" s="9" t="n">
        <v>13.86</v>
      </c>
      <c r="DM12" s="9" t="n">
        <v>2.4</v>
      </c>
      <c r="DN12" s="9" t="n">
        <v>0.09</v>
      </c>
      <c r="DO12" s="9" t="n">
        <v>138.86</v>
      </c>
      <c r="DP12" s="9" t="n">
        <v>100.97</v>
      </c>
      <c r="DQ12" s="33">
        <f>PERCENTRANK(DP$2:INDEX($DP:$DP,LOOKUP(2,1/(ISNUMBER($A$2:$A$1048576)),ROW($A$2:$A$1048576))),DP12)</f>
        <v/>
      </c>
      <c r="DR12" s="40">
        <f>sum(DP12-DP$106)/DP$107</f>
        <v/>
      </c>
      <c r="DS12" s="9" t="n">
        <v>72.72</v>
      </c>
      <c r="DT12" s="9" t="n">
        <v>55.11</v>
      </c>
      <c r="DU12" s="9" t="n">
        <v>51.14</v>
      </c>
      <c r="DV12" s="9" t="n">
        <v>92.79000000000001</v>
      </c>
      <c r="DW12" s="9" t="n">
        <v>148.29</v>
      </c>
      <c r="DX12" s="9" t="n">
        <v>129.97</v>
      </c>
      <c r="DY12" s="9" t="n">
        <v>87.65000000000001</v>
      </c>
      <c r="DZ12" s="9" t="n">
        <v>46.49</v>
      </c>
      <c r="EA12" s="9" t="n">
        <v>26.46</v>
      </c>
      <c r="EB12" s="9" t="n">
        <v>56.91</v>
      </c>
      <c r="EC12" s="9" t="n">
        <v>57.4</v>
      </c>
      <c r="ED12" s="9" t="n">
        <v>40.23</v>
      </c>
      <c r="EE12" s="33">
        <f>PERCENTRANK(ED$2:INDEX($ED:$ED,LOOKUP(2,1/(ISNUMBER($A$2:$A$1048576)),ROW($A$2:$A$1048576))),ED12)</f>
        <v/>
      </c>
      <c r="EF12" s="40">
        <f>sum(ED12-ED$106)/ED$107</f>
        <v/>
      </c>
      <c r="EG12" s="9" t="n">
        <v>70.08</v>
      </c>
      <c r="EH12" s="9" t="n">
        <v>78.11</v>
      </c>
      <c r="EI12" s="9" t="n">
        <v>58.4</v>
      </c>
      <c r="EJ12" s="33">
        <f>PERCENTRANK(EI$2:INDEX($EI:$EI,LOOKUP(2,1/(ISNUMBER($A$2:$A$1048576)),ROW($A$2:$A$1048576))),EI12)</f>
        <v/>
      </c>
      <c r="EK12" s="40">
        <f>sum(EI12-EI$106)/EI$107</f>
        <v/>
      </c>
      <c r="EL12" s="9" t="n">
        <v>74.76000000000001</v>
      </c>
      <c r="EM12" s="9" t="n">
        <v>4.69</v>
      </c>
      <c r="EN12" s="9" t="n">
        <v>2</v>
      </c>
      <c r="EO12" s="9" t="n">
        <v>42.68</v>
      </c>
      <c r="EP12" s="9" t="n">
        <v>22.37</v>
      </c>
      <c r="EQ12" s="9" t="n">
        <v>19.46</v>
      </c>
      <c r="ER12" s="9" t="n">
        <v>86.97</v>
      </c>
      <c r="ES12" s="9" t="n">
        <v>7.77</v>
      </c>
      <c r="ET12" s="9" t="n">
        <v>15.74</v>
      </c>
      <c r="EU12" s="9" t="n">
        <v>3.63</v>
      </c>
      <c r="EV12" s="9" t="n">
        <v>12.12</v>
      </c>
      <c r="EW12" s="9" t="n">
        <v>18.51</v>
      </c>
      <c r="EX12" s="33">
        <f>PERCENTRANK(EW$2:INDEX($EW:$EW,LOOKUP(2,1/(ISNUMBER($A$2:$A$1048576)),ROW($A$2:$A$1048576))),EW12)</f>
        <v/>
      </c>
      <c r="EY12" s="38">
        <f>1-(EW12-EW$106)/EW$107</f>
        <v/>
      </c>
      <c r="EZ12" s="9" t="n">
        <v>20.06</v>
      </c>
      <c r="FA12" s="9" t="n">
        <v>10.2</v>
      </c>
      <c r="FB12" s="33">
        <f>PERCENTRANK(FA$2:INDEX($FA:$FA,LOOKUP(2,1/(ISNUMBER($A$2:$A$1048576)),ROW($A$2:$A$1048576))),FA12)</f>
        <v/>
      </c>
      <c r="FC12" s="39">
        <f>1-(FA12-FA$106)/FA$107</f>
        <v/>
      </c>
      <c r="FD12" s="9" t="n">
        <v>1.11</v>
      </c>
      <c r="FE12" s="9" t="n">
        <v>1.12</v>
      </c>
      <c r="FF12" s="33">
        <f>PERCENTRANK(FE$2:INDEX($FE:$FE,LOOKUP(2,1/(ISNUMBER($A$2:$A$1048576)),ROW($A$2:$A$1048576))),FE12)</f>
        <v/>
      </c>
      <c r="FG12" s="39">
        <f>1-(FE12-FE$106)/FE$107</f>
        <v/>
      </c>
      <c r="FH12" s="9" t="n">
        <v>10.86</v>
      </c>
      <c r="FI12" s="9" t="n">
        <v>3.91</v>
      </c>
      <c r="FJ12" s="9" t="n">
        <v>36.05</v>
      </c>
      <c r="FK12" s="9" t="n">
        <v>411.57</v>
      </c>
      <c r="FL12" s="33">
        <f>PERCENTRANK(FK$2:INDEX($FK:$FK,LOOKUP(2,1/(ISNUMBER($A$2:$A$1048576)),ROW($A$2:$A$1048576))),FK12)</f>
        <v/>
      </c>
      <c r="FM12" s="39">
        <f>SWA11-(FK12-FK$106)/FK$107</f>
        <v/>
      </c>
      <c r="FN12" s="9" t="n">
        <v>338.4</v>
      </c>
      <c r="FO12" s="9" t="n">
        <v>82.22</v>
      </c>
      <c r="FP12" s="9" t="n">
        <v>50.24</v>
      </c>
      <c r="FQ12" s="9" t="n">
        <v>109.23</v>
      </c>
      <c r="FR12" s="9" t="n">
        <v>21.11</v>
      </c>
      <c r="FS12" s="9" t="n">
        <v>41.03</v>
      </c>
      <c r="FT12" s="9" t="n">
        <v>47.09</v>
      </c>
      <c r="FU12" s="9" t="n">
        <v>82.63</v>
      </c>
      <c r="FV12" s="9" t="n">
        <v>40.43</v>
      </c>
      <c r="FW12" s="9" t="n">
        <v>31.23</v>
      </c>
      <c r="FX12" s="9" t="n">
        <v>10.97</v>
      </c>
      <c r="FY12" s="9" t="n">
        <v>212.2</v>
      </c>
      <c r="FZ12" s="9" t="n">
        <v>104.69</v>
      </c>
      <c r="GA12" s="9" t="n">
        <v>49.33</v>
      </c>
      <c r="GB12" s="9" t="n">
        <v>4.54</v>
      </c>
      <c r="GC12" s="9" t="n">
        <v>1.14</v>
      </c>
      <c r="GD12" s="9" t="n">
        <v>25.16</v>
      </c>
      <c r="GE12" s="9" t="n">
        <v>26.8</v>
      </c>
      <c r="GF12" s="9" t="n">
        <v>6</v>
      </c>
      <c r="GG12" s="9" t="n">
        <v>22.39</v>
      </c>
      <c r="GH12" s="9" t="n">
        <v>1.6</v>
      </c>
      <c r="GI12" s="9" t="n">
        <v>0.66</v>
      </c>
      <c r="GJ12" s="9" t="n">
        <v>41.07</v>
      </c>
      <c r="GK12" s="9" t="n">
        <v>29.14</v>
      </c>
      <c r="GL12" s="9" t="n">
        <v>3.6</v>
      </c>
      <c r="GM12" s="9" t="n">
        <v>12.35</v>
      </c>
      <c r="GN12" s="9" t="n">
        <v>4.26</v>
      </c>
      <c r="GO12" s="9" t="n">
        <v>1.29</v>
      </c>
      <c r="GP12" s="9" t="n">
        <v>30.2</v>
      </c>
      <c r="GQ12" s="9" t="n">
        <v>2.71</v>
      </c>
      <c r="GR12" s="9" t="n">
        <v>0.46</v>
      </c>
      <c r="GS12" s="9" t="n">
        <v>16.84</v>
      </c>
      <c r="GT12" s="9" t="n">
        <v>0.09</v>
      </c>
      <c r="GU12" s="9" t="n">
        <v>0.09</v>
      </c>
      <c r="GV12" s="9" t="n">
        <v>100</v>
      </c>
      <c r="GW12" s="9" t="n">
        <v>12.26</v>
      </c>
      <c r="GX12" s="9" t="n">
        <v>4.09</v>
      </c>
      <c r="GY12" s="9" t="n">
        <v>33.33</v>
      </c>
      <c r="GZ12" s="9" t="n">
        <v>4.03</v>
      </c>
      <c r="HA12" s="9" t="n">
        <v>7.63</v>
      </c>
      <c r="HB12" s="9" t="n">
        <v>21.06</v>
      </c>
      <c r="HC12" s="9" t="n">
        <v>3.57</v>
      </c>
      <c r="HD12" s="9" t="n">
        <v>6.91</v>
      </c>
      <c r="HE12" s="9" t="n">
        <v>16.29</v>
      </c>
      <c r="HF12" s="9" t="n">
        <v>67.2</v>
      </c>
      <c r="HG12" s="9" t="n">
        <v>27.46</v>
      </c>
      <c r="HH12" s="9" t="n">
        <v>40.86</v>
      </c>
      <c r="HI12" s="9" t="n">
        <v>1.63</v>
      </c>
      <c r="HJ12" s="9" t="n">
        <v>1.66</v>
      </c>
      <c r="HK12" s="9" t="n">
        <v>14.46</v>
      </c>
      <c r="HL12" s="9" t="n">
        <v>5.63</v>
      </c>
      <c r="HM12" s="9" t="n">
        <v>38.93</v>
      </c>
      <c r="HN12" s="9" t="n">
        <v>71.51000000000001</v>
      </c>
      <c r="HO12" s="9" t="n">
        <v>44.94</v>
      </c>
      <c r="HP12" s="9" t="n">
        <v>62.84</v>
      </c>
      <c r="HQ12" s="9" t="n">
        <v>38.34</v>
      </c>
      <c r="HR12" s="9" t="n">
        <v>17.49</v>
      </c>
      <c r="HS12" s="9" t="n">
        <v>45.6</v>
      </c>
      <c r="HT12" s="9" t="n">
        <v>4.57</v>
      </c>
      <c r="HU12" s="9" t="n">
        <v>1.86</v>
      </c>
      <c r="HV12" s="9" t="n">
        <v>40.63</v>
      </c>
      <c r="HW12" s="9" t="n">
        <v>41.34</v>
      </c>
      <c r="HX12" s="9" t="n">
        <v>17.06</v>
      </c>
      <c r="HY12" s="9" t="n">
        <v>12.09</v>
      </c>
      <c r="HZ12" s="9" t="n">
        <v>2.6</v>
      </c>
      <c r="IA12" s="9" t="n">
        <v>0.14</v>
      </c>
      <c r="IB12" s="9" t="n">
        <v>144.69</v>
      </c>
      <c r="IC12" s="9" t="n">
        <v>104.23</v>
      </c>
      <c r="ID12" s="9" t="n">
        <v>72.04000000000001</v>
      </c>
      <c r="IE12" s="9" t="n">
        <v>62.74</v>
      </c>
      <c r="IF12" s="9" t="n">
        <v>58.2</v>
      </c>
      <c r="IG12" s="9" t="n">
        <v>92.76000000000001</v>
      </c>
      <c r="IH12" s="9" t="n">
        <v>147.63</v>
      </c>
      <c r="II12" s="9" t="n">
        <v>130.91</v>
      </c>
      <c r="IJ12" s="9" t="n">
        <v>88.68000000000001</v>
      </c>
      <c r="IK12" s="9" t="n">
        <v>49.91</v>
      </c>
      <c r="IL12" s="9" t="n">
        <v>27</v>
      </c>
      <c r="IM12" s="9" t="n">
        <v>54.09</v>
      </c>
      <c r="IN12" s="9" t="n">
        <v>52.94</v>
      </c>
      <c r="IO12" s="9" t="n">
        <v>34.29</v>
      </c>
      <c r="IP12" s="9" t="n">
        <v>64.76000000000001</v>
      </c>
      <c r="IQ12" s="9" t="n">
        <v>72.94</v>
      </c>
      <c r="IR12" s="9" t="n">
        <v>51.71</v>
      </c>
      <c r="IS12" s="9" t="n">
        <v>70.90000000000001</v>
      </c>
      <c r="IT12" s="33">
        <f>PERCENTRANK(IS$2:INDEX($IS:$IS,LOOKUP(2,1/(ISNUMBER($A$2:$A$1048576)),ROW($A$2:$A$1048576))),IS12)</f>
        <v/>
      </c>
      <c r="IU12" s="39">
        <f>1-(IS12-IS$106)/IS$107</f>
        <v/>
      </c>
      <c r="IV12" s="9" t="n">
        <v>3.89</v>
      </c>
      <c r="IW12" s="9" t="n">
        <v>1.51</v>
      </c>
      <c r="IX12" s="9" t="n">
        <v>38.97</v>
      </c>
      <c r="IY12" s="9" t="n">
        <v>20.94</v>
      </c>
      <c r="IZ12" s="9" t="n">
        <v>18.51</v>
      </c>
      <c r="JA12" s="9" t="n">
        <v>88.40000000000001</v>
      </c>
      <c r="JB12" s="9" t="n">
        <v>10.54</v>
      </c>
      <c r="JC12" s="9" t="n">
        <v>16.03</v>
      </c>
      <c r="JD12" s="9" t="n">
        <v>3.72</v>
      </c>
      <c r="JE12" s="9" t="n">
        <v>12.33</v>
      </c>
      <c r="JF12" s="9" t="n">
        <v>18.7</v>
      </c>
      <c r="JG12" s="9" t="n">
        <v>20.19</v>
      </c>
      <c r="JH12" s="9" t="n">
        <v>10.56</v>
      </c>
    </row>
    <row r="13">
      <c r="A13" s="12" t="n">
        <v>2024</v>
      </c>
      <c r="B13" s="31" t="inlineStr">
        <is>
          <t>Tampa Bay Rowdies</t>
        </is>
      </c>
      <c r="C13" s="12" t="n">
        <v>50</v>
      </c>
      <c r="D13" s="5">
        <f>(C13-AVERAGE($C$2:INDEX($C:$C,LOOKUP(2,1/(ISNUMBER($A$2:$A$1048576)),ROW($A$2:$A$1048576)))))/_xlfn.STDEV.P($C$2:INDEX($C:$C,LOOKUP(2,1/(ISNUMBER($A$2:$A$1048576)),ROW($A$2:$A$1048576))))</f>
        <v/>
      </c>
      <c r="E13" s="12" t="n">
        <v>6</v>
      </c>
      <c r="F13" s="6">
        <f>-E13</f>
        <v/>
      </c>
      <c r="G13" s="7">
        <f>(F13-AVERAGE($F$2:INDEX($F:$F,LOOKUP(2,1/(ISNUMBER($A$2:$A$1048576)),ROW($A$2:$A$1048576)))))/_xlfn.STDEV.P($F$2:INDEX($F:$F,LOOKUP(2,1/(ISNUMBER($A$2:$A$1048576)),ROW($A$2:$A$1048576))))</f>
        <v/>
      </c>
      <c r="H13" s="32">
        <f>sum(0.5*D13)+(0.5*G13)</f>
        <v/>
      </c>
      <c r="I13" s="12" t="inlineStr">
        <is>
          <t>East</t>
        </is>
      </c>
      <c r="J13" s="10">
        <f>sum(L13*L$105)+(N13*N$105)+(P13*P$105)+(T13*R$105)</f>
        <v/>
      </c>
      <c r="K13" s="33">
        <f>PERCENTRANK(J$2:INDEX($J:$J,LOOKUP(2,1/(ISNUMBER($A$2:$A$1048576)),ROW($A$2:$A$1048576))),J13)</f>
        <v/>
      </c>
      <c r="L13" s="10">
        <f>sum(AA13*0.66)+(AD13*0.55)+(AG13*0.59)+(CG13*0.51)+(CL13*0.6)+(EY13*0.31)</f>
        <v/>
      </c>
      <c r="M13" s="33">
        <f>PERCENTRANK(L$2:INDEX($L:$L,LOOKUP(2,1/(ISNUMBER($A$2:$A$1048576)),ROW($A$2:$A$1048576))),L13)</f>
        <v/>
      </c>
      <c r="N13" s="10">
        <f>sum(CT13*0.57)+(CW13*0.71)+(DJ13*0.08)+(FC13*0.33)+(FG13*0.69)+(FM13*0.26)+(IU13*0.54)+(AU13*0.4)</f>
        <v/>
      </c>
      <c r="O13" s="33">
        <f>PERCENTRANK(N$2:INDEX($N:$N,LOOKUP(2,1/(ISNUMBER($A$2:$A$1048576)),ROW($A$2:$A$1048576))),N13)</f>
        <v/>
      </c>
      <c r="P13" s="10">
        <f>sum(BG13*0.51)+(CD13*0.51)+(DR13*0.11)+(EF13*0.42)+(EK13*0.44)+(W13*0.6)</f>
        <v/>
      </c>
      <c r="Q13" s="33">
        <f>PERCENTRANK(P$2:INDEX($P:$P,LOOKUP(2,1/(ISNUMBER($A$2:$A$1048576)),ROW($A$2:$A$1048576))),P13)</f>
        <v/>
      </c>
      <c r="R13" s="10">
        <f>sum(Y13-FE13)</f>
        <v/>
      </c>
      <c r="S13" s="33">
        <f>PERCENTRANK(R$2:INDEX($R:$R,LOOKUP(2,1/(ISNUMBER($A$2:$A$1048576)),ROW($A$2:$A$1048576))),R13)</f>
        <v/>
      </c>
      <c r="T13" s="34">
        <f>sum(R13-R$106)/R$107</f>
        <v/>
      </c>
      <c r="U13" s="35">
        <f>sum(Y13/AI13)*100</f>
        <v/>
      </c>
      <c r="V13" s="33">
        <f>PERCENTRANK(U$2:INDEX($U:$U,LOOKUP(2,1/(ISNUMBER($A$2:$A$1048576)),ROW($A$2:$A$1048576))),U13)</f>
        <v/>
      </c>
      <c r="W13" s="36">
        <f>sum(U13-U$106)/U$107</f>
        <v/>
      </c>
      <c r="X13" s="9" t="n">
        <v>1.58</v>
      </c>
      <c r="Y13" s="9" t="n">
        <v>1.82</v>
      </c>
      <c r="Z13" s="33">
        <f>PERCENTRANK(Y$2:INDEX($Y:$Y,LOOKUP(2,1/(ISNUMBER($A$2:$A$1048576)),ROW($A$2:$A$1048576))),Y13)</f>
        <v/>
      </c>
      <c r="AA13" s="37">
        <f>sum(Y13-Y$106)/Y$107</f>
        <v/>
      </c>
      <c r="AB13" s="9" t="n">
        <v>14.42</v>
      </c>
      <c r="AC13" s="33">
        <f>PERCENTRANK(AB$2:INDEX($AB:$AB,LOOKUP(2,1/(ISNUMBER($A$2:$A$1048576)),ROW($A$2:$A$1048576))),AB13)</f>
        <v/>
      </c>
      <c r="AD13" s="38">
        <f>sum(AB13-AB$106)/AB$107</f>
        <v/>
      </c>
      <c r="AE13" s="9" t="n">
        <v>5.08</v>
      </c>
      <c r="AF13" s="33">
        <f>PERCENTRANK(AE$2:INDEX($AE:$AE,LOOKUP(2,1/(ISNUMBER($A$2:$A$1048576)),ROW($A$2:$A$1048576))),AE13)</f>
        <v/>
      </c>
      <c r="AG13" s="38">
        <f>sum(AE13-AE$106)/AE$107</f>
        <v/>
      </c>
      <c r="AH13" s="9" t="n">
        <v>35.26</v>
      </c>
      <c r="AI13" s="9" t="n">
        <v>388.53</v>
      </c>
      <c r="AJ13" s="9" t="n">
        <v>318.67</v>
      </c>
      <c r="AK13" s="9" t="n">
        <v>82.02</v>
      </c>
      <c r="AL13" s="9" t="n">
        <v>50.91</v>
      </c>
      <c r="AM13" s="9" t="n">
        <v>98.61</v>
      </c>
      <c r="AN13" s="9" t="n">
        <v>15.11</v>
      </c>
      <c r="AO13" s="9" t="n">
        <v>32</v>
      </c>
      <c r="AP13" s="9" t="n">
        <v>51.5</v>
      </c>
      <c r="AQ13" s="9" t="n">
        <v>78.17</v>
      </c>
      <c r="AR13" s="9" t="n">
        <v>33.44</v>
      </c>
      <c r="AS13" s="9" t="n">
        <v>31.31</v>
      </c>
      <c r="AT13" s="33">
        <f>PERCENTRANK(AS$2:INDEX($AS:$AS,LOOKUP(2,1/(ISNUMBER($A$2:$A$1048576)),ROW($A$2:$A$1048576))),AS13)</f>
        <v/>
      </c>
      <c r="AU13" s="39">
        <f>SUM(AS13-AS$106)/AS$107</f>
        <v/>
      </c>
      <c r="AV13" s="9" t="n">
        <v>13.42</v>
      </c>
      <c r="AW13" s="33">
        <f>PERCENTRANK(AV$2:INDEX($AV:$AV,LOOKUP(2,1/(ISNUMBER($A$2:$A$1048576)),ROW($A$2:$A$1048576))),AV13)</f>
        <v/>
      </c>
      <c r="AX13" s="9" t="n">
        <v>193.06</v>
      </c>
      <c r="AY13" s="9" t="n">
        <v>95.53</v>
      </c>
      <c r="AZ13" s="9" t="n">
        <v>49.48</v>
      </c>
      <c r="BA13" s="9" t="n">
        <v>5.25</v>
      </c>
      <c r="BB13" s="9" t="n">
        <v>1.33</v>
      </c>
      <c r="BC13" s="9" t="n">
        <v>25.4</v>
      </c>
      <c r="BD13" s="9" t="n">
        <v>32.08</v>
      </c>
      <c r="BE13" s="9" t="n">
        <v>8.81</v>
      </c>
      <c r="BF13" s="33">
        <f>PERCENTRANK(BE$2:INDEX($BE:$BE,LOOKUP(2,1/(ISNUMBER($A$2:$A$1048576)),ROW($A$2:$A$1048576))),BE13)</f>
        <v/>
      </c>
      <c r="BG13" s="40">
        <f>sum(BE13-BE$106)/BE$107</f>
        <v/>
      </c>
      <c r="BH13" s="9" t="n">
        <v>27.45</v>
      </c>
      <c r="BI13" s="9" t="n">
        <v>0.97</v>
      </c>
      <c r="BJ13" s="9" t="n">
        <v>0.44</v>
      </c>
      <c r="BK13" s="9" t="n">
        <v>45.71</v>
      </c>
      <c r="BL13" s="9" t="n">
        <v>27.22</v>
      </c>
      <c r="BM13" s="9" t="n">
        <v>4.53</v>
      </c>
      <c r="BN13" s="9" t="n">
        <v>16.63</v>
      </c>
      <c r="BO13" s="9" t="n">
        <v>6.58</v>
      </c>
      <c r="BP13" s="9" t="n">
        <v>1.94</v>
      </c>
      <c r="BQ13" s="9" t="n">
        <v>29.54</v>
      </c>
      <c r="BR13" s="9" t="n">
        <v>2.67</v>
      </c>
      <c r="BS13" s="9" t="n">
        <v>0.83</v>
      </c>
      <c r="BT13" s="9" t="n">
        <v>31.25</v>
      </c>
      <c r="BU13" s="9" t="n">
        <v>0.19</v>
      </c>
      <c r="BV13" s="9" t="n">
        <v>0.19</v>
      </c>
      <c r="BW13" s="9" t="n">
        <v>100</v>
      </c>
      <c r="BX13" s="9" t="n">
        <v>20.36</v>
      </c>
      <c r="BY13" s="9" t="n">
        <v>7.81</v>
      </c>
      <c r="BZ13" s="9" t="n">
        <v>38.34</v>
      </c>
      <c r="CA13" s="9" t="n">
        <v>7.47</v>
      </c>
      <c r="CB13" s="9" t="n">
        <v>8</v>
      </c>
      <c r="CC13" s="33">
        <f>PERCENTRANK(CD$2:INDEX($CD:$CD,LOOKUP(2,1/(ISNUMBER($A$2:$A$1048576)),ROW($A$2:$A$1048576))),CD13)</f>
        <v/>
      </c>
      <c r="CD13" s="40">
        <f>sum(CB13-CB$106)/CB$107</f>
        <v/>
      </c>
      <c r="CE13" s="9" t="n">
        <v>30.11</v>
      </c>
      <c r="CF13" s="33">
        <f>PERCENTRANK(CE$2:INDEX($CE:$CE,LOOKUP(2,1/(ISNUMBER($A$2:$A$1048576)),ROW($A$2:$A$1048576))),CE13)</f>
        <v/>
      </c>
      <c r="CG13" s="38">
        <f>sum(CE13-CE$106)/CE$107</f>
        <v/>
      </c>
      <c r="CH13" s="9" t="n">
        <v>5.31</v>
      </c>
      <c r="CI13" s="9" t="n">
        <v>12.97</v>
      </c>
      <c r="CJ13" s="9" t="n">
        <v>20.47</v>
      </c>
      <c r="CK13" s="33">
        <f>PERCENTRANK(CJ$2:INDEX($CJ:$CJ,LOOKUP(2,1/(ISNUMBER($A$2:$A$1048576)),ROW($A$2:$A$1048576))),CJ13)</f>
        <v/>
      </c>
      <c r="CL13" s="38">
        <f>sum(CJ13-CJ$106)/CJ$107</f>
        <v/>
      </c>
      <c r="CM13" s="9" t="n">
        <v>67.67</v>
      </c>
      <c r="CN13" s="9" t="n">
        <v>28.44</v>
      </c>
      <c r="CO13" s="9" t="n">
        <v>42.04</v>
      </c>
      <c r="CP13" s="9" t="n">
        <v>1.44</v>
      </c>
      <c r="CQ13" s="9" t="n">
        <v>1.36</v>
      </c>
      <c r="CR13" s="9" t="n">
        <v>10.61</v>
      </c>
      <c r="CS13" s="33">
        <f>PERCENTRANK(CR$2:INDEX($CR:$CR,LOOKUP(2,1/(ISNUMBER($A$2:$A$1048576)),ROW($A$2:$A$1048576))),CR13)</f>
        <v/>
      </c>
      <c r="CT13" s="39">
        <f>1-(CR13-CR$106)/CR$107</f>
        <v/>
      </c>
      <c r="CU13" s="9" t="n">
        <v>4.33</v>
      </c>
      <c r="CV13" s="33">
        <f>PERCENTRANK(CU$2:INDEX($CU:$CU,LOOKUP(2,1/(ISNUMBER($A$2:$A$1048576)),ROW($A$2:$A$1048576))),CU13)</f>
        <v/>
      </c>
      <c r="CW13" s="39">
        <f>1-(CU13-CU$106)/CU$107</f>
        <v/>
      </c>
      <c r="CX13" s="9" t="n">
        <v>40.84</v>
      </c>
      <c r="CY13" s="9" t="n">
        <v>63.61</v>
      </c>
      <c r="CZ13" s="9" t="n">
        <v>39.08</v>
      </c>
      <c r="DA13" s="9" t="n">
        <v>61.44</v>
      </c>
      <c r="DB13" s="9" t="n">
        <v>35.28</v>
      </c>
      <c r="DC13" s="9" t="n">
        <v>16.86</v>
      </c>
      <c r="DD13" s="9" t="n">
        <v>47.8</v>
      </c>
      <c r="DE13" s="9" t="n">
        <v>3.31</v>
      </c>
      <c r="DF13" s="9" t="n">
        <v>1.61</v>
      </c>
      <c r="DG13" s="9" t="n">
        <v>48.74</v>
      </c>
      <c r="DH13" s="9" t="n">
        <v>33.22</v>
      </c>
      <c r="DI13" s="33">
        <f>PERCENTRANK(DH$2:INDEX($DH:$DH,LOOKUP(2,1/(ISNUMBER($A$2:$A$1048576)),ROW($A$2:$A$1048576))),DH13)</f>
        <v/>
      </c>
      <c r="DJ13" s="39">
        <f>SUM(DH13-DH$106)/DH$107</f>
        <v/>
      </c>
      <c r="DK13" s="9" t="n">
        <v>11.81</v>
      </c>
      <c r="DL13" s="9" t="n">
        <v>15.25</v>
      </c>
      <c r="DM13" s="9" t="n">
        <v>2.44</v>
      </c>
      <c r="DN13" s="9" t="n">
        <v>0.06</v>
      </c>
      <c r="DO13" s="9" t="n">
        <v>141.25</v>
      </c>
      <c r="DP13" s="9" t="n">
        <v>104.81</v>
      </c>
      <c r="DQ13" s="33">
        <f>PERCENTRANK(DP$2:INDEX($DP:$DP,LOOKUP(2,1/(ISNUMBER($A$2:$A$1048576)),ROW($A$2:$A$1048576))),DP13)</f>
        <v/>
      </c>
      <c r="DR13" s="40">
        <f>sum(DP13-DP$106)/DP$107</f>
        <v/>
      </c>
      <c r="DS13" s="9" t="n">
        <v>74.2</v>
      </c>
      <c r="DT13" s="9" t="n">
        <v>53.25</v>
      </c>
      <c r="DU13" s="9" t="n">
        <v>49.42</v>
      </c>
      <c r="DV13" s="9" t="n">
        <v>92.8</v>
      </c>
      <c r="DW13" s="9" t="n">
        <v>144.78</v>
      </c>
      <c r="DX13" s="9" t="n">
        <v>126.44</v>
      </c>
      <c r="DY13" s="9" t="n">
        <v>87.34</v>
      </c>
      <c r="DZ13" s="9" t="n">
        <v>43.44</v>
      </c>
      <c r="EA13" s="9" t="n">
        <v>23.78</v>
      </c>
      <c r="EB13" s="9" t="n">
        <v>54.73</v>
      </c>
      <c r="EC13" s="9" t="n">
        <v>57.69</v>
      </c>
      <c r="ED13" s="9" t="n">
        <v>40</v>
      </c>
      <c r="EE13" s="33">
        <f>PERCENTRANK(ED$2:INDEX($ED:$ED,LOOKUP(2,1/(ISNUMBER($A$2:$A$1048576)),ROW($A$2:$A$1048576))),ED13)</f>
        <v/>
      </c>
      <c r="EF13" s="40">
        <f>sum(ED13-ED$106)/ED$107</f>
        <v/>
      </c>
      <c r="EG13" s="9" t="n">
        <v>69.33</v>
      </c>
      <c r="EH13" s="9" t="n">
        <v>74.75</v>
      </c>
      <c r="EI13" s="9" t="n">
        <v>58.25</v>
      </c>
      <c r="EJ13" s="33">
        <f>PERCENTRANK(EI$2:INDEX($EI:$EI,LOOKUP(2,1/(ISNUMBER($A$2:$A$1048576)),ROW($A$2:$A$1048576))),EI13)</f>
        <v/>
      </c>
      <c r="EK13" s="40">
        <f>sum(EI13-EI$106)/EI$107</f>
        <v/>
      </c>
      <c r="EL13" s="9" t="n">
        <v>77.93000000000001</v>
      </c>
      <c r="EM13" s="9" t="n">
        <v>1.58</v>
      </c>
      <c r="EN13" s="9" t="n">
        <v>0.58</v>
      </c>
      <c r="EO13" s="9" t="n">
        <v>36.84</v>
      </c>
      <c r="EP13" s="9" t="n">
        <v>21.08</v>
      </c>
      <c r="EQ13" s="9" t="n">
        <v>19.64</v>
      </c>
      <c r="ER13" s="9" t="n">
        <v>93.15000000000001</v>
      </c>
      <c r="ES13" s="9" t="n">
        <v>6.75</v>
      </c>
      <c r="ET13" s="9" t="n">
        <v>15.35</v>
      </c>
      <c r="EU13" s="9" t="n">
        <v>3.72</v>
      </c>
      <c r="EV13" s="9" t="n">
        <v>11.58</v>
      </c>
      <c r="EW13" s="9" t="n">
        <v>17.49</v>
      </c>
      <c r="EX13" s="33">
        <f>PERCENTRANK(EW$2:INDEX($EW:$EW,LOOKUP(2,1/(ISNUMBER($A$2:$A$1048576)),ROW($A$2:$A$1048576))),EW13)</f>
        <v/>
      </c>
      <c r="EY13" s="38">
        <f>1-(EW13-EW$106)/EW$107</f>
        <v/>
      </c>
      <c r="EZ13" s="9" t="n">
        <v>20.75</v>
      </c>
      <c r="FA13" s="9" t="n">
        <v>10.17</v>
      </c>
      <c r="FB13" s="33">
        <f>PERCENTRANK(FA$2:INDEX($FA:$FA,LOOKUP(2,1/(ISNUMBER($A$2:$A$1048576)),ROW($A$2:$A$1048576))),FA13)</f>
        <v/>
      </c>
      <c r="FC13" s="39">
        <f>1-(FA13-FA$106)/FA$107</f>
        <v/>
      </c>
      <c r="FD13" s="9" t="n">
        <v>1.36</v>
      </c>
      <c r="FE13" s="9" t="n">
        <v>1.27</v>
      </c>
      <c r="FF13" s="33">
        <f>PERCENTRANK(FE$2:INDEX($FE:$FE,LOOKUP(2,1/(ISNUMBER($A$2:$A$1048576)),ROW($A$2:$A$1048576))),FE13)</f>
        <v/>
      </c>
      <c r="FG13" s="39">
        <f>1-(FE13-FE$106)/FE$107</f>
        <v/>
      </c>
      <c r="FH13" s="9" t="n">
        <v>10.61</v>
      </c>
      <c r="FI13" s="9" t="n">
        <v>4.08</v>
      </c>
      <c r="FJ13" s="9" t="n">
        <v>38.48</v>
      </c>
      <c r="FK13" s="9" t="n">
        <v>384.36</v>
      </c>
      <c r="FL13" s="33">
        <f>PERCENTRANK(FK$2:INDEX($FK:$FK,LOOKUP(2,1/(ISNUMBER($A$2:$A$1048576)),ROW($A$2:$A$1048576))),FK13)</f>
        <v/>
      </c>
      <c r="FM13" s="39">
        <f>SWA12-(FK13-FK$106)/FK$107</f>
        <v/>
      </c>
      <c r="FN13" s="9" t="n">
        <v>316.19</v>
      </c>
      <c r="FO13" s="9" t="n">
        <v>82.26000000000001</v>
      </c>
      <c r="FP13" s="9" t="n">
        <v>49.09</v>
      </c>
      <c r="FQ13" s="9" t="n">
        <v>102.44</v>
      </c>
      <c r="FR13" s="9" t="n">
        <v>22.42</v>
      </c>
      <c r="FS13" s="9" t="n">
        <v>37.75</v>
      </c>
      <c r="FT13" s="9" t="n">
        <v>42.28</v>
      </c>
      <c r="FU13" s="9" t="n">
        <v>74.22</v>
      </c>
      <c r="FV13" s="9" t="n">
        <v>38.72</v>
      </c>
      <c r="FW13" s="9" t="n">
        <v>26.06</v>
      </c>
      <c r="FX13" s="9" t="n">
        <v>9.44</v>
      </c>
      <c r="FY13" s="9" t="n">
        <v>193.06</v>
      </c>
      <c r="FZ13" s="9" t="n">
        <v>90.61</v>
      </c>
      <c r="GA13" s="9" t="n">
        <v>46.94</v>
      </c>
      <c r="GB13" s="9" t="n">
        <v>4.31</v>
      </c>
      <c r="GC13" s="9" t="n">
        <v>1.44</v>
      </c>
      <c r="GD13" s="9" t="n">
        <v>33.55</v>
      </c>
      <c r="GE13" s="9" t="n">
        <v>23.44</v>
      </c>
      <c r="GF13" s="9" t="n">
        <v>6.72</v>
      </c>
      <c r="GG13" s="9" t="n">
        <v>28.67</v>
      </c>
      <c r="GH13" s="9" t="n">
        <v>0.72</v>
      </c>
      <c r="GI13" s="9" t="n">
        <v>0.33</v>
      </c>
      <c r="GJ13" s="9" t="n">
        <v>46.15</v>
      </c>
      <c r="GK13" s="9" t="n">
        <v>27.89</v>
      </c>
      <c r="GL13" s="9" t="n">
        <v>2.94</v>
      </c>
      <c r="GM13" s="9" t="n">
        <v>10.56</v>
      </c>
      <c r="GN13" s="9" t="n">
        <v>3.69</v>
      </c>
      <c r="GO13" s="9" t="n">
        <v>0.86</v>
      </c>
      <c r="GP13" s="9" t="n">
        <v>23.31</v>
      </c>
      <c r="GQ13" s="9" t="n">
        <v>2.39</v>
      </c>
      <c r="GR13" s="9" t="n">
        <v>0.47</v>
      </c>
      <c r="GS13" s="9" t="n">
        <v>19.77</v>
      </c>
      <c r="GT13" s="9" t="n">
        <v>0.06</v>
      </c>
      <c r="GU13" s="9" t="n">
        <v>0.03</v>
      </c>
      <c r="GV13" s="9" t="n">
        <v>50</v>
      </c>
      <c r="GW13" s="9" t="n">
        <v>11.08</v>
      </c>
      <c r="GX13" s="9" t="n">
        <v>3.92</v>
      </c>
      <c r="GY13" s="9" t="n">
        <v>35.34</v>
      </c>
      <c r="GZ13" s="9" t="n">
        <v>3.78</v>
      </c>
      <c r="HA13" s="9" t="n">
        <v>5.92</v>
      </c>
      <c r="HB13" s="9" t="n">
        <v>19.97</v>
      </c>
      <c r="HC13" s="9" t="n">
        <v>3.44</v>
      </c>
      <c r="HD13" s="9" t="n">
        <v>7.03</v>
      </c>
      <c r="HE13" s="9" t="n">
        <v>14.06</v>
      </c>
      <c r="HF13" s="9" t="n">
        <v>63.61</v>
      </c>
      <c r="HG13" s="9" t="n">
        <v>24.53</v>
      </c>
      <c r="HH13" s="9" t="n">
        <v>38.56</v>
      </c>
      <c r="HI13" s="9" t="n">
        <v>1.67</v>
      </c>
      <c r="HJ13" s="9" t="n">
        <v>1.58</v>
      </c>
      <c r="HK13" s="9" t="n">
        <v>14.42</v>
      </c>
      <c r="HL13" s="9" t="n">
        <v>5.28</v>
      </c>
      <c r="HM13" s="9" t="n">
        <v>36.61</v>
      </c>
      <c r="HN13" s="9" t="n">
        <v>67.67</v>
      </c>
      <c r="HO13" s="9" t="n">
        <v>39.22</v>
      </c>
      <c r="HP13" s="9" t="n">
        <v>57.96</v>
      </c>
      <c r="HQ13" s="9" t="n">
        <v>35.28</v>
      </c>
      <c r="HR13" s="9" t="n">
        <v>16.11</v>
      </c>
      <c r="HS13" s="9" t="n">
        <v>45.67</v>
      </c>
      <c r="HT13" s="9" t="n">
        <v>4.47</v>
      </c>
      <c r="HU13" s="9" t="n">
        <v>2.22</v>
      </c>
      <c r="HV13" s="9" t="n">
        <v>49.69</v>
      </c>
      <c r="HW13" s="9" t="n">
        <v>39.61</v>
      </c>
      <c r="HX13" s="9" t="n">
        <v>16.03</v>
      </c>
      <c r="HY13" s="9" t="n">
        <v>12.69</v>
      </c>
      <c r="HZ13" s="9" t="n">
        <v>2.53</v>
      </c>
      <c r="IA13" s="9" t="n">
        <v>0.14</v>
      </c>
      <c r="IB13" s="9" t="n">
        <v>138.64</v>
      </c>
      <c r="IC13" s="9" t="n">
        <v>98.22</v>
      </c>
      <c r="ID13" s="9" t="n">
        <v>70.84999999999999</v>
      </c>
      <c r="IE13" s="9" t="n">
        <v>61.14</v>
      </c>
      <c r="IF13" s="9" t="n">
        <v>57.94</v>
      </c>
      <c r="IG13" s="9" t="n">
        <v>94.78</v>
      </c>
      <c r="IH13" s="9" t="n">
        <v>132.86</v>
      </c>
      <c r="II13" s="9" t="n">
        <v>117.81</v>
      </c>
      <c r="IJ13" s="9" t="n">
        <v>88.67</v>
      </c>
      <c r="IK13" s="9" t="n">
        <v>48.94</v>
      </c>
      <c r="IL13" s="9" t="n">
        <v>25.11</v>
      </c>
      <c r="IM13" s="9" t="n">
        <v>51.31</v>
      </c>
      <c r="IN13" s="9" t="n">
        <v>48.31</v>
      </c>
      <c r="IO13" s="9" t="n">
        <v>29.72</v>
      </c>
      <c r="IP13" s="9" t="n">
        <v>61.53</v>
      </c>
      <c r="IQ13" s="9" t="n">
        <v>66.75</v>
      </c>
      <c r="IR13" s="9" t="n">
        <v>45.53</v>
      </c>
      <c r="IS13" s="9" t="n">
        <v>68.20999999999999</v>
      </c>
      <c r="IT13" s="33">
        <f>PERCENTRANK(IS$2:INDEX($IS:$IS,LOOKUP(2,1/(ISNUMBER($A$2:$A$1048576)),ROW($A$2:$A$1048576))),IS13)</f>
        <v/>
      </c>
      <c r="IU13" s="39">
        <f>1-(IS13-IS$106)/IS$107</f>
        <v/>
      </c>
      <c r="IV13" s="9" t="n">
        <v>0.97</v>
      </c>
      <c r="IW13" s="9" t="n">
        <v>0.36</v>
      </c>
      <c r="IX13" s="9" t="n">
        <v>37.14</v>
      </c>
      <c r="IY13" s="9" t="n">
        <v>20.17</v>
      </c>
      <c r="IZ13" s="9" t="n">
        <v>17.94</v>
      </c>
      <c r="JA13" s="9" t="n">
        <v>88.98</v>
      </c>
      <c r="JB13" s="9" t="n">
        <v>9.279999999999999</v>
      </c>
      <c r="JC13" s="9" t="n">
        <v>15.71</v>
      </c>
      <c r="JD13" s="9" t="n">
        <v>3.75</v>
      </c>
      <c r="JE13" s="9" t="n">
        <v>13.2</v>
      </c>
      <c r="JF13" s="9" t="n">
        <v>18.23</v>
      </c>
      <c r="JG13" s="9" t="n">
        <v>20.48</v>
      </c>
      <c r="JH13" s="9" t="n">
        <v>11.44</v>
      </c>
    </row>
    <row r="14">
      <c r="A14" s="10" t="n">
        <v>2024</v>
      </c>
      <c r="B14" s="31" t="inlineStr">
        <is>
          <t>Rhode Island</t>
        </is>
      </c>
      <c r="C14" s="12" t="n">
        <v>51</v>
      </c>
      <c r="D14" s="5">
        <f>(C14-AVERAGE($C$2:INDEX($C:$C,LOOKUP(2,1/(ISNUMBER($A$2:$A$1048576)),ROW($A$2:$A$1048576)))))/_xlfn.STDEV.P($C$2:INDEX($C:$C,LOOKUP(2,1/(ISNUMBER($A$2:$A$1048576)),ROW($A$2:$A$1048576))))</f>
        <v/>
      </c>
      <c r="E14" s="12" t="n">
        <v>5</v>
      </c>
      <c r="F14" s="6">
        <f>-E14</f>
        <v/>
      </c>
      <c r="G14" s="7">
        <f>(F14-AVERAGE($F$2:INDEX($F:$F,LOOKUP(2,1/(ISNUMBER($A$2:$A$1048576)),ROW($A$2:$A$1048576)))))/_xlfn.STDEV.P($F$2:INDEX($F:$F,LOOKUP(2,1/(ISNUMBER($A$2:$A$1048576)),ROW($A$2:$A$1048576))))</f>
        <v/>
      </c>
      <c r="H14" s="32">
        <f>sum(0.5*D14)+(0.5*G14)</f>
        <v/>
      </c>
      <c r="I14" s="12" t="inlineStr">
        <is>
          <t>East</t>
        </is>
      </c>
      <c r="J14" s="10">
        <f>sum(L14*L$105)+(N14*N$105)+(P14*P$105)+(T14*R$105)</f>
        <v/>
      </c>
      <c r="K14" s="33">
        <f>PERCENTRANK(J$2:INDEX($J:$J,LOOKUP(2,1/(ISNUMBER($A$2:$A$1048576)),ROW($A$2:$A$1048576))),J14)</f>
        <v/>
      </c>
      <c r="L14" s="10">
        <f>sum(AA14*0.66)+(AD14*0.55)+(AG14*0.59)+(CG14*0.51)+(CL14*0.6)+(EY14*0.31)</f>
        <v/>
      </c>
      <c r="M14" s="33">
        <f>PERCENTRANK(L$2:INDEX($L:$L,LOOKUP(2,1/(ISNUMBER($A$2:$A$1048576)),ROW($A$2:$A$1048576))),L14)</f>
        <v/>
      </c>
      <c r="N14" s="10">
        <f>sum(CT14*0.57)+(CW14*0.71)+(DJ14*0.08)+(FC14*0.33)+(FG14*0.69)+(FM14*0.26)+(IU14*0.54)+(AU14*0.4)</f>
        <v/>
      </c>
      <c r="O14" s="33">
        <f>PERCENTRANK(N$2:INDEX($N:$N,LOOKUP(2,1/(ISNUMBER($A$2:$A$1048576)),ROW($A$2:$A$1048576))),N14)</f>
        <v/>
      </c>
      <c r="P14" s="10">
        <f>sum(BG14*0.51)+(CD14*0.51)+(DR14*0.11)+(EF14*0.42)+(EK14*0.44)+(W14*0.6)</f>
        <v/>
      </c>
      <c r="Q14" s="33">
        <f>PERCENTRANK(P$2:INDEX($P:$P,LOOKUP(2,1/(ISNUMBER($A$2:$A$1048576)),ROW($A$2:$A$1048576))),P14)</f>
        <v/>
      </c>
      <c r="R14" s="10">
        <f>sum(Y14-FE14)</f>
        <v/>
      </c>
      <c r="S14" s="33">
        <f>PERCENTRANK(R$2:INDEX($R:$R,LOOKUP(2,1/(ISNUMBER($A$2:$A$1048576)),ROW($A$2:$A$1048576))),R14)</f>
        <v/>
      </c>
      <c r="T14" s="34">
        <f>sum(R14-R$106)/R$107</f>
        <v/>
      </c>
      <c r="U14" s="35">
        <f>sum(Y14/AI14)*100</f>
        <v/>
      </c>
      <c r="V14" s="33">
        <f>PERCENTRANK(U$2:INDEX($U:$U,LOOKUP(2,1/(ISNUMBER($A$2:$A$1048576)),ROW($A$2:$A$1048576))),U14)</f>
        <v/>
      </c>
      <c r="W14" s="36">
        <f>sum(U14-U$106)/U$107</f>
        <v/>
      </c>
      <c r="X14" s="9" t="n">
        <v>1.74</v>
      </c>
      <c r="Y14" s="9" t="n">
        <v>1.58</v>
      </c>
      <c r="Z14" s="33">
        <f>PERCENTRANK(Y$2:INDEX($Y:$Y,LOOKUP(2,1/(ISNUMBER($A$2:$A$1048576)),ROW($A$2:$A$1048576))),Y14)</f>
        <v/>
      </c>
      <c r="AA14" s="37">
        <f>sum(Y14-Y$106)/Y$107</f>
        <v/>
      </c>
      <c r="AB14" s="9" t="n">
        <v>12.05</v>
      </c>
      <c r="AC14" s="33">
        <f>PERCENTRANK(AB$2:INDEX($AB:$AB,LOOKUP(2,1/(ISNUMBER($A$2:$A$1048576)),ROW($A$2:$A$1048576))),AB14)</f>
        <v/>
      </c>
      <c r="AD14" s="38">
        <f>sum(AB14-AB$106)/AB$107</f>
        <v/>
      </c>
      <c r="AE14" s="9" t="n">
        <v>4.59</v>
      </c>
      <c r="AF14" s="33">
        <f>PERCENTRANK(AE$2:INDEX($AE:$AE,LOOKUP(2,1/(ISNUMBER($A$2:$A$1048576)),ROW($A$2:$A$1048576))),AE14)</f>
        <v/>
      </c>
      <c r="AG14" s="38">
        <f>sum(AE14-AE$106)/AE$107</f>
        <v/>
      </c>
      <c r="AH14" s="9" t="n">
        <v>38.09</v>
      </c>
      <c r="AI14" s="9" t="n">
        <v>385.67</v>
      </c>
      <c r="AJ14" s="9" t="n">
        <v>312.87</v>
      </c>
      <c r="AK14" s="9" t="n">
        <v>81.12</v>
      </c>
      <c r="AL14" s="9" t="n">
        <v>50.57</v>
      </c>
      <c r="AM14" s="9" t="n">
        <v>109.31</v>
      </c>
      <c r="AN14" s="9" t="n">
        <v>19.33</v>
      </c>
      <c r="AO14" s="9" t="n">
        <v>37.44</v>
      </c>
      <c r="AP14" s="9" t="n">
        <v>52.54</v>
      </c>
      <c r="AQ14" s="9" t="n">
        <v>83.09999999999999</v>
      </c>
      <c r="AR14" s="9" t="n">
        <v>36.23</v>
      </c>
      <c r="AS14" s="9" t="n">
        <v>33.46</v>
      </c>
      <c r="AT14" s="33">
        <f>PERCENTRANK(AS$2:INDEX($AS:$AS,LOOKUP(2,1/(ISNUMBER($A$2:$A$1048576)),ROW($A$2:$A$1048576))),AS14)</f>
        <v/>
      </c>
      <c r="AU14" s="39">
        <f>SUM(AS14-AS$106)/AS$107</f>
        <v/>
      </c>
      <c r="AV14" s="9" t="n">
        <v>13.41</v>
      </c>
      <c r="AW14" s="33">
        <f>PERCENTRANK(AV$2:INDEX($AV:$AV,LOOKUP(2,1/(ISNUMBER($A$2:$A$1048576)),ROW($A$2:$A$1048576))),AV14)</f>
        <v/>
      </c>
      <c r="AX14" s="9" t="n">
        <v>202</v>
      </c>
      <c r="AY14" s="9" t="n">
        <v>99.54000000000001</v>
      </c>
      <c r="AZ14" s="9" t="n">
        <v>49.28</v>
      </c>
      <c r="BA14" s="9" t="n">
        <v>4.51</v>
      </c>
      <c r="BB14" s="9" t="n">
        <v>1.05</v>
      </c>
      <c r="BC14" s="9" t="n">
        <v>23.3</v>
      </c>
      <c r="BD14" s="9" t="n">
        <v>30.74</v>
      </c>
      <c r="BE14" s="9" t="n">
        <v>7.67</v>
      </c>
      <c r="BF14" s="33">
        <f>PERCENTRANK(BE$2:INDEX($BE:$BE,LOOKUP(2,1/(ISNUMBER($A$2:$A$1048576)),ROW($A$2:$A$1048576))),BE14)</f>
        <v/>
      </c>
      <c r="BG14" s="40">
        <f>sum(BE14-BE$106)/BE$107</f>
        <v/>
      </c>
      <c r="BH14" s="9" t="n">
        <v>24.94</v>
      </c>
      <c r="BI14" s="9" t="n">
        <v>0.54</v>
      </c>
      <c r="BJ14" s="9" t="n">
        <v>0.31</v>
      </c>
      <c r="BK14" s="9" t="n">
        <v>57.14</v>
      </c>
      <c r="BL14" s="9" t="n">
        <v>26.56</v>
      </c>
      <c r="BM14" s="9" t="n">
        <v>3.69</v>
      </c>
      <c r="BN14" s="9" t="n">
        <v>13.9</v>
      </c>
      <c r="BO14" s="9" t="n">
        <v>5.05</v>
      </c>
      <c r="BP14" s="9" t="n">
        <v>1.56</v>
      </c>
      <c r="BQ14" s="9" t="n">
        <v>30.96</v>
      </c>
      <c r="BR14" s="9" t="n">
        <v>3</v>
      </c>
      <c r="BS14" s="9" t="n">
        <v>0.82</v>
      </c>
      <c r="BT14" s="9" t="n">
        <v>27.35</v>
      </c>
      <c r="BU14" s="9" t="n">
        <v>0.13</v>
      </c>
      <c r="BV14" s="9" t="n">
        <v>0.05</v>
      </c>
      <c r="BW14" s="9" t="n">
        <v>40</v>
      </c>
      <c r="BX14" s="9" t="n">
        <v>15.72</v>
      </c>
      <c r="BY14" s="9" t="n">
        <v>5.51</v>
      </c>
      <c r="BZ14" s="9" t="n">
        <v>35.07</v>
      </c>
      <c r="CA14" s="9" t="n">
        <v>5.54</v>
      </c>
      <c r="CB14" s="9" t="n">
        <v>7.13</v>
      </c>
      <c r="CC14" s="33">
        <f>PERCENTRANK(CD$2:INDEX($CD:$CD,LOOKUP(2,1/(ISNUMBER($A$2:$A$1048576)),ROW($A$2:$A$1048576))),CD14)</f>
        <v/>
      </c>
      <c r="CD14" s="40">
        <f>sum(CB14-CB$106)/CB$107</f>
        <v/>
      </c>
      <c r="CE14" s="9" t="n">
        <v>23.87</v>
      </c>
      <c r="CF14" s="33">
        <f>PERCENTRANK(CE$2:INDEX($CE:$CE,LOOKUP(2,1/(ISNUMBER($A$2:$A$1048576)),ROW($A$2:$A$1048576))),CE14)</f>
        <v/>
      </c>
      <c r="CG14" s="38">
        <f>sum(CE14-CE$106)/CE$107</f>
        <v/>
      </c>
      <c r="CH14" s="9" t="n">
        <v>4.69</v>
      </c>
      <c r="CI14" s="9" t="n">
        <v>9.359999999999999</v>
      </c>
      <c r="CJ14" s="9" t="n">
        <v>18.74</v>
      </c>
      <c r="CK14" s="33">
        <f>PERCENTRANK(CJ$2:INDEX($CJ:$CJ,LOOKUP(2,1/(ISNUMBER($A$2:$A$1048576)),ROW($A$2:$A$1048576))),CJ14)</f>
        <v/>
      </c>
      <c r="CL14" s="38">
        <f>sum(CJ14-CJ$106)/CJ$107</f>
        <v/>
      </c>
      <c r="CM14" s="9" t="n">
        <v>63.97</v>
      </c>
      <c r="CN14" s="9" t="n">
        <v>24.95</v>
      </c>
      <c r="CO14" s="9" t="n">
        <v>39</v>
      </c>
      <c r="CP14" s="9" t="n">
        <v>1.74</v>
      </c>
      <c r="CQ14" s="9" t="n">
        <v>1.31</v>
      </c>
      <c r="CR14" s="9" t="n">
        <v>10.05</v>
      </c>
      <c r="CS14" s="33">
        <f>PERCENTRANK(CR$2:INDEX($CR:$CR,LOOKUP(2,1/(ISNUMBER($A$2:$A$1048576)),ROW($A$2:$A$1048576))),CR14)</f>
        <v/>
      </c>
      <c r="CT14" s="39">
        <f>1-(CR14-CR$106)/CR$107</f>
        <v/>
      </c>
      <c r="CU14" s="9" t="n">
        <v>3.85</v>
      </c>
      <c r="CV14" s="33">
        <f>PERCENTRANK(CU$2:INDEX($CU:$CU,LOOKUP(2,1/(ISNUMBER($A$2:$A$1048576)),ROW($A$2:$A$1048576))),CU14)</f>
        <v/>
      </c>
      <c r="CW14" s="39">
        <f>1-(CU14-CU$106)/CU$107</f>
        <v/>
      </c>
      <c r="CX14" s="9" t="n">
        <v>38.27</v>
      </c>
      <c r="CY14" s="9" t="n">
        <v>68.81999999999999</v>
      </c>
      <c r="CZ14" s="9" t="n">
        <v>42.1</v>
      </c>
      <c r="DA14" s="9" t="n">
        <v>61.18</v>
      </c>
      <c r="DB14" s="9" t="n">
        <v>40.23</v>
      </c>
      <c r="DC14" s="9" t="n">
        <v>20</v>
      </c>
      <c r="DD14" s="9" t="n">
        <v>49.71</v>
      </c>
      <c r="DE14" s="9" t="n">
        <v>2.23</v>
      </c>
      <c r="DF14" s="9" t="n">
        <v>1.21</v>
      </c>
      <c r="DG14" s="9" t="n">
        <v>54.02</v>
      </c>
      <c r="DH14" s="9" t="n">
        <v>39.1</v>
      </c>
      <c r="DI14" s="33">
        <f>PERCENTRANK(DH$2:INDEX($DH:$DH,LOOKUP(2,1/(ISNUMBER($A$2:$A$1048576)),ROW($A$2:$A$1048576))),DH14)</f>
        <v/>
      </c>
      <c r="DJ14" s="39">
        <f>SUM(DH14-DH$106)/DH$107</f>
        <v/>
      </c>
      <c r="DK14" s="9" t="n">
        <v>15.13</v>
      </c>
      <c r="DL14" s="9" t="n">
        <v>15.03</v>
      </c>
      <c r="DM14" s="9" t="n">
        <v>2.82</v>
      </c>
      <c r="DN14" s="9" t="n">
        <v>0.08</v>
      </c>
      <c r="DO14" s="9" t="n">
        <v>133.82</v>
      </c>
      <c r="DP14" s="9" t="n">
        <v>94.87</v>
      </c>
      <c r="DQ14" s="33">
        <f>PERCENTRANK(DP$2:INDEX($DP:$DP,LOOKUP(2,1/(ISNUMBER($A$2:$A$1048576)),ROW($A$2:$A$1048576))),DP14)</f>
        <v/>
      </c>
      <c r="DR14" s="40">
        <f>sum(DP14-DP$106)/DP$107</f>
        <v/>
      </c>
      <c r="DS14" s="9" t="n">
        <v>70.89</v>
      </c>
      <c r="DT14" s="9" t="n">
        <v>56</v>
      </c>
      <c r="DU14" s="9" t="n">
        <v>52.51</v>
      </c>
      <c r="DV14" s="9" t="n">
        <v>93.77</v>
      </c>
      <c r="DW14" s="9" t="n">
        <v>142.74</v>
      </c>
      <c r="DX14" s="9" t="n">
        <v>123.82</v>
      </c>
      <c r="DY14" s="9" t="n">
        <v>86.73999999999999</v>
      </c>
      <c r="DZ14" s="9" t="n">
        <v>48.28</v>
      </c>
      <c r="EA14" s="9" t="n">
        <v>26.38</v>
      </c>
      <c r="EB14" s="9" t="n">
        <v>54.65</v>
      </c>
      <c r="EC14" s="9" t="n">
        <v>52.08</v>
      </c>
      <c r="ED14" s="9" t="n">
        <v>34.74</v>
      </c>
      <c r="EE14" s="33">
        <f>PERCENTRANK(ED$2:INDEX($ED:$ED,LOOKUP(2,1/(ISNUMBER($A$2:$A$1048576)),ROW($A$2:$A$1048576))),ED14)</f>
        <v/>
      </c>
      <c r="EF14" s="40">
        <f>sum(ED14-ED$106)/ED$107</f>
        <v/>
      </c>
      <c r="EG14" s="9" t="n">
        <v>66.72</v>
      </c>
      <c r="EH14" s="9" t="n">
        <v>71.92</v>
      </c>
      <c r="EI14" s="9" t="n">
        <v>51.79</v>
      </c>
      <c r="EJ14" s="33">
        <f>PERCENTRANK(EI$2:INDEX($EI:$EI,LOOKUP(2,1/(ISNUMBER($A$2:$A$1048576)),ROW($A$2:$A$1048576))),EI14)</f>
        <v/>
      </c>
      <c r="EK14" s="40">
        <f>sum(EI14-EI$106)/EI$107</f>
        <v/>
      </c>
      <c r="EL14" s="9" t="n">
        <v>72.01000000000001</v>
      </c>
      <c r="EM14" s="9" t="n">
        <v>1.72</v>
      </c>
      <c r="EN14" s="9" t="n">
        <v>0.95</v>
      </c>
      <c r="EO14" s="9" t="n">
        <v>55.22</v>
      </c>
      <c r="EP14" s="9" t="n">
        <v>21.62</v>
      </c>
      <c r="EQ14" s="9" t="n">
        <v>18</v>
      </c>
      <c r="ER14" s="9" t="n">
        <v>83.27</v>
      </c>
      <c r="ES14" s="9" t="n">
        <v>7.1</v>
      </c>
      <c r="ET14" s="9" t="n">
        <v>15.33</v>
      </c>
      <c r="EU14" s="9" t="n">
        <v>3.58</v>
      </c>
      <c r="EV14" s="9" t="n">
        <v>13.06</v>
      </c>
      <c r="EW14" s="9" t="n">
        <v>17.1</v>
      </c>
      <c r="EX14" s="33">
        <f>PERCENTRANK(EW$2:INDEX($EW:$EW,LOOKUP(2,1/(ISNUMBER($A$2:$A$1048576)),ROW($A$2:$A$1048576))),EW14)</f>
        <v/>
      </c>
      <c r="EY14" s="38">
        <f>1-(EW14-EW$106)/EW$107</f>
        <v/>
      </c>
      <c r="EZ14" s="9" t="n">
        <v>20.5</v>
      </c>
      <c r="FA14" s="9" t="n">
        <v>9.51</v>
      </c>
      <c r="FB14" s="33">
        <f>PERCENTRANK(FA$2:INDEX($FA:$FA,LOOKUP(2,1/(ISNUMBER($A$2:$A$1048576)),ROW($A$2:$A$1048576))),FA14)</f>
        <v/>
      </c>
      <c r="FC14" s="39">
        <f>1-(FA14-FA$106)/FA$107</f>
        <v/>
      </c>
      <c r="FD14" s="9" t="n">
        <v>1.31</v>
      </c>
      <c r="FE14" s="9" t="n">
        <v>1.24</v>
      </c>
      <c r="FF14" s="33">
        <f>PERCENTRANK(FE$2:INDEX($FE:$FE,LOOKUP(2,1/(ISNUMBER($A$2:$A$1048576)),ROW($A$2:$A$1048576))),FE14)</f>
        <v/>
      </c>
      <c r="FG14" s="39">
        <f>1-(FE14-FE$106)/FE$107</f>
        <v/>
      </c>
      <c r="FH14" s="9" t="n">
        <v>10.05</v>
      </c>
      <c r="FI14" s="9" t="n">
        <v>3.54</v>
      </c>
      <c r="FJ14" s="9" t="n">
        <v>35.2</v>
      </c>
      <c r="FK14" s="9" t="n">
        <v>382.26</v>
      </c>
      <c r="FL14" s="33">
        <f>PERCENTRANK(FK$2:INDEX($FK:$FK,LOOKUP(2,1/(ISNUMBER($A$2:$A$1048576)),ROW($A$2:$A$1048576))),FK14)</f>
        <v/>
      </c>
      <c r="FM14" s="39">
        <f>SWA13-(FK14-FK$106)/FK$107</f>
        <v/>
      </c>
      <c r="FN14" s="9" t="n">
        <v>306.59</v>
      </c>
      <c r="FO14" s="9" t="n">
        <v>80.20999999999999</v>
      </c>
      <c r="FP14" s="9" t="n">
        <v>49.43</v>
      </c>
      <c r="FQ14" s="9" t="n">
        <v>111.92</v>
      </c>
      <c r="FR14" s="9" t="n">
        <v>21.59</v>
      </c>
      <c r="FS14" s="9" t="n">
        <v>40.31</v>
      </c>
      <c r="FT14" s="9" t="n">
        <v>50.03</v>
      </c>
      <c r="FU14" s="9" t="n">
        <v>81.95</v>
      </c>
      <c r="FV14" s="9" t="n">
        <v>39.67</v>
      </c>
      <c r="FW14" s="9" t="n">
        <v>30.46</v>
      </c>
      <c r="FX14" s="9" t="n">
        <v>11.82</v>
      </c>
      <c r="FY14" s="9" t="n">
        <v>202</v>
      </c>
      <c r="FZ14" s="9" t="n">
        <v>95.08</v>
      </c>
      <c r="GA14" s="9" t="n">
        <v>47.07</v>
      </c>
      <c r="GB14" s="9" t="n">
        <v>4.13</v>
      </c>
      <c r="GC14" s="9" t="n">
        <v>1.36</v>
      </c>
      <c r="GD14" s="9" t="n">
        <v>32.92</v>
      </c>
      <c r="GE14" s="9" t="n">
        <v>25.77</v>
      </c>
      <c r="GF14" s="9" t="n">
        <v>6.36</v>
      </c>
      <c r="GG14" s="9" t="n">
        <v>24.68</v>
      </c>
      <c r="GH14" s="9" t="n">
        <v>0.79</v>
      </c>
      <c r="GI14" s="9" t="n">
        <v>0.33</v>
      </c>
      <c r="GJ14" s="9" t="n">
        <v>41.94</v>
      </c>
      <c r="GK14" s="9" t="n">
        <v>28.44</v>
      </c>
      <c r="GL14" s="9" t="n">
        <v>2.9</v>
      </c>
      <c r="GM14" s="9" t="n">
        <v>10.19</v>
      </c>
      <c r="GN14" s="9" t="n">
        <v>4.59</v>
      </c>
      <c r="GO14" s="9" t="n">
        <v>1.31</v>
      </c>
      <c r="GP14" s="9" t="n">
        <v>28.49</v>
      </c>
      <c r="GQ14" s="9" t="n">
        <v>2.33</v>
      </c>
      <c r="GR14" s="9" t="n">
        <v>0.5600000000000001</v>
      </c>
      <c r="GS14" s="9" t="n">
        <v>24.18</v>
      </c>
      <c r="GT14" s="9" t="n">
        <v>0.13</v>
      </c>
      <c r="GU14" s="9" t="n">
        <v>0.08</v>
      </c>
      <c r="GV14" s="9" t="n">
        <v>60</v>
      </c>
      <c r="GW14" s="9" t="n">
        <v>13.33</v>
      </c>
      <c r="GX14" s="9" t="n">
        <v>4</v>
      </c>
      <c r="GY14" s="9" t="n">
        <v>30</v>
      </c>
      <c r="GZ14" s="9" t="n">
        <v>4.56</v>
      </c>
      <c r="HA14" s="9" t="n">
        <v>5.95</v>
      </c>
      <c r="HB14" s="9" t="n">
        <v>21.64</v>
      </c>
      <c r="HC14" s="9" t="n">
        <v>3.21</v>
      </c>
      <c r="HD14" s="9" t="n">
        <v>8.15</v>
      </c>
      <c r="HE14" s="9" t="n">
        <v>14.79</v>
      </c>
      <c r="HF14" s="9" t="n">
        <v>68.81999999999999</v>
      </c>
      <c r="HG14" s="9" t="n">
        <v>26.72</v>
      </c>
      <c r="HH14" s="9" t="n">
        <v>38.82</v>
      </c>
      <c r="HI14" s="9" t="n">
        <v>2.64</v>
      </c>
      <c r="HJ14" s="9" t="n">
        <v>1.74</v>
      </c>
      <c r="HK14" s="9" t="n">
        <v>12.05</v>
      </c>
      <c r="HL14" s="9" t="n">
        <v>4.82</v>
      </c>
      <c r="HM14" s="9" t="n">
        <v>40</v>
      </c>
      <c r="HN14" s="9" t="n">
        <v>63.97</v>
      </c>
      <c r="HO14" s="9" t="n">
        <v>39.03</v>
      </c>
      <c r="HP14" s="9" t="n">
        <v>61</v>
      </c>
      <c r="HQ14" s="9" t="n">
        <v>40.23</v>
      </c>
      <c r="HR14" s="9" t="n">
        <v>17.31</v>
      </c>
      <c r="HS14" s="9" t="n">
        <v>43.02</v>
      </c>
      <c r="HT14" s="9" t="n">
        <v>3.51</v>
      </c>
      <c r="HU14" s="9" t="n">
        <v>1.87</v>
      </c>
      <c r="HV14" s="9" t="n">
        <v>53.28</v>
      </c>
      <c r="HW14" s="9" t="n">
        <v>39.85</v>
      </c>
      <c r="HX14" s="9" t="n">
        <v>14.67</v>
      </c>
      <c r="HY14" s="9" t="n">
        <v>12.87</v>
      </c>
      <c r="HZ14" s="9" t="n">
        <v>2.28</v>
      </c>
      <c r="IA14" s="9" t="n">
        <v>0.05</v>
      </c>
      <c r="IB14" s="9" t="n">
        <v>141.03</v>
      </c>
      <c r="IC14" s="9" t="n">
        <v>97.97</v>
      </c>
      <c r="ID14" s="9" t="n">
        <v>69.47</v>
      </c>
      <c r="IE14" s="9" t="n">
        <v>56.67</v>
      </c>
      <c r="IF14" s="9" t="n">
        <v>53.15</v>
      </c>
      <c r="IG14" s="9" t="n">
        <v>93.8</v>
      </c>
      <c r="IH14" s="9" t="n">
        <v>133.41</v>
      </c>
      <c r="II14" s="9" t="n">
        <v>115.38</v>
      </c>
      <c r="IJ14" s="9" t="n">
        <v>86.48999999999999</v>
      </c>
      <c r="IK14" s="9" t="n">
        <v>52.28</v>
      </c>
      <c r="IL14" s="9" t="n">
        <v>27.79</v>
      </c>
      <c r="IM14" s="9" t="n">
        <v>53.16</v>
      </c>
      <c r="IN14" s="9" t="n">
        <v>50.87</v>
      </c>
      <c r="IO14" s="9" t="n">
        <v>31.69</v>
      </c>
      <c r="IP14" s="9" t="n">
        <v>62.3</v>
      </c>
      <c r="IQ14" s="9" t="n">
        <v>72.59</v>
      </c>
      <c r="IR14" s="9" t="n">
        <v>48.69</v>
      </c>
      <c r="IS14" s="9" t="n">
        <v>67.08</v>
      </c>
      <c r="IT14" s="33">
        <f>PERCENTRANK(IS$2:INDEX($IS:$IS,LOOKUP(2,1/(ISNUMBER($A$2:$A$1048576)),ROW($A$2:$A$1048576))),IS14)</f>
        <v/>
      </c>
      <c r="IU14" s="39">
        <f>1-(IS14-IS$106)/IS$107</f>
        <v/>
      </c>
      <c r="IV14" s="9" t="n">
        <v>2.33</v>
      </c>
      <c r="IW14" s="9" t="n">
        <v>0.79</v>
      </c>
      <c r="IX14" s="9" t="n">
        <v>34.07</v>
      </c>
      <c r="IY14" s="9" t="n">
        <v>22.18</v>
      </c>
      <c r="IZ14" s="9" t="n">
        <v>19.38</v>
      </c>
      <c r="JA14" s="9" t="n">
        <v>87.40000000000001</v>
      </c>
      <c r="JB14" s="9" t="n">
        <v>8.640000000000001</v>
      </c>
      <c r="JC14" s="9" t="n">
        <v>15.78</v>
      </c>
      <c r="JD14" s="9" t="n">
        <v>3.57</v>
      </c>
      <c r="JE14" s="9" t="n">
        <v>14.35</v>
      </c>
      <c r="JF14" s="9" t="n">
        <v>18.28</v>
      </c>
      <c r="JG14" s="9" t="n">
        <v>20.76</v>
      </c>
      <c r="JH14" s="9" t="n">
        <v>10.57</v>
      </c>
    </row>
    <row r="15">
      <c r="A15" s="12" t="n">
        <v>2022</v>
      </c>
      <c r="B15" s="31" t="inlineStr">
        <is>
          <t>New York RB II</t>
        </is>
      </c>
      <c r="C15" s="12" t="n">
        <v>15</v>
      </c>
      <c r="D15" s="5">
        <f>(C15-AVERAGE($C$2:INDEX($C:$C,LOOKUP(2,1/(ISNUMBER($A$2:$A$1048576)),ROW($A$2:$A$1048576)))))/_xlfn.STDEV.P($C$2:INDEX($C:$C,LOOKUP(2,1/(ISNUMBER($A$2:$A$1048576)),ROW($A$2:$A$1048576))))</f>
        <v/>
      </c>
      <c r="E15" s="12" t="n">
        <v>14</v>
      </c>
      <c r="F15" s="6">
        <f>-E15</f>
        <v/>
      </c>
      <c r="G15" s="7">
        <f>(F15-AVERAGE($F$2:INDEX($F:$F,LOOKUP(2,1/(ISNUMBER($A$2:$A$1048576)),ROW($A$2:$A$1048576)))))/_xlfn.STDEV.P($F$2:INDEX($F:$F,LOOKUP(2,1/(ISNUMBER($A$2:$A$1048576)),ROW($A$2:$A$1048576))))</f>
        <v/>
      </c>
      <c r="H15" s="32">
        <f>sum(0.5*D15)+(0.5*G15)</f>
        <v/>
      </c>
      <c r="I15" s="12" t="inlineStr">
        <is>
          <t>East</t>
        </is>
      </c>
      <c r="J15" s="10">
        <f>sum(L15*L$105)+(N15*N$105)+(P15*P$105)+(T15*R$105)</f>
        <v/>
      </c>
      <c r="K15" s="33">
        <f>PERCENTRANK(J$2:INDEX($J:$J,LOOKUP(2,1/(ISNUMBER($A$2:$A$1048576)),ROW($A$2:$A$1048576))),J15)</f>
        <v/>
      </c>
      <c r="L15" s="10">
        <f>sum(AA15*0.66)+(AD15*0.55)+(AG15*0.59)+(CG15*0.51)+(CL15*0.6)+(EY15*0.31)</f>
        <v/>
      </c>
      <c r="M15" s="33">
        <f>PERCENTRANK(L$2:INDEX($L:$L,LOOKUP(2,1/(ISNUMBER($A$2:$A$1048576)),ROW($A$2:$A$1048576))),L15)</f>
        <v/>
      </c>
      <c r="N15" s="10">
        <f>sum(CT15*0.57)+(CW15*0.71)+(DJ15*0.08)+(FC15*0.33)+(FG15*0.69)+(FM15*0.26)+(IU15*0.54)+(AU15*0.4)</f>
        <v/>
      </c>
      <c r="O15" s="33">
        <f>PERCENTRANK(N$2:INDEX($N:$N,LOOKUP(2,1/(ISNUMBER($A$2:$A$1048576)),ROW($A$2:$A$1048576))),N15)</f>
        <v/>
      </c>
      <c r="P15" s="10">
        <f>sum(BG15*0.51)+(CD15*0.51)+(DR15*0.11)+(EF15*0.42)+(EK15*0.44)+(W15*0.6)</f>
        <v/>
      </c>
      <c r="Q15" s="33">
        <f>PERCENTRANK(P$2:INDEX($P:$P,LOOKUP(2,1/(ISNUMBER($A$2:$A$1048576)),ROW($A$2:$A$1048576))),P15)</f>
        <v/>
      </c>
      <c r="R15" s="10">
        <f>sum(Y15-FE15)</f>
        <v/>
      </c>
      <c r="S15" s="33">
        <f>PERCENTRANK(R$2:INDEX($R:$R,LOOKUP(2,1/(ISNUMBER($A$2:$A$1048576)),ROW($A$2:$A$1048576))),R15)</f>
        <v/>
      </c>
      <c r="T15" s="34">
        <f>sum(R15-R$106)/R$107</f>
        <v/>
      </c>
      <c r="U15" s="35">
        <f>sum(Y15/AI15)*100</f>
        <v/>
      </c>
      <c r="V15" s="33">
        <f>PERCENTRANK(U$2:INDEX($U:$U,LOOKUP(2,1/(ISNUMBER($A$2:$A$1048576)),ROW($A$2:$A$1048576))),U15)</f>
        <v/>
      </c>
      <c r="W15" s="36">
        <f>sum(U15-U$106)/U$107</f>
        <v/>
      </c>
      <c r="X15" s="9" t="n">
        <v>0.71</v>
      </c>
      <c r="Y15" s="9" t="n">
        <v>0.77</v>
      </c>
      <c r="Z15" s="33">
        <f>PERCENTRANK(Y$2:INDEX($Y:$Y,LOOKUP(2,1/(ISNUMBER($A$2:$A$1048576)),ROW($A$2:$A$1048576))),Y15)</f>
        <v/>
      </c>
      <c r="AA15" s="37">
        <f>sum(Y15-Y$106)/Y$107</f>
        <v/>
      </c>
      <c r="AB15" s="9" t="n">
        <v>8.619999999999999</v>
      </c>
      <c r="AC15" s="33">
        <f>PERCENTRANK(AB$2:INDEX($AB:$AB,LOOKUP(2,1/(ISNUMBER($A$2:$A$1048576)),ROW($A$2:$A$1048576))),AB15)</f>
        <v/>
      </c>
      <c r="AD15" s="38">
        <f>sum(AB15-AB$106)/AB$107</f>
        <v/>
      </c>
      <c r="AE15" s="9" t="n">
        <v>2.79</v>
      </c>
      <c r="AF15" s="33">
        <f>PERCENTRANK(AE$2:INDEX($AE:$AE,LOOKUP(2,1/(ISNUMBER($A$2:$A$1048576)),ROW($A$2:$A$1048576))),AE15)</f>
        <v/>
      </c>
      <c r="AG15" s="38">
        <f>sum(AE15-AE$106)/AE$107</f>
        <v/>
      </c>
      <c r="AH15" s="9" t="n">
        <v>32.42</v>
      </c>
      <c r="AI15" s="9" t="n">
        <v>303.65</v>
      </c>
      <c r="AJ15" s="9" t="n">
        <v>226.26</v>
      </c>
      <c r="AK15" s="9" t="n">
        <v>74.52</v>
      </c>
      <c r="AL15" s="9" t="n">
        <v>45.81</v>
      </c>
      <c r="AM15" s="9" t="n">
        <v>117.79</v>
      </c>
      <c r="AN15" s="9" t="n">
        <v>19.68</v>
      </c>
      <c r="AO15" s="9" t="n">
        <v>41.41</v>
      </c>
      <c r="AP15" s="9" t="n">
        <v>56.71</v>
      </c>
      <c r="AQ15" s="9" t="n">
        <v>88.15000000000001</v>
      </c>
      <c r="AR15" s="9" t="n">
        <v>37.26</v>
      </c>
      <c r="AS15" s="9" t="n">
        <v>37.56</v>
      </c>
      <c r="AT15" s="33">
        <f>PERCENTRANK(AS$2:INDEX($AS:$AS,LOOKUP(2,1/(ISNUMBER($A$2:$A$1048576)),ROW($A$2:$A$1048576))),AS15)</f>
        <v/>
      </c>
      <c r="AU15" s="39">
        <f>SUM(AS15-AS$106)/AS$107</f>
        <v/>
      </c>
      <c r="AV15" s="9" t="n">
        <v>13.32</v>
      </c>
      <c r="AW15" s="33">
        <f>PERCENTRANK(AV$2:INDEX($AV:$AV,LOOKUP(2,1/(ISNUMBER($A$2:$A$1048576)),ROW($A$2:$A$1048576))),AV15)</f>
        <v/>
      </c>
      <c r="AX15" s="9" t="n">
        <v>227.03</v>
      </c>
      <c r="AY15" s="9" t="n">
        <v>106.88</v>
      </c>
      <c r="AZ15" s="9" t="n">
        <v>47.08</v>
      </c>
      <c r="BA15" s="9" t="n">
        <v>4.65</v>
      </c>
      <c r="BB15" s="9" t="n">
        <v>1.15</v>
      </c>
      <c r="BC15" s="9" t="n">
        <v>24.68</v>
      </c>
      <c r="BD15" s="9" t="n">
        <v>27.47</v>
      </c>
      <c r="BE15" s="9" t="n">
        <v>5.18</v>
      </c>
      <c r="BF15" s="33">
        <f>PERCENTRANK(BE$2:INDEX($BE:$BE,LOOKUP(2,1/(ISNUMBER($A$2:$A$1048576)),ROW($A$2:$A$1048576))),BE15)</f>
        <v/>
      </c>
      <c r="BG15" s="40">
        <f>sum(BE15-BE$106)/BE$107</f>
        <v/>
      </c>
      <c r="BH15" s="9" t="n">
        <v>18.84</v>
      </c>
      <c r="BI15" s="9" t="n">
        <v>1.88</v>
      </c>
      <c r="BJ15" s="9" t="n">
        <v>0.62</v>
      </c>
      <c r="BK15" s="9" t="n">
        <v>32.81</v>
      </c>
      <c r="BL15" s="9" t="n">
        <v>27.71</v>
      </c>
      <c r="BM15" s="9" t="n">
        <v>2.18</v>
      </c>
      <c r="BN15" s="9" t="n">
        <v>7.86</v>
      </c>
      <c r="BO15" s="9" t="n">
        <v>4.12</v>
      </c>
      <c r="BP15" s="9" t="n">
        <v>0.85</v>
      </c>
      <c r="BQ15" s="9" t="n">
        <v>20.71</v>
      </c>
      <c r="BR15" s="9" t="n">
        <v>2.79</v>
      </c>
      <c r="BS15" s="9" t="n">
        <v>0.38</v>
      </c>
      <c r="BT15" s="9" t="n">
        <v>13.68</v>
      </c>
      <c r="BU15" s="9" t="n">
        <v>0.03</v>
      </c>
      <c r="BV15" s="9" t="n">
        <v>0.03</v>
      </c>
      <c r="BW15" s="9" t="n">
        <v>100</v>
      </c>
      <c r="BX15" s="9" t="n">
        <v>10.29</v>
      </c>
      <c r="BY15" s="9" t="n">
        <v>3.21</v>
      </c>
      <c r="BZ15" s="9" t="n">
        <v>31.14</v>
      </c>
      <c r="CA15" s="9" t="n">
        <v>3.38</v>
      </c>
      <c r="CB15" s="9" t="n">
        <v>5.21</v>
      </c>
      <c r="CC15" s="33">
        <f>PERCENTRANK(CD$2:INDEX($CD:$CD,LOOKUP(2,1/(ISNUMBER($A$2:$A$1048576)),ROW($A$2:$A$1048576))),CD15)</f>
        <v/>
      </c>
      <c r="CD15" s="40">
        <f>sum(CB15-CB$106)/CB$107</f>
        <v/>
      </c>
      <c r="CE15" s="9" t="n">
        <v>19.41</v>
      </c>
      <c r="CF15" s="33">
        <f>PERCENTRANK(CE$2:INDEX($CE:$CE,LOOKUP(2,1/(ISNUMBER($A$2:$A$1048576)),ROW($A$2:$A$1048576))),CE15)</f>
        <v/>
      </c>
      <c r="CG15" s="38">
        <f>sum(CE15-CE$106)/CE$107</f>
        <v/>
      </c>
      <c r="CH15" s="9" t="n">
        <v>3.79</v>
      </c>
      <c r="CI15" s="9" t="n">
        <v>5.35</v>
      </c>
      <c r="CJ15" s="9" t="n">
        <v>11.85</v>
      </c>
      <c r="CK15" s="33">
        <f>PERCENTRANK(CJ$2:INDEX($CJ:$CJ,LOOKUP(2,1/(ISNUMBER($A$2:$A$1048576)),ROW($A$2:$A$1048576))),CJ15)</f>
        <v/>
      </c>
      <c r="CL15" s="38">
        <f>sum(CJ15-CJ$106)/CJ$107</f>
        <v/>
      </c>
      <c r="CM15" s="9" t="n">
        <v>68.56</v>
      </c>
      <c r="CN15" s="9" t="n">
        <v>26.88</v>
      </c>
      <c r="CO15" s="9" t="n">
        <v>39.21</v>
      </c>
      <c r="CP15" s="9" t="n">
        <v>1.56</v>
      </c>
      <c r="CQ15" s="9" t="n">
        <v>2.24</v>
      </c>
      <c r="CR15" s="9" t="n">
        <v>13.74</v>
      </c>
      <c r="CS15" s="33">
        <f>PERCENTRANK(CR$2:INDEX($CR:$CR,LOOKUP(2,1/(ISNUMBER($A$2:$A$1048576)),ROW($A$2:$A$1048576))),CR15)</f>
        <v/>
      </c>
      <c r="CT15" s="39">
        <f>1-(CR15-CR$106)/CR$107</f>
        <v/>
      </c>
      <c r="CU15" s="9" t="n">
        <v>6.82</v>
      </c>
      <c r="CV15" s="33">
        <f>PERCENTRANK(CU$2:INDEX($CU:$CU,LOOKUP(2,1/(ISNUMBER($A$2:$A$1048576)),ROW($A$2:$A$1048576))),CU15)</f>
        <v/>
      </c>
      <c r="CW15" s="39">
        <f>1-(CU15-CU$106)/CU$107</f>
        <v/>
      </c>
      <c r="CX15" s="9" t="n">
        <v>49.68</v>
      </c>
      <c r="CY15" s="9" t="n">
        <v>78.76000000000001</v>
      </c>
      <c r="CZ15" s="9" t="n">
        <v>47.62</v>
      </c>
      <c r="DA15" s="9" t="n">
        <v>60.46</v>
      </c>
      <c r="DB15" s="9" t="n">
        <v>41.5</v>
      </c>
      <c r="DC15" s="9" t="n">
        <v>17.35</v>
      </c>
      <c r="DD15" s="9" t="n">
        <v>41.81</v>
      </c>
      <c r="DE15" s="9" t="n">
        <v>3.82</v>
      </c>
      <c r="DF15" s="9" t="n">
        <v>1.79</v>
      </c>
      <c r="DG15" s="9" t="n">
        <v>46.92</v>
      </c>
      <c r="DH15" s="9" t="n">
        <v>45.21</v>
      </c>
      <c r="DI15" s="33">
        <f>PERCENTRANK(DH$2:INDEX($DH:$DH,LOOKUP(2,1/(ISNUMBER($A$2:$A$1048576)),ROW($A$2:$A$1048576))),DH15)</f>
        <v/>
      </c>
      <c r="DJ15" s="39">
        <f>SUM(DH15-DH$106)/DH$107</f>
        <v/>
      </c>
      <c r="DK15" s="9" t="n">
        <v>19.18</v>
      </c>
      <c r="DL15" s="9" t="n">
        <v>15.38</v>
      </c>
      <c r="DM15" s="9" t="n">
        <v>2.74</v>
      </c>
      <c r="DN15" s="9" t="n">
        <v>0.35</v>
      </c>
      <c r="DO15" s="9" t="n">
        <v>125.35</v>
      </c>
      <c r="DP15" s="9" t="n">
        <v>79.23999999999999</v>
      </c>
      <c r="DQ15" s="33">
        <f>PERCENTRANK(DP$2:INDEX($DP:$DP,LOOKUP(2,1/(ISNUMBER($A$2:$A$1048576)),ROW($A$2:$A$1048576))),DP15)</f>
        <v/>
      </c>
      <c r="DR15" s="40">
        <f>sum(DP15-DP$106)/DP$107</f>
        <v/>
      </c>
      <c r="DS15" s="9" t="n">
        <v>63.21</v>
      </c>
      <c r="DT15" s="9" t="n">
        <v>43</v>
      </c>
      <c r="DU15" s="9" t="n">
        <v>39.06</v>
      </c>
      <c r="DV15" s="9" t="n">
        <v>90.83</v>
      </c>
      <c r="DW15" s="9" t="n">
        <v>84</v>
      </c>
      <c r="DX15" s="9" t="n">
        <v>67.97</v>
      </c>
      <c r="DY15" s="9" t="n">
        <v>80.92</v>
      </c>
      <c r="DZ15" s="9" t="n">
        <v>40.94</v>
      </c>
      <c r="EA15" s="9" t="n">
        <v>19.24</v>
      </c>
      <c r="EB15" s="9" t="n">
        <v>46.98</v>
      </c>
      <c r="EC15" s="9" t="n">
        <v>51.09</v>
      </c>
      <c r="ED15" s="9" t="n">
        <v>28.74</v>
      </c>
      <c r="EE15" s="33">
        <f>PERCENTRANK(ED$2:INDEX($ED:$ED,LOOKUP(2,1/(ISNUMBER($A$2:$A$1048576)),ROW($A$2:$A$1048576))),ED15)</f>
        <v/>
      </c>
      <c r="EF15" s="40">
        <f>sum(ED15-ED$106)/ED$107</f>
        <v/>
      </c>
      <c r="EG15" s="9" t="n">
        <v>56.25</v>
      </c>
      <c r="EH15" s="9" t="n">
        <v>61.12</v>
      </c>
      <c r="EI15" s="9" t="n">
        <v>42.32</v>
      </c>
      <c r="EJ15" s="33">
        <f>PERCENTRANK(EI$2:INDEX($EI:$EI,LOOKUP(2,1/(ISNUMBER($A$2:$A$1048576)),ROW($A$2:$A$1048576))),EI15)</f>
        <v/>
      </c>
      <c r="EK15" s="40">
        <f>sum(EI15-EI$106)/EI$107</f>
        <v/>
      </c>
      <c r="EL15" s="9" t="n">
        <v>69.25</v>
      </c>
      <c r="EM15" s="9" t="n">
        <v>4.5</v>
      </c>
      <c r="EN15" s="9" t="n">
        <v>1.38</v>
      </c>
      <c r="EO15" s="9" t="n">
        <v>30.72</v>
      </c>
      <c r="EP15" s="9" t="n">
        <v>25.88</v>
      </c>
      <c r="EQ15" s="9" t="n">
        <v>20.85</v>
      </c>
      <c r="ER15" s="9" t="n">
        <v>80.56999999999999</v>
      </c>
      <c r="ES15" s="9" t="n">
        <v>8.32</v>
      </c>
      <c r="ET15" s="9" t="n">
        <v>14.89</v>
      </c>
      <c r="EU15" s="9" t="n">
        <v>2.6</v>
      </c>
      <c r="EV15" s="9" t="n">
        <v>13.87</v>
      </c>
      <c r="EW15" s="9" t="n">
        <v>20.05</v>
      </c>
      <c r="EX15" s="33">
        <f>PERCENTRANK(EW$2:INDEX($EW:$EW,LOOKUP(2,1/(ISNUMBER($A$2:$A$1048576)),ROW($A$2:$A$1048576))),EW15)</f>
        <v/>
      </c>
      <c r="EY15" s="38">
        <f>1-(EW15-EW$106)/EW$107</f>
        <v/>
      </c>
      <c r="EZ15" s="9" t="n">
        <v>19.41</v>
      </c>
      <c r="FA15" s="9" t="n">
        <v>9.02</v>
      </c>
      <c r="FB15" s="33">
        <f>PERCENTRANK(FA$2:INDEX($FA:$FA,LOOKUP(2,1/(ISNUMBER($A$2:$A$1048576)),ROW($A$2:$A$1048576))),FA15)</f>
        <v/>
      </c>
      <c r="FC15" s="39">
        <f>1-(FA15-FA$106)/FA$107</f>
        <v/>
      </c>
      <c r="FD15" s="9" t="n">
        <v>2.24</v>
      </c>
      <c r="FE15" s="9" t="n">
        <v>2.15</v>
      </c>
      <c r="FF15" s="33">
        <f>PERCENTRANK(FE$2:INDEX($FE:$FE,LOOKUP(2,1/(ISNUMBER($A$2:$A$1048576)),ROW($A$2:$A$1048576))),FE15)</f>
        <v/>
      </c>
      <c r="FG15" s="39">
        <f>1-(FE15-FE$106)/FE$107</f>
        <v/>
      </c>
      <c r="FH15" s="9" t="n">
        <v>13.74</v>
      </c>
      <c r="FI15" s="9" t="n">
        <v>6.56</v>
      </c>
      <c r="FJ15" s="9" t="n">
        <v>47.75</v>
      </c>
      <c r="FK15" s="9" t="n">
        <v>393.09</v>
      </c>
      <c r="FL15" s="33">
        <f>PERCENTRANK(FK$2:INDEX($FK:$FK,LOOKUP(2,1/(ISNUMBER($A$2:$A$1048576)),ROW($A$2:$A$1048576))),FK15)</f>
        <v/>
      </c>
      <c r="FM15" s="39">
        <f>SWA14-(FK15-FK$106)/FK$107</f>
        <v/>
      </c>
      <c r="FN15" s="9" t="n">
        <v>307.59</v>
      </c>
      <c r="FO15" s="9" t="n">
        <v>78.25</v>
      </c>
      <c r="FP15" s="9" t="n">
        <v>54.19</v>
      </c>
      <c r="FQ15" s="9" t="n">
        <v>117.18</v>
      </c>
      <c r="FR15" s="9" t="n">
        <v>21.44</v>
      </c>
      <c r="FS15" s="9" t="n">
        <v>46.82</v>
      </c>
      <c r="FT15" s="9" t="n">
        <v>48.91</v>
      </c>
      <c r="FU15" s="9" t="n">
        <v>91.38</v>
      </c>
      <c r="FV15" s="9" t="n">
        <v>44.32</v>
      </c>
      <c r="FW15" s="9" t="n">
        <v>35.82</v>
      </c>
      <c r="FX15" s="9" t="n">
        <v>11.24</v>
      </c>
      <c r="FY15" s="9" t="n">
        <v>227.03</v>
      </c>
      <c r="FZ15" s="9" t="n">
        <v>110.21</v>
      </c>
      <c r="GA15" s="9" t="n">
        <v>48.54</v>
      </c>
      <c r="GB15" s="9" t="n">
        <v>3.76</v>
      </c>
      <c r="GC15" s="9" t="n">
        <v>1.41</v>
      </c>
      <c r="GD15" s="9" t="n">
        <v>37.5</v>
      </c>
      <c r="GE15" s="9" t="n">
        <v>28.91</v>
      </c>
      <c r="GF15" s="9" t="n">
        <v>7.74</v>
      </c>
      <c r="GG15" s="9" t="n">
        <v>26.75</v>
      </c>
      <c r="GH15" s="9" t="n">
        <v>2.59</v>
      </c>
      <c r="GI15" s="9" t="n">
        <v>1.29</v>
      </c>
      <c r="GJ15" s="9" t="n">
        <v>50</v>
      </c>
      <c r="GK15" s="9" t="n">
        <v>28.74</v>
      </c>
      <c r="GL15" s="9" t="n">
        <v>3.88</v>
      </c>
      <c r="GM15" s="9" t="n">
        <v>13.51</v>
      </c>
      <c r="GN15" s="9" t="n">
        <v>5.65</v>
      </c>
      <c r="GO15" s="9" t="n">
        <v>1.94</v>
      </c>
      <c r="GP15" s="9" t="n">
        <v>34.38</v>
      </c>
      <c r="GQ15" s="9" t="n">
        <v>2.91</v>
      </c>
      <c r="GR15" s="9" t="n">
        <v>0.41</v>
      </c>
      <c r="GS15" s="9" t="n">
        <v>14.14</v>
      </c>
      <c r="GT15" s="9" t="n">
        <v>0.21</v>
      </c>
      <c r="GU15" s="9" t="n">
        <v>0.18</v>
      </c>
      <c r="GV15" s="9" t="n">
        <v>85.70999999999999</v>
      </c>
      <c r="GW15" s="9" t="n">
        <v>13.59</v>
      </c>
      <c r="GX15" s="9" t="n">
        <v>5.12</v>
      </c>
      <c r="GY15" s="9" t="n">
        <v>37.66</v>
      </c>
      <c r="GZ15" s="9" t="n">
        <v>4.85</v>
      </c>
      <c r="HA15" s="9" t="n">
        <v>8.380000000000001</v>
      </c>
      <c r="HB15" s="9" t="n">
        <v>25.76</v>
      </c>
      <c r="HC15" s="9" t="n">
        <v>6.15</v>
      </c>
      <c r="HD15" s="9" t="n">
        <v>7.29</v>
      </c>
      <c r="HE15" s="9" t="n">
        <v>22</v>
      </c>
      <c r="HF15" s="9" t="n">
        <v>78.76000000000001</v>
      </c>
      <c r="HG15" s="9" t="n">
        <v>31.15</v>
      </c>
      <c r="HH15" s="9" t="n">
        <v>39.54</v>
      </c>
      <c r="HI15" s="9" t="n">
        <v>4.12</v>
      </c>
      <c r="HJ15" s="9" t="n">
        <v>0.71</v>
      </c>
      <c r="HK15" s="9" t="n">
        <v>8.619999999999999</v>
      </c>
      <c r="HL15" s="9" t="n">
        <v>3</v>
      </c>
      <c r="HM15" s="9" t="n">
        <v>34.81</v>
      </c>
      <c r="HN15" s="9" t="n">
        <v>68.56</v>
      </c>
      <c r="HO15" s="9" t="n">
        <v>41.68</v>
      </c>
      <c r="HP15" s="9" t="n">
        <v>60.79</v>
      </c>
      <c r="HQ15" s="9" t="n">
        <v>41.5</v>
      </c>
      <c r="HR15" s="9" t="n">
        <v>21.71</v>
      </c>
      <c r="HS15" s="9" t="n">
        <v>52.3</v>
      </c>
      <c r="HT15" s="9" t="n">
        <v>4.24</v>
      </c>
      <c r="HU15" s="9" t="n">
        <v>1.94</v>
      </c>
      <c r="HV15" s="9" t="n">
        <v>45.83</v>
      </c>
      <c r="HW15" s="9" t="n">
        <v>40.91</v>
      </c>
      <c r="HX15" s="9" t="n">
        <v>14</v>
      </c>
      <c r="HY15" s="9" t="n">
        <v>13.03</v>
      </c>
      <c r="HZ15" s="9" t="n">
        <v>2.18</v>
      </c>
      <c r="IA15" s="9" t="n">
        <v>0.09</v>
      </c>
      <c r="IB15" s="9" t="n">
        <v>150.47</v>
      </c>
      <c r="IC15" s="9" t="n">
        <v>101.32</v>
      </c>
      <c r="ID15" s="9" t="n">
        <v>67.34</v>
      </c>
      <c r="IE15" s="9" t="n">
        <v>57.71</v>
      </c>
      <c r="IF15" s="9" t="n">
        <v>52.97</v>
      </c>
      <c r="IG15" s="9" t="n">
        <v>91.79000000000001</v>
      </c>
      <c r="IH15" s="9" t="n">
        <v>135.29</v>
      </c>
      <c r="II15" s="9" t="n">
        <v>115.97</v>
      </c>
      <c r="IJ15" s="9" t="n">
        <v>85.72</v>
      </c>
      <c r="IK15" s="9" t="n">
        <v>57.06</v>
      </c>
      <c r="IL15" s="9" t="n">
        <v>30.53</v>
      </c>
      <c r="IM15" s="9" t="n">
        <v>53.51</v>
      </c>
      <c r="IN15" s="9" t="n">
        <v>55</v>
      </c>
      <c r="IO15" s="9" t="n">
        <v>34.38</v>
      </c>
      <c r="IP15" s="9" t="n">
        <v>62.51</v>
      </c>
      <c r="IQ15" s="9" t="n">
        <v>83.06</v>
      </c>
      <c r="IR15" s="9" t="n">
        <v>55.56</v>
      </c>
      <c r="IS15" s="9" t="n">
        <v>66.89</v>
      </c>
      <c r="IT15" s="33">
        <f>PERCENTRANK(IS$2:INDEX($IS:$IS,LOOKUP(2,1/(ISNUMBER($A$2:$A$1048576)),ROW($A$2:$A$1048576))),IS15)</f>
        <v/>
      </c>
      <c r="IU15" s="39">
        <f>1-(IS15-IS$106)/IS$107</f>
        <v/>
      </c>
      <c r="IV15" s="9" t="n">
        <v>6</v>
      </c>
      <c r="IW15" s="9" t="n">
        <v>2.56</v>
      </c>
      <c r="IX15" s="9" t="n">
        <v>42.65</v>
      </c>
      <c r="IY15" s="9" t="n">
        <v>29.24</v>
      </c>
      <c r="IZ15" s="9" t="n">
        <v>26.09</v>
      </c>
      <c r="JA15" s="9" t="n">
        <v>89.23999999999999</v>
      </c>
      <c r="JB15" s="9" t="n">
        <v>7.56</v>
      </c>
      <c r="JC15" s="9" t="n">
        <v>16.36</v>
      </c>
      <c r="JD15" s="9" t="n">
        <v>3.26</v>
      </c>
      <c r="JE15" s="9" t="n">
        <v>15.24</v>
      </c>
      <c r="JF15" s="9" t="n">
        <v>16.48</v>
      </c>
      <c r="JG15" s="9" t="n">
        <v>21.4</v>
      </c>
      <c r="JH15" s="9" t="n">
        <v>7.31</v>
      </c>
    </row>
    <row r="16">
      <c r="A16" s="12" t="n">
        <v>2024</v>
      </c>
      <c r="B16" s="31" t="inlineStr">
        <is>
          <t>Pittsburgh Riverhounds</t>
        </is>
      </c>
      <c r="C16" s="12" t="n">
        <v>48</v>
      </c>
      <c r="D16" s="5">
        <f>(C16-AVERAGE($C$2:INDEX($C:$C,LOOKUP(2,1/(ISNUMBER($A$2:$A$1048576)),ROW($A$2:$A$1048576)))))/_xlfn.STDEV.P($C$2:INDEX($C:$C,LOOKUP(2,1/(ISNUMBER($A$2:$A$1048576)),ROW($A$2:$A$1048576))))</f>
        <v/>
      </c>
      <c r="E16" s="12" t="n">
        <v>7</v>
      </c>
      <c r="F16" s="6">
        <f>-E16</f>
        <v/>
      </c>
      <c r="G16" s="7">
        <f>(F16-AVERAGE($F$2:INDEX($F:$F,LOOKUP(2,1/(ISNUMBER($A$2:$A$1048576)),ROW($A$2:$A$1048576)))))/_xlfn.STDEV.P($F$2:INDEX($F:$F,LOOKUP(2,1/(ISNUMBER($A$2:$A$1048576)),ROW($A$2:$A$1048576))))</f>
        <v/>
      </c>
      <c r="H16" s="32">
        <f>sum(0.5*D16)+(0.5*G16)</f>
        <v/>
      </c>
      <c r="I16" s="12" t="inlineStr">
        <is>
          <t>East</t>
        </is>
      </c>
      <c r="J16" s="10">
        <f>sum(L16*L$105)+(N16*N$105)+(P16*P$105)+(T16*R$105)</f>
        <v/>
      </c>
      <c r="K16" s="33">
        <f>PERCENTRANK(J$2:INDEX($J:$J,LOOKUP(2,1/(ISNUMBER($A$2:$A$1048576)),ROW($A$2:$A$1048576))),J16)</f>
        <v/>
      </c>
      <c r="L16" s="10">
        <f>sum(AA16*0.66)+(AD16*0.55)+(AG16*0.59)+(CG16*0.51)+(CL16*0.6)+(EY16*0.31)</f>
        <v/>
      </c>
      <c r="M16" s="33">
        <f>PERCENTRANK(L$2:INDEX($L:$L,LOOKUP(2,1/(ISNUMBER($A$2:$A$1048576)),ROW($A$2:$A$1048576))),L16)</f>
        <v/>
      </c>
      <c r="N16" s="10">
        <f>sum(CT16*0.57)+(CW16*0.71)+(DJ16*0.08)+(FC16*0.33)+(FG16*0.69)+(FM16*0.26)+(IU16*0.54)+(AU16*0.4)</f>
        <v/>
      </c>
      <c r="O16" s="33">
        <f>PERCENTRANK(N$2:INDEX($N:$N,LOOKUP(2,1/(ISNUMBER($A$2:$A$1048576)),ROW($A$2:$A$1048576))),N16)</f>
        <v/>
      </c>
      <c r="P16" s="10">
        <f>sum(BG16*0.51)+(CD16*0.51)+(DR16*0.11)+(EF16*0.42)+(EK16*0.44)+(W16*0.6)</f>
        <v/>
      </c>
      <c r="Q16" s="33">
        <f>PERCENTRANK(P$2:INDEX($P:$P,LOOKUP(2,1/(ISNUMBER($A$2:$A$1048576)),ROW($A$2:$A$1048576))),P16)</f>
        <v/>
      </c>
      <c r="R16" s="10">
        <f>sum(Y16-FE16)</f>
        <v/>
      </c>
      <c r="S16" s="33">
        <f>PERCENTRANK(R$2:INDEX($R:$R,LOOKUP(2,1/(ISNUMBER($A$2:$A$1048576)),ROW($A$2:$A$1048576))),R16)</f>
        <v/>
      </c>
      <c r="T16" s="34">
        <f>sum(R16-R$106)/R$107</f>
        <v/>
      </c>
      <c r="U16" s="35">
        <f>sum(Y16/AI16)*100</f>
        <v/>
      </c>
      <c r="V16" s="33">
        <f>PERCENTRANK(U$2:INDEX($U:$U,LOOKUP(2,1/(ISNUMBER($A$2:$A$1048576)),ROW($A$2:$A$1048576))),U16)</f>
        <v/>
      </c>
      <c r="W16" s="36">
        <f>sum(U16-U$106)/U$107</f>
        <v/>
      </c>
      <c r="X16" s="9" t="n">
        <v>1.17</v>
      </c>
      <c r="Y16" s="9" t="n">
        <v>1.36</v>
      </c>
      <c r="Z16" s="33">
        <f>PERCENTRANK(Y$2:INDEX($Y:$Y,LOOKUP(2,1/(ISNUMBER($A$2:$A$1048576)),ROW($A$2:$A$1048576))),Y16)</f>
        <v/>
      </c>
      <c r="AA16" s="37">
        <f>sum(Y16-Y$106)/Y$107</f>
        <v/>
      </c>
      <c r="AB16" s="9" t="n">
        <v>10.11</v>
      </c>
      <c r="AC16" s="33">
        <f>PERCENTRANK(AB$2:INDEX($AB:$AB,LOOKUP(2,1/(ISNUMBER($A$2:$A$1048576)),ROW($A$2:$A$1048576))),AB16)</f>
        <v/>
      </c>
      <c r="AD16" s="38">
        <f>sum(AB16-AB$106)/AB$107</f>
        <v/>
      </c>
      <c r="AE16" s="9" t="n">
        <v>3.49</v>
      </c>
      <c r="AF16" s="33">
        <f>PERCENTRANK(AE$2:INDEX($AE:$AE,LOOKUP(2,1/(ISNUMBER($A$2:$A$1048576)),ROW($A$2:$A$1048576))),AE16)</f>
        <v/>
      </c>
      <c r="AG16" s="38">
        <f>sum(AE16-AE$106)/AE$107</f>
        <v/>
      </c>
      <c r="AH16" s="9" t="n">
        <v>34.46</v>
      </c>
      <c r="AI16" s="9" t="n">
        <v>378.6</v>
      </c>
      <c r="AJ16" s="9" t="n">
        <v>294.03</v>
      </c>
      <c r="AK16" s="9" t="n">
        <v>77.66</v>
      </c>
      <c r="AL16" s="9" t="n">
        <v>45.69</v>
      </c>
      <c r="AM16" s="9" t="n">
        <v>118.97</v>
      </c>
      <c r="AN16" s="9" t="n">
        <v>17.94</v>
      </c>
      <c r="AO16" s="9" t="n">
        <v>44.94</v>
      </c>
      <c r="AP16" s="9" t="n">
        <v>56.09</v>
      </c>
      <c r="AQ16" s="9" t="n">
        <v>89.48999999999999</v>
      </c>
      <c r="AR16" s="9" t="n">
        <v>37.23</v>
      </c>
      <c r="AS16" s="9" t="n">
        <v>38.94</v>
      </c>
      <c r="AT16" s="33">
        <f>PERCENTRANK(AS$2:INDEX($AS:$AS,LOOKUP(2,1/(ISNUMBER($A$2:$A$1048576)),ROW($A$2:$A$1048576))),AS16)</f>
        <v/>
      </c>
      <c r="AU16" s="39">
        <f>SUM(AS16-AS$106)/AS$107</f>
        <v/>
      </c>
      <c r="AV16" s="9" t="n">
        <v>13.31</v>
      </c>
      <c r="AW16" s="33">
        <f>PERCENTRANK(AV$2:INDEX($AV:$AV,LOOKUP(2,1/(ISNUMBER($A$2:$A$1048576)),ROW($A$2:$A$1048576))),AV16)</f>
        <v/>
      </c>
      <c r="AX16" s="9" t="n">
        <v>190.14</v>
      </c>
      <c r="AY16" s="9" t="n">
        <v>94.66</v>
      </c>
      <c r="AZ16" s="9" t="n">
        <v>49.78</v>
      </c>
      <c r="BA16" s="9" t="n">
        <v>3.49</v>
      </c>
      <c r="BB16" s="9" t="n">
        <v>1.11</v>
      </c>
      <c r="BC16" s="9" t="n">
        <v>31.97</v>
      </c>
      <c r="BD16" s="9" t="n">
        <v>28.11</v>
      </c>
      <c r="BE16" s="9" t="n">
        <v>6.26</v>
      </c>
      <c r="BF16" s="33">
        <f>PERCENTRANK(BE$2:INDEX($BE:$BE,LOOKUP(2,1/(ISNUMBER($A$2:$A$1048576)),ROW($A$2:$A$1048576))),BE16)</f>
        <v/>
      </c>
      <c r="BG16" s="40">
        <f>sum(BE16-BE$106)/BE$107</f>
        <v/>
      </c>
      <c r="BH16" s="9" t="n">
        <v>22.26</v>
      </c>
      <c r="BI16" s="9" t="n">
        <v>0.74</v>
      </c>
      <c r="BJ16" s="9" t="n">
        <v>0.29</v>
      </c>
      <c r="BK16" s="9" t="n">
        <v>38.46</v>
      </c>
      <c r="BL16" s="9" t="n">
        <v>24.74</v>
      </c>
      <c r="BM16" s="9" t="n">
        <v>3.03</v>
      </c>
      <c r="BN16" s="9" t="n">
        <v>12.24</v>
      </c>
      <c r="BO16" s="9" t="n">
        <v>4.86</v>
      </c>
      <c r="BP16" s="9" t="n">
        <v>1.14</v>
      </c>
      <c r="BQ16" s="9" t="n">
        <v>23.53</v>
      </c>
      <c r="BR16" s="9" t="n">
        <v>1.89</v>
      </c>
      <c r="BS16" s="9" t="n">
        <v>0.66</v>
      </c>
      <c r="BT16" s="9" t="n">
        <v>34.85</v>
      </c>
      <c r="BU16" s="9" t="n">
        <v>0.2</v>
      </c>
      <c r="BV16" s="9" t="n">
        <v>0.14</v>
      </c>
      <c r="BW16" s="9" t="n">
        <v>71.43000000000001</v>
      </c>
      <c r="BX16" s="9" t="n">
        <v>15.43</v>
      </c>
      <c r="BY16" s="9" t="n">
        <v>5.51</v>
      </c>
      <c r="BZ16" s="9" t="n">
        <v>35.74</v>
      </c>
      <c r="CA16" s="9" t="n">
        <v>5.66</v>
      </c>
      <c r="CB16" s="9" t="n">
        <v>8.31</v>
      </c>
      <c r="CC16" s="33">
        <f>PERCENTRANK(CD$2:INDEX($CD:$CD,LOOKUP(2,1/(ISNUMBER($A$2:$A$1048576)),ROW($A$2:$A$1048576))),CD16)</f>
        <v/>
      </c>
      <c r="CD16" s="40">
        <f>sum(CB16-CB$106)/CB$107</f>
        <v/>
      </c>
      <c r="CE16" s="9" t="n">
        <v>26.34</v>
      </c>
      <c r="CF16" s="33">
        <f>PERCENTRANK(CE$2:INDEX($CE:$CE,LOOKUP(2,1/(ISNUMBER($A$2:$A$1048576)),ROW($A$2:$A$1048576))),CE16)</f>
        <v/>
      </c>
      <c r="CG16" s="38">
        <f>sum(CE16-CE$106)/CE$107</f>
        <v/>
      </c>
      <c r="CH16" s="9" t="n">
        <v>3.46</v>
      </c>
      <c r="CI16" s="9" t="n">
        <v>8.970000000000001</v>
      </c>
      <c r="CJ16" s="9" t="n">
        <v>18.8</v>
      </c>
      <c r="CK16" s="33">
        <f>PERCENTRANK(CJ$2:INDEX($CJ:$CJ,LOOKUP(2,1/(ISNUMBER($A$2:$A$1048576)),ROW($A$2:$A$1048576))),CJ16)</f>
        <v/>
      </c>
      <c r="CL16" s="38">
        <f>sum(CJ16-CJ$106)/CJ$107</f>
        <v/>
      </c>
      <c r="CM16" s="9" t="n">
        <v>55.6</v>
      </c>
      <c r="CN16" s="9" t="n">
        <v>21.91</v>
      </c>
      <c r="CO16" s="9" t="n">
        <v>39.41</v>
      </c>
      <c r="CP16" s="9" t="n">
        <v>1.86</v>
      </c>
      <c r="CQ16" s="9" t="n">
        <v>0.83</v>
      </c>
      <c r="CR16" s="9" t="n">
        <v>8.6</v>
      </c>
      <c r="CS16" s="33">
        <f>PERCENTRANK(CR$2:INDEX($CR:$CR,LOOKUP(2,1/(ISNUMBER($A$2:$A$1048576)),ROW($A$2:$A$1048576))),CR16)</f>
        <v/>
      </c>
      <c r="CT16" s="39">
        <f>1-(CR16-CR$106)/CR$107</f>
        <v/>
      </c>
      <c r="CU16" s="9" t="n">
        <v>3.37</v>
      </c>
      <c r="CV16" s="33">
        <f>PERCENTRANK(CU$2:INDEX($CU:$CU,LOOKUP(2,1/(ISNUMBER($A$2:$A$1048576)),ROW($A$2:$A$1048576))),CU16)</f>
        <v/>
      </c>
      <c r="CW16" s="39">
        <f>1-(CU16-CU$106)/CU$107</f>
        <v/>
      </c>
      <c r="CX16" s="9" t="n">
        <v>39.2</v>
      </c>
      <c r="CY16" s="9" t="n">
        <v>59.23</v>
      </c>
      <c r="CZ16" s="9" t="n">
        <v>38.51</v>
      </c>
      <c r="DA16" s="9" t="n">
        <v>65.03</v>
      </c>
      <c r="DB16" s="9" t="n">
        <v>46.66</v>
      </c>
      <c r="DC16" s="9" t="n">
        <v>21.34</v>
      </c>
      <c r="DD16" s="9" t="n">
        <v>45.74</v>
      </c>
      <c r="DE16" s="9" t="n">
        <v>3</v>
      </c>
      <c r="DF16" s="9" t="n">
        <v>1.31</v>
      </c>
      <c r="DG16" s="9" t="n">
        <v>43.81</v>
      </c>
      <c r="DH16" s="9" t="n">
        <v>38.89</v>
      </c>
      <c r="DI16" s="33">
        <f>PERCENTRANK(DH$2:INDEX($DH:$DH,LOOKUP(2,1/(ISNUMBER($A$2:$A$1048576)),ROW($A$2:$A$1048576))),DH16)</f>
        <v/>
      </c>
      <c r="DJ16" s="39">
        <f>SUM(DH16-DH$106)/DH$107</f>
        <v/>
      </c>
      <c r="DK16" s="9" t="n">
        <v>15.66</v>
      </c>
      <c r="DL16" s="9" t="n">
        <v>12</v>
      </c>
      <c r="DM16" s="9" t="n">
        <v>1.83</v>
      </c>
      <c r="DN16" s="9" t="n">
        <v>0.09</v>
      </c>
      <c r="DO16" s="9" t="n">
        <v>139.63</v>
      </c>
      <c r="DP16" s="9" t="n">
        <v>88.8</v>
      </c>
      <c r="DQ16" s="33">
        <f>PERCENTRANK(DP$2:INDEX($DP:$DP,LOOKUP(2,1/(ISNUMBER($A$2:$A$1048576)),ROW($A$2:$A$1048576))),DP16)</f>
        <v/>
      </c>
      <c r="DR16" s="40">
        <f>sum(DP16-DP$106)/DP$107</f>
        <v/>
      </c>
      <c r="DS16" s="9" t="n">
        <v>63.6</v>
      </c>
      <c r="DT16" s="9" t="n">
        <v>53.2</v>
      </c>
      <c r="DU16" s="9" t="n">
        <v>49.71</v>
      </c>
      <c r="DV16" s="9" t="n">
        <v>93.45</v>
      </c>
      <c r="DW16" s="9" t="n">
        <v>136.97</v>
      </c>
      <c r="DX16" s="9" t="n">
        <v>118.2</v>
      </c>
      <c r="DY16" s="9" t="n">
        <v>86.3</v>
      </c>
      <c r="DZ16" s="9" t="n">
        <v>57.26</v>
      </c>
      <c r="EA16" s="9" t="n">
        <v>27.66</v>
      </c>
      <c r="EB16" s="9" t="n">
        <v>48.3</v>
      </c>
      <c r="EC16" s="9" t="n">
        <v>56.46</v>
      </c>
      <c r="ED16" s="9" t="n">
        <v>32.86</v>
      </c>
      <c r="EE16" s="33">
        <f>PERCENTRANK(ED$2:INDEX($ED:$ED,LOOKUP(2,1/(ISNUMBER($A$2:$A$1048576)),ROW($A$2:$A$1048576))),ED16)</f>
        <v/>
      </c>
      <c r="EF16" s="40">
        <f>sum(ED16-ED$106)/ED$107</f>
        <v/>
      </c>
      <c r="EG16" s="9" t="n">
        <v>58.2</v>
      </c>
      <c r="EH16" s="9" t="n">
        <v>75.48999999999999</v>
      </c>
      <c r="EI16" s="9" t="n">
        <v>53.26</v>
      </c>
      <c r="EJ16" s="33">
        <f>PERCENTRANK(EI$2:INDEX($EI:$EI,LOOKUP(2,1/(ISNUMBER($A$2:$A$1048576)),ROW($A$2:$A$1048576))),EI16)</f>
        <v/>
      </c>
      <c r="EK16" s="40">
        <f>sum(EI16-EI$106)/EI$107</f>
        <v/>
      </c>
      <c r="EL16" s="9" t="n">
        <v>70.55</v>
      </c>
      <c r="EM16" s="9" t="n">
        <v>1.71</v>
      </c>
      <c r="EN16" s="9" t="n">
        <v>0.66</v>
      </c>
      <c r="EO16" s="9" t="n">
        <v>38.33</v>
      </c>
      <c r="EP16" s="9" t="n">
        <v>22.37</v>
      </c>
      <c r="EQ16" s="9" t="n">
        <v>19.66</v>
      </c>
      <c r="ER16" s="9" t="n">
        <v>87.87</v>
      </c>
      <c r="ES16" s="9" t="n">
        <v>6.97</v>
      </c>
      <c r="ET16" s="9" t="n">
        <v>15.84</v>
      </c>
      <c r="EU16" s="9" t="n">
        <v>3.55</v>
      </c>
      <c r="EV16" s="9" t="n">
        <v>15.87</v>
      </c>
      <c r="EW16" s="9" t="n">
        <v>17.36</v>
      </c>
      <c r="EX16" s="33">
        <f>PERCENTRANK(EW$2:INDEX($EW:$EW,LOOKUP(2,1/(ISNUMBER($A$2:$A$1048576)),ROW($A$2:$A$1048576))),EW16)</f>
        <v/>
      </c>
      <c r="EY16" s="38">
        <f>1-(EW16-EW$106)/EW$107</f>
        <v/>
      </c>
      <c r="EZ16" s="9" t="n">
        <v>21.26</v>
      </c>
      <c r="FA16" s="9" t="n">
        <v>12.87</v>
      </c>
      <c r="FB16" s="33">
        <f>PERCENTRANK(FA$2:INDEX($FA:$FA,LOOKUP(2,1/(ISNUMBER($A$2:$A$1048576)),ROW($A$2:$A$1048576))),FA16)</f>
        <v/>
      </c>
      <c r="FC16" s="39">
        <f>1-(FA16-FA$106)/FA$107</f>
        <v/>
      </c>
      <c r="FD16" s="9" t="n">
        <v>0.83</v>
      </c>
      <c r="FE16" s="9" t="n">
        <v>0.98</v>
      </c>
      <c r="FF16" s="33">
        <f>PERCENTRANK(FE$2:INDEX($FE:$FE,LOOKUP(2,1/(ISNUMBER($A$2:$A$1048576)),ROW($A$2:$A$1048576))),FE16)</f>
        <v/>
      </c>
      <c r="FG16" s="39">
        <f>1-(FE16-FE$106)/FE$107</f>
        <v/>
      </c>
      <c r="FH16" s="9" t="n">
        <v>8.6</v>
      </c>
      <c r="FI16" s="9" t="n">
        <v>3.29</v>
      </c>
      <c r="FJ16" s="9" t="n">
        <v>38.21</v>
      </c>
      <c r="FK16" s="9" t="n">
        <v>470.43</v>
      </c>
      <c r="FL16" s="33">
        <f>PERCENTRANK(FK$2:INDEX($FK:$FK,LOOKUP(2,1/(ISNUMBER($A$2:$A$1048576)),ROW($A$2:$A$1048576))),FK16)</f>
        <v/>
      </c>
      <c r="FM16" s="39">
        <f>SWA15-(FK16-FK$106)/FK$107</f>
        <v/>
      </c>
      <c r="FN16" s="9" t="n">
        <v>384.83</v>
      </c>
      <c r="FO16" s="9" t="n">
        <v>81.8</v>
      </c>
      <c r="FP16" s="9" t="n">
        <v>54.31</v>
      </c>
      <c r="FQ16" s="9" t="n">
        <v>123.43</v>
      </c>
      <c r="FR16" s="9" t="n">
        <v>21.63</v>
      </c>
      <c r="FS16" s="9" t="n">
        <v>49.14</v>
      </c>
      <c r="FT16" s="9" t="n">
        <v>52.66</v>
      </c>
      <c r="FU16" s="9" t="n">
        <v>88.73999999999999</v>
      </c>
      <c r="FV16" s="9" t="n">
        <v>40.57</v>
      </c>
      <c r="FW16" s="9" t="n">
        <v>37.8</v>
      </c>
      <c r="FX16" s="9" t="n">
        <v>10.37</v>
      </c>
      <c r="FY16" s="9" t="n">
        <v>190.14</v>
      </c>
      <c r="FZ16" s="9" t="n">
        <v>87.37</v>
      </c>
      <c r="GA16" s="9" t="n">
        <v>45.95</v>
      </c>
      <c r="GB16" s="9" t="n">
        <v>3.69</v>
      </c>
      <c r="GC16" s="9" t="n">
        <v>0.89</v>
      </c>
      <c r="GD16" s="9" t="n">
        <v>24.03</v>
      </c>
      <c r="GE16" s="9" t="n">
        <v>25.23</v>
      </c>
      <c r="GF16" s="9" t="n">
        <v>5.51</v>
      </c>
      <c r="GG16" s="9" t="n">
        <v>21.86</v>
      </c>
      <c r="GH16" s="9" t="n">
        <v>0.46</v>
      </c>
      <c r="GI16" s="9" t="n">
        <v>0.26</v>
      </c>
      <c r="GJ16" s="9" t="n">
        <v>56.25</v>
      </c>
      <c r="GK16" s="9" t="n">
        <v>24.46</v>
      </c>
      <c r="GL16" s="9" t="n">
        <v>2.37</v>
      </c>
      <c r="GM16" s="9" t="n">
        <v>9.699999999999999</v>
      </c>
      <c r="GN16" s="9" t="n">
        <v>3.6</v>
      </c>
      <c r="GO16" s="9" t="n">
        <v>0.83</v>
      </c>
      <c r="GP16" s="9" t="n">
        <v>23.02</v>
      </c>
      <c r="GQ16" s="9" t="n">
        <v>2.14</v>
      </c>
      <c r="GR16" s="9" t="n">
        <v>0.34</v>
      </c>
      <c r="GS16" s="9" t="n">
        <v>16</v>
      </c>
      <c r="GT16" s="9" t="n">
        <v>0.09</v>
      </c>
      <c r="GU16" s="9" t="n">
        <v>0.03</v>
      </c>
      <c r="GV16" s="9" t="n">
        <v>33.33</v>
      </c>
      <c r="GW16" s="9" t="n">
        <v>11.23</v>
      </c>
      <c r="GX16" s="9" t="n">
        <v>3.31</v>
      </c>
      <c r="GY16" s="9" t="n">
        <v>29.52</v>
      </c>
      <c r="GZ16" s="9" t="n">
        <v>3.2</v>
      </c>
      <c r="HA16" s="9" t="n">
        <v>4.86</v>
      </c>
      <c r="HB16" s="9" t="n">
        <v>19.17</v>
      </c>
      <c r="HC16" s="9" t="n">
        <v>2.31</v>
      </c>
      <c r="HD16" s="9" t="n">
        <v>7.11</v>
      </c>
      <c r="HE16" s="9" t="n">
        <v>10.63</v>
      </c>
      <c r="HF16" s="9" t="n">
        <v>59.23</v>
      </c>
      <c r="HG16" s="9" t="n">
        <v>20.71</v>
      </c>
      <c r="HH16" s="9" t="n">
        <v>34.97</v>
      </c>
      <c r="HI16" s="9" t="n">
        <v>1.46</v>
      </c>
      <c r="HJ16" s="9" t="n">
        <v>1.17</v>
      </c>
      <c r="HK16" s="9" t="n">
        <v>10.11</v>
      </c>
      <c r="HL16" s="9" t="n">
        <v>3.66</v>
      </c>
      <c r="HM16" s="9" t="n">
        <v>36.16</v>
      </c>
      <c r="HN16" s="9" t="n">
        <v>55.6</v>
      </c>
      <c r="HO16" s="9" t="n">
        <v>33.69</v>
      </c>
      <c r="HP16" s="9" t="n">
        <v>60.59</v>
      </c>
      <c r="HQ16" s="9" t="n">
        <v>46.66</v>
      </c>
      <c r="HR16" s="9" t="n">
        <v>21.69</v>
      </c>
      <c r="HS16" s="9" t="n">
        <v>46.48</v>
      </c>
      <c r="HT16" s="9" t="n">
        <v>2</v>
      </c>
      <c r="HU16" s="9" t="n">
        <v>1.09</v>
      </c>
      <c r="HV16" s="9" t="n">
        <v>54.29</v>
      </c>
      <c r="HW16" s="9" t="n">
        <v>39.26</v>
      </c>
      <c r="HX16" s="9" t="n">
        <v>14.6</v>
      </c>
      <c r="HY16" s="9" t="n">
        <v>12.94</v>
      </c>
      <c r="HZ16" s="9" t="n">
        <v>2.69</v>
      </c>
      <c r="IA16" s="9" t="n">
        <v>0.06</v>
      </c>
      <c r="IB16" s="9" t="n">
        <v>161.2</v>
      </c>
      <c r="IC16" s="9" t="n">
        <v>107.66</v>
      </c>
      <c r="ID16" s="9" t="n">
        <v>66.78</v>
      </c>
      <c r="IE16" s="9" t="n">
        <v>67.94</v>
      </c>
      <c r="IF16" s="9" t="n">
        <v>63.74</v>
      </c>
      <c r="IG16" s="9" t="n">
        <v>93.81999999999999</v>
      </c>
      <c r="IH16" s="9" t="n">
        <v>184.26</v>
      </c>
      <c r="II16" s="9" t="n">
        <v>167.8</v>
      </c>
      <c r="IJ16" s="9" t="n">
        <v>91.06999999999999</v>
      </c>
      <c r="IK16" s="9" t="n">
        <v>59.23</v>
      </c>
      <c r="IL16" s="9" t="n">
        <v>29.17</v>
      </c>
      <c r="IM16" s="9" t="n">
        <v>49.25</v>
      </c>
      <c r="IN16" s="9" t="n">
        <v>59.37</v>
      </c>
      <c r="IO16" s="9" t="n">
        <v>36.03</v>
      </c>
      <c r="IP16" s="9" t="n">
        <v>60.68</v>
      </c>
      <c r="IQ16" s="9" t="n">
        <v>77.29000000000001</v>
      </c>
      <c r="IR16" s="9" t="n">
        <v>51.8</v>
      </c>
      <c r="IS16" s="9" t="n">
        <v>67.02</v>
      </c>
      <c r="IT16" s="33">
        <f>PERCENTRANK(IS$2:INDEX($IS:$IS,LOOKUP(2,1/(ISNUMBER($A$2:$A$1048576)),ROW($A$2:$A$1048576))),IS16)</f>
        <v/>
      </c>
      <c r="IU16" s="39">
        <f>1-(IS16-IS$106)/IS$107</f>
        <v/>
      </c>
      <c r="IV16" s="9" t="n">
        <v>1.09</v>
      </c>
      <c r="IW16" s="9" t="n">
        <v>0.4</v>
      </c>
      <c r="IX16" s="9" t="n">
        <v>36.84</v>
      </c>
      <c r="IY16" s="9" t="n">
        <v>23.83</v>
      </c>
      <c r="IZ16" s="9" t="n">
        <v>20.97</v>
      </c>
      <c r="JA16" s="9" t="n">
        <v>88.01000000000001</v>
      </c>
      <c r="JB16" s="9" t="n">
        <v>8.460000000000001</v>
      </c>
      <c r="JC16" s="9" t="n">
        <v>16.49</v>
      </c>
      <c r="JD16" s="9" t="n">
        <v>4.42</v>
      </c>
      <c r="JE16" s="9" t="n">
        <v>13.52</v>
      </c>
      <c r="JF16" s="9" t="n">
        <v>18.15</v>
      </c>
      <c r="JG16" s="9" t="n">
        <v>20.87</v>
      </c>
      <c r="JH16" s="9" t="n">
        <v>11.45</v>
      </c>
    </row>
    <row r="17">
      <c r="A17" s="12" t="n">
        <v>2023</v>
      </c>
      <c r="B17" s="31" t="inlineStr">
        <is>
          <t>Pittsburgh Riverhounds</t>
        </is>
      </c>
      <c r="C17" s="12" t="n">
        <v>67</v>
      </c>
      <c r="D17" s="5">
        <f>(C17-AVERAGE($C$2:INDEX($C:$C,LOOKUP(2,1/(ISNUMBER($A$2:$A$1048576)),ROW($A$2:$A$1048576)))))/_xlfn.STDEV.P($C$2:INDEX($C:$C,LOOKUP(2,1/(ISNUMBER($A$2:$A$1048576)),ROW($A$2:$A$1048576))))</f>
        <v/>
      </c>
      <c r="E17" s="12" t="n">
        <v>1</v>
      </c>
      <c r="F17" s="6">
        <f>-E17</f>
        <v/>
      </c>
      <c r="G17" s="7">
        <f>(F17-AVERAGE($F$2:INDEX($F:$F,LOOKUP(2,1/(ISNUMBER($A$2:$A$1048576)),ROW($A$2:$A$1048576)))))/_xlfn.STDEV.P($F$2:INDEX($F:$F,LOOKUP(2,1/(ISNUMBER($A$2:$A$1048576)),ROW($A$2:$A$1048576))))</f>
        <v/>
      </c>
      <c r="H17" s="32">
        <f>sum(0.5*D17)+(0.5*G17)</f>
        <v/>
      </c>
      <c r="I17" s="12" t="inlineStr">
        <is>
          <t>East</t>
        </is>
      </c>
      <c r="J17" s="10">
        <f>sum(L17*L$105)+(N17*N$105)+(P17*P$105)+(T17*R$105)</f>
        <v/>
      </c>
      <c r="K17" s="33">
        <f>PERCENTRANK(J$2:INDEX($J:$J,LOOKUP(2,1/(ISNUMBER($A$2:$A$1048576)),ROW($A$2:$A$1048576))),J17)</f>
        <v/>
      </c>
      <c r="L17" s="10">
        <f>sum(AA17*0.66)+(AD17*0.55)+(AG17*0.59)+(CG17*0.51)+(CL17*0.6)+(EY17*0.31)</f>
        <v/>
      </c>
      <c r="M17" s="33">
        <f>PERCENTRANK(L$2:INDEX($L:$L,LOOKUP(2,1/(ISNUMBER($A$2:$A$1048576)),ROW($A$2:$A$1048576))),L17)</f>
        <v/>
      </c>
      <c r="N17" s="10">
        <f>sum(CT17*0.57)+(CW17*0.71)+(DJ17*0.08)+(FC17*0.33)+(FG17*0.69)+(FM17*0.26)+(IU17*0.54)+(AU17*0.4)</f>
        <v/>
      </c>
      <c r="O17" s="33">
        <f>PERCENTRANK(N$2:INDEX($N:$N,LOOKUP(2,1/(ISNUMBER($A$2:$A$1048576)),ROW($A$2:$A$1048576))),N17)</f>
        <v/>
      </c>
      <c r="P17" s="10">
        <f>sum(BG17*0.51)+(CD17*0.51)+(DR17*0.11)+(EF17*0.42)+(EK17*0.44)+(W17*0.6)</f>
        <v/>
      </c>
      <c r="Q17" s="33">
        <f>PERCENTRANK(P$2:INDEX($P:$P,LOOKUP(2,1/(ISNUMBER($A$2:$A$1048576)),ROW($A$2:$A$1048576))),P17)</f>
        <v/>
      </c>
      <c r="R17" s="10">
        <f>sum(Y17-FE17)</f>
        <v/>
      </c>
      <c r="S17" s="33">
        <f>PERCENTRANK(R$2:INDEX($R:$R,LOOKUP(2,1/(ISNUMBER($A$2:$A$1048576)),ROW($A$2:$A$1048576))),R17)</f>
        <v/>
      </c>
      <c r="T17" s="34">
        <f>sum(R17-R$106)/R$107</f>
        <v/>
      </c>
      <c r="U17" s="35">
        <f>sum(Y17/AI17)*100</f>
        <v/>
      </c>
      <c r="V17" s="33">
        <f>PERCENTRANK(U$2:INDEX($U:$U,LOOKUP(2,1/(ISNUMBER($A$2:$A$1048576)),ROW($A$2:$A$1048576))),U17)</f>
        <v/>
      </c>
      <c r="W17" s="36">
        <f>sum(U17-U$106)/U$107</f>
        <v/>
      </c>
      <c r="X17" s="9" t="n">
        <v>1.17</v>
      </c>
      <c r="Y17" s="9" t="n">
        <v>1.36</v>
      </c>
      <c r="Z17" s="33">
        <f>PERCENTRANK(Y$2:INDEX($Y:$Y,LOOKUP(2,1/(ISNUMBER($A$2:$A$1048576)),ROW($A$2:$A$1048576))),Y17)</f>
        <v/>
      </c>
      <c r="AA17" s="37">
        <f>sum(Y17-Y$106)/Y$107</f>
        <v/>
      </c>
      <c r="AB17" s="9" t="n">
        <v>10.11</v>
      </c>
      <c r="AC17" s="33">
        <f>PERCENTRANK(AB$2:INDEX($AB:$AB,LOOKUP(2,1/(ISNUMBER($A$2:$A$1048576)),ROW($A$2:$A$1048576))),AB17)</f>
        <v/>
      </c>
      <c r="AD17" s="38">
        <f>sum(AB17-AB$106)/AB$107</f>
        <v/>
      </c>
      <c r="AE17" s="9" t="n">
        <v>3.49</v>
      </c>
      <c r="AF17" s="33">
        <f>PERCENTRANK(AE$2:INDEX($AE:$AE,LOOKUP(2,1/(ISNUMBER($A$2:$A$1048576)),ROW($A$2:$A$1048576))),AE17)</f>
        <v/>
      </c>
      <c r="AG17" s="38">
        <f>sum(AE17-AE$106)/AE$107</f>
        <v/>
      </c>
      <c r="AH17" s="9" t="n">
        <v>34.46</v>
      </c>
      <c r="AI17" s="9" t="n">
        <v>378.6</v>
      </c>
      <c r="AJ17" s="9" t="n">
        <v>294.03</v>
      </c>
      <c r="AK17" s="9" t="n">
        <v>77.66</v>
      </c>
      <c r="AL17" s="9" t="n">
        <v>45.69</v>
      </c>
      <c r="AM17" s="9" t="n">
        <v>118.97</v>
      </c>
      <c r="AN17" s="9" t="n">
        <v>17.94</v>
      </c>
      <c r="AO17" s="9" t="n">
        <v>44.94</v>
      </c>
      <c r="AP17" s="9" t="n">
        <v>56.09</v>
      </c>
      <c r="AQ17" s="9" t="n">
        <v>89.48999999999999</v>
      </c>
      <c r="AR17" s="9" t="n">
        <v>37.23</v>
      </c>
      <c r="AS17" s="9" t="n">
        <v>38.94</v>
      </c>
      <c r="AT17" s="33">
        <f>PERCENTRANK(AS$2:INDEX($AS:$AS,LOOKUP(2,1/(ISNUMBER($A$2:$A$1048576)),ROW($A$2:$A$1048576))),AS17)</f>
        <v/>
      </c>
      <c r="AU17" s="39">
        <f>SUM(AS17-AS$106)/AS$107</f>
        <v/>
      </c>
      <c r="AV17" s="9" t="n">
        <v>13.31</v>
      </c>
      <c r="AW17" s="33">
        <f>PERCENTRANK(AV$2:INDEX($AV:$AV,LOOKUP(2,1/(ISNUMBER($A$2:$A$1048576)),ROW($A$2:$A$1048576))),AV17)</f>
        <v/>
      </c>
      <c r="AX17" s="9" t="n">
        <v>190.14</v>
      </c>
      <c r="AY17" s="9" t="n">
        <v>94.66</v>
      </c>
      <c r="AZ17" s="9" t="n">
        <v>49.78</v>
      </c>
      <c r="BA17" s="9" t="n">
        <v>3.49</v>
      </c>
      <c r="BB17" s="9" t="n">
        <v>1.11</v>
      </c>
      <c r="BC17" s="9" t="n">
        <v>31.97</v>
      </c>
      <c r="BD17" s="9" t="n">
        <v>28.11</v>
      </c>
      <c r="BE17" s="9" t="n">
        <v>6.26</v>
      </c>
      <c r="BF17" s="33">
        <f>PERCENTRANK(BE$2:INDEX($BE:$BE,LOOKUP(2,1/(ISNUMBER($A$2:$A$1048576)),ROW($A$2:$A$1048576))),BE17)</f>
        <v/>
      </c>
      <c r="BG17" s="40">
        <f>sum(BE17-BE$106)/BE$107</f>
        <v/>
      </c>
      <c r="BH17" s="9" t="n">
        <v>22.26</v>
      </c>
      <c r="BI17" s="9" t="n">
        <v>0.74</v>
      </c>
      <c r="BJ17" s="9" t="n">
        <v>0.29</v>
      </c>
      <c r="BK17" s="9" t="n">
        <v>38.46</v>
      </c>
      <c r="BL17" s="9" t="n">
        <v>24.74</v>
      </c>
      <c r="BM17" s="9" t="n">
        <v>3.03</v>
      </c>
      <c r="BN17" s="9" t="n">
        <v>12.24</v>
      </c>
      <c r="BO17" s="9" t="n">
        <v>4.86</v>
      </c>
      <c r="BP17" s="9" t="n">
        <v>1.14</v>
      </c>
      <c r="BQ17" s="9" t="n">
        <v>23.53</v>
      </c>
      <c r="BR17" s="9" t="n">
        <v>1.89</v>
      </c>
      <c r="BS17" s="9" t="n">
        <v>0.66</v>
      </c>
      <c r="BT17" s="9" t="n">
        <v>34.85</v>
      </c>
      <c r="BU17" s="9" t="n">
        <v>0.2</v>
      </c>
      <c r="BV17" s="9" t="n">
        <v>0.14</v>
      </c>
      <c r="BW17" s="9" t="n">
        <v>71.43000000000001</v>
      </c>
      <c r="BX17" s="9" t="n">
        <v>15.43</v>
      </c>
      <c r="BY17" s="9" t="n">
        <v>5.51</v>
      </c>
      <c r="BZ17" s="9" t="n">
        <v>35.74</v>
      </c>
      <c r="CA17" s="9" t="n">
        <v>5.66</v>
      </c>
      <c r="CB17" s="9" t="n">
        <v>8.31</v>
      </c>
      <c r="CC17" s="33">
        <f>PERCENTRANK(CD$2:INDEX($CD:$CD,LOOKUP(2,1/(ISNUMBER($A$2:$A$1048576)),ROW($A$2:$A$1048576))),CD17)</f>
        <v/>
      </c>
      <c r="CD17" s="40">
        <f>sum(CB17-CB$106)/CB$107</f>
        <v/>
      </c>
      <c r="CE17" s="9" t="n">
        <v>26.34</v>
      </c>
      <c r="CF17" s="33">
        <f>PERCENTRANK(CE$2:INDEX($CE:$CE,LOOKUP(2,1/(ISNUMBER($A$2:$A$1048576)),ROW($A$2:$A$1048576))),CE17)</f>
        <v/>
      </c>
      <c r="CG17" s="38">
        <f>sum(CE17-CE$106)/CE$107</f>
        <v/>
      </c>
      <c r="CH17" s="9" t="n">
        <v>3.46</v>
      </c>
      <c r="CI17" s="9" t="n">
        <v>8.970000000000001</v>
      </c>
      <c r="CJ17" s="9" t="n">
        <v>18.8</v>
      </c>
      <c r="CK17" s="33">
        <f>PERCENTRANK(CJ$2:INDEX($CJ:$CJ,LOOKUP(2,1/(ISNUMBER($A$2:$A$1048576)),ROW($A$2:$A$1048576))),CJ17)</f>
        <v/>
      </c>
      <c r="CL17" s="38">
        <f>sum(CJ17-CJ$106)/CJ$107</f>
        <v/>
      </c>
      <c r="CM17" s="9" t="n">
        <v>55.6</v>
      </c>
      <c r="CN17" s="9" t="n">
        <v>21.91</v>
      </c>
      <c r="CO17" s="9" t="n">
        <v>39.41</v>
      </c>
      <c r="CP17" s="9" t="n">
        <v>1.86</v>
      </c>
      <c r="CQ17" s="9" t="n">
        <v>0.83</v>
      </c>
      <c r="CR17" s="9" t="n">
        <v>8.6</v>
      </c>
      <c r="CS17" s="33">
        <f>PERCENTRANK(CR$2:INDEX($CR:$CR,LOOKUP(2,1/(ISNUMBER($A$2:$A$1048576)),ROW($A$2:$A$1048576))),CR17)</f>
        <v/>
      </c>
      <c r="CT17" s="39">
        <f>1-(CR17-CR$106)/CR$107</f>
        <v/>
      </c>
      <c r="CU17" s="9" t="n">
        <v>3.37</v>
      </c>
      <c r="CV17" s="33">
        <f>PERCENTRANK(CU$2:INDEX($CU:$CU,LOOKUP(2,1/(ISNUMBER($A$2:$A$1048576)),ROW($A$2:$A$1048576))),CU17)</f>
        <v/>
      </c>
      <c r="CW17" s="39">
        <f>1-(CU17-CU$106)/CU$107</f>
        <v/>
      </c>
      <c r="CX17" s="9" t="n">
        <v>39.2</v>
      </c>
      <c r="CY17" s="9" t="n">
        <v>59.23</v>
      </c>
      <c r="CZ17" s="9" t="n">
        <v>38.51</v>
      </c>
      <c r="DA17" s="9" t="n">
        <v>65.03</v>
      </c>
      <c r="DB17" s="9" t="n">
        <v>46.66</v>
      </c>
      <c r="DC17" s="9" t="n">
        <v>21.34</v>
      </c>
      <c r="DD17" s="9" t="n">
        <v>45.74</v>
      </c>
      <c r="DE17" s="9" t="n">
        <v>3</v>
      </c>
      <c r="DF17" s="9" t="n">
        <v>1.31</v>
      </c>
      <c r="DG17" s="9" t="n">
        <v>43.81</v>
      </c>
      <c r="DH17" s="9" t="n">
        <v>38.89</v>
      </c>
      <c r="DI17" s="33">
        <f>PERCENTRANK(DH$2:INDEX($DH:$DH,LOOKUP(2,1/(ISNUMBER($A$2:$A$1048576)),ROW($A$2:$A$1048576))),DH17)</f>
        <v/>
      </c>
      <c r="DJ17" s="39">
        <f>SUM(DH17-DH$106)/DH$107</f>
        <v/>
      </c>
      <c r="DK17" s="9" t="n">
        <v>15.66</v>
      </c>
      <c r="DL17" s="9" t="n">
        <v>12</v>
      </c>
      <c r="DM17" s="9" t="n">
        <v>1.83</v>
      </c>
      <c r="DN17" s="9" t="n">
        <v>0.09</v>
      </c>
      <c r="DO17" s="9" t="n">
        <v>139.63</v>
      </c>
      <c r="DP17" s="9" t="n">
        <v>88.8</v>
      </c>
      <c r="DQ17" s="33">
        <f>PERCENTRANK(DP$2:INDEX($DP:$DP,LOOKUP(2,1/(ISNUMBER($A$2:$A$1048576)),ROW($A$2:$A$1048576))),DP17)</f>
        <v/>
      </c>
      <c r="DR17" s="40">
        <f>sum(DP17-DP$106)/DP$107</f>
        <v/>
      </c>
      <c r="DS17" s="9" t="n">
        <v>63.6</v>
      </c>
      <c r="DT17" s="9" t="n">
        <v>53.2</v>
      </c>
      <c r="DU17" s="9" t="n">
        <v>49.71</v>
      </c>
      <c r="DV17" s="9" t="n">
        <v>93.45</v>
      </c>
      <c r="DW17" s="9" t="n">
        <v>136.97</v>
      </c>
      <c r="DX17" s="9" t="n">
        <v>118.2</v>
      </c>
      <c r="DY17" s="9" t="n">
        <v>86.3</v>
      </c>
      <c r="DZ17" s="9" t="n">
        <v>57.26</v>
      </c>
      <c r="EA17" s="9" t="n">
        <v>27.66</v>
      </c>
      <c r="EB17" s="9" t="n">
        <v>48.3</v>
      </c>
      <c r="EC17" s="9" t="n">
        <v>56.46</v>
      </c>
      <c r="ED17" s="9" t="n">
        <v>32.86</v>
      </c>
      <c r="EE17" s="33">
        <f>PERCENTRANK(ED$2:INDEX($ED:$ED,LOOKUP(2,1/(ISNUMBER($A$2:$A$1048576)),ROW($A$2:$A$1048576))),ED17)</f>
        <v/>
      </c>
      <c r="EF17" s="40">
        <f>sum(ED17-ED$106)/ED$107</f>
        <v/>
      </c>
      <c r="EG17" s="9" t="n">
        <v>58.2</v>
      </c>
      <c r="EH17" s="9" t="n">
        <v>75.48999999999999</v>
      </c>
      <c r="EI17" s="9" t="n">
        <v>53.26</v>
      </c>
      <c r="EJ17" s="33">
        <f>PERCENTRANK(EI$2:INDEX($EI:$EI,LOOKUP(2,1/(ISNUMBER($A$2:$A$1048576)),ROW($A$2:$A$1048576))),EI17)</f>
        <v/>
      </c>
      <c r="EK17" s="40">
        <f>sum(EI17-EI$106)/EI$107</f>
        <v/>
      </c>
      <c r="EL17" s="9" t="n">
        <v>70.55</v>
      </c>
      <c r="EM17" s="9" t="n">
        <v>1.71</v>
      </c>
      <c r="EN17" s="9" t="n">
        <v>0.66</v>
      </c>
      <c r="EO17" s="9" t="n">
        <v>38.33</v>
      </c>
      <c r="EP17" s="9" t="n">
        <v>22.37</v>
      </c>
      <c r="EQ17" s="9" t="n">
        <v>19.66</v>
      </c>
      <c r="ER17" s="9" t="n">
        <v>87.87</v>
      </c>
      <c r="ES17" s="9" t="n">
        <v>6.97</v>
      </c>
      <c r="ET17" s="9" t="n">
        <v>15.84</v>
      </c>
      <c r="EU17" s="9" t="n">
        <v>3.55</v>
      </c>
      <c r="EV17" s="9" t="n">
        <v>15.87</v>
      </c>
      <c r="EW17" s="9" t="n">
        <v>17.36</v>
      </c>
      <c r="EX17" s="33">
        <f>PERCENTRANK(EW$2:INDEX($EW:$EW,LOOKUP(2,1/(ISNUMBER($A$2:$A$1048576)),ROW($A$2:$A$1048576))),EW17)</f>
        <v/>
      </c>
      <c r="EY17" s="38">
        <f>1-(EW17-EW$106)/EW$107</f>
        <v/>
      </c>
      <c r="EZ17" s="9" t="n">
        <v>21.26</v>
      </c>
      <c r="FA17" s="9" t="n">
        <v>12.87</v>
      </c>
      <c r="FB17" s="33">
        <f>PERCENTRANK(FA$2:INDEX($FA:$FA,LOOKUP(2,1/(ISNUMBER($A$2:$A$1048576)),ROW($A$2:$A$1048576))),FA17)</f>
        <v/>
      </c>
      <c r="FC17" s="39">
        <f>1-(FA17-FA$106)/FA$107</f>
        <v/>
      </c>
      <c r="FD17" s="9" t="n">
        <v>0.83</v>
      </c>
      <c r="FE17" s="9" t="n">
        <v>0.98</v>
      </c>
      <c r="FF17" s="33">
        <f>PERCENTRANK(FE$2:INDEX($FE:$FE,LOOKUP(2,1/(ISNUMBER($A$2:$A$1048576)),ROW($A$2:$A$1048576))),FE17)</f>
        <v/>
      </c>
      <c r="FG17" s="39">
        <f>1-(FE17-FE$106)/FE$107</f>
        <v/>
      </c>
      <c r="FH17" s="9" t="n">
        <v>8.6</v>
      </c>
      <c r="FI17" s="9" t="n">
        <v>3.29</v>
      </c>
      <c r="FJ17" s="9" t="n">
        <v>38.21</v>
      </c>
      <c r="FK17" s="9" t="n">
        <v>470.43</v>
      </c>
      <c r="FL17" s="33">
        <f>PERCENTRANK(FK$2:INDEX($FK:$FK,LOOKUP(2,1/(ISNUMBER($A$2:$A$1048576)),ROW($A$2:$A$1048576))),FK17)</f>
        <v/>
      </c>
      <c r="FM17" s="39">
        <f>SWA16-(FK17-FK$106)/FK$107</f>
        <v/>
      </c>
      <c r="FN17" s="9" t="n">
        <v>384.83</v>
      </c>
      <c r="FO17" s="9" t="n">
        <v>81.8</v>
      </c>
      <c r="FP17" s="9" t="n">
        <v>54.31</v>
      </c>
      <c r="FQ17" s="9" t="n">
        <v>123.43</v>
      </c>
      <c r="FR17" s="9" t="n">
        <v>21.63</v>
      </c>
      <c r="FS17" s="9" t="n">
        <v>49.14</v>
      </c>
      <c r="FT17" s="9" t="n">
        <v>52.66</v>
      </c>
      <c r="FU17" s="9" t="n">
        <v>88.73999999999999</v>
      </c>
      <c r="FV17" s="9" t="n">
        <v>40.57</v>
      </c>
      <c r="FW17" s="9" t="n">
        <v>37.8</v>
      </c>
      <c r="FX17" s="9" t="n">
        <v>10.37</v>
      </c>
      <c r="FY17" s="9" t="n">
        <v>190.14</v>
      </c>
      <c r="FZ17" s="9" t="n">
        <v>87.37</v>
      </c>
      <c r="GA17" s="9" t="n">
        <v>45.95</v>
      </c>
      <c r="GB17" s="9" t="n">
        <v>3.69</v>
      </c>
      <c r="GC17" s="9" t="n">
        <v>0.89</v>
      </c>
      <c r="GD17" s="9" t="n">
        <v>24.03</v>
      </c>
      <c r="GE17" s="9" t="n">
        <v>25.23</v>
      </c>
      <c r="GF17" s="9" t="n">
        <v>5.51</v>
      </c>
      <c r="GG17" s="9" t="n">
        <v>21.86</v>
      </c>
      <c r="GH17" s="9" t="n">
        <v>0.46</v>
      </c>
      <c r="GI17" s="9" t="n">
        <v>0.26</v>
      </c>
      <c r="GJ17" s="9" t="n">
        <v>56.25</v>
      </c>
      <c r="GK17" s="9" t="n">
        <v>24.46</v>
      </c>
      <c r="GL17" s="9" t="n">
        <v>2.37</v>
      </c>
      <c r="GM17" s="9" t="n">
        <v>9.699999999999999</v>
      </c>
      <c r="GN17" s="9" t="n">
        <v>3.6</v>
      </c>
      <c r="GO17" s="9" t="n">
        <v>0.83</v>
      </c>
      <c r="GP17" s="9" t="n">
        <v>23.02</v>
      </c>
      <c r="GQ17" s="9" t="n">
        <v>2.14</v>
      </c>
      <c r="GR17" s="9" t="n">
        <v>0.34</v>
      </c>
      <c r="GS17" s="9" t="n">
        <v>16</v>
      </c>
      <c r="GT17" s="9" t="n">
        <v>0.09</v>
      </c>
      <c r="GU17" s="9" t="n">
        <v>0.03</v>
      </c>
      <c r="GV17" s="9" t="n">
        <v>33.33</v>
      </c>
      <c r="GW17" s="9" t="n">
        <v>11.23</v>
      </c>
      <c r="GX17" s="9" t="n">
        <v>3.31</v>
      </c>
      <c r="GY17" s="9" t="n">
        <v>29.52</v>
      </c>
      <c r="GZ17" s="9" t="n">
        <v>3.2</v>
      </c>
      <c r="HA17" s="9" t="n">
        <v>4.86</v>
      </c>
      <c r="HB17" s="9" t="n">
        <v>19.17</v>
      </c>
      <c r="HC17" s="9" t="n">
        <v>2.31</v>
      </c>
      <c r="HD17" s="9" t="n">
        <v>7.11</v>
      </c>
      <c r="HE17" s="9" t="n">
        <v>10.63</v>
      </c>
      <c r="HF17" s="9" t="n">
        <v>59.23</v>
      </c>
      <c r="HG17" s="9" t="n">
        <v>20.71</v>
      </c>
      <c r="HH17" s="9" t="n">
        <v>34.97</v>
      </c>
      <c r="HI17" s="9" t="n">
        <v>1.46</v>
      </c>
      <c r="HJ17" s="9" t="n">
        <v>1.17</v>
      </c>
      <c r="HK17" s="9" t="n">
        <v>10.11</v>
      </c>
      <c r="HL17" s="9" t="n">
        <v>3.66</v>
      </c>
      <c r="HM17" s="9" t="n">
        <v>36.16</v>
      </c>
      <c r="HN17" s="9" t="n">
        <v>55.6</v>
      </c>
      <c r="HO17" s="9" t="n">
        <v>33.69</v>
      </c>
      <c r="HP17" s="9" t="n">
        <v>60.59</v>
      </c>
      <c r="HQ17" s="9" t="n">
        <v>46.66</v>
      </c>
      <c r="HR17" s="9" t="n">
        <v>21.69</v>
      </c>
      <c r="HS17" s="9" t="n">
        <v>46.48</v>
      </c>
      <c r="HT17" s="9" t="n">
        <v>2</v>
      </c>
      <c r="HU17" s="9" t="n">
        <v>1.09</v>
      </c>
      <c r="HV17" s="9" t="n">
        <v>54.29</v>
      </c>
      <c r="HW17" s="9" t="n">
        <v>39.26</v>
      </c>
      <c r="HX17" s="9" t="n">
        <v>14.6</v>
      </c>
      <c r="HY17" s="9" t="n">
        <v>12.94</v>
      </c>
      <c r="HZ17" s="9" t="n">
        <v>2.69</v>
      </c>
      <c r="IA17" s="9" t="n">
        <v>0.06</v>
      </c>
      <c r="IB17" s="9" t="n">
        <v>161.2</v>
      </c>
      <c r="IC17" s="9" t="n">
        <v>107.66</v>
      </c>
      <c r="ID17" s="9" t="n">
        <v>66.78</v>
      </c>
      <c r="IE17" s="9" t="n">
        <v>67.94</v>
      </c>
      <c r="IF17" s="9" t="n">
        <v>63.74</v>
      </c>
      <c r="IG17" s="9" t="n">
        <v>93.81999999999999</v>
      </c>
      <c r="IH17" s="9" t="n">
        <v>184.26</v>
      </c>
      <c r="II17" s="9" t="n">
        <v>167.8</v>
      </c>
      <c r="IJ17" s="9" t="n">
        <v>91.06999999999999</v>
      </c>
      <c r="IK17" s="9" t="n">
        <v>59.23</v>
      </c>
      <c r="IL17" s="9" t="n">
        <v>29.17</v>
      </c>
      <c r="IM17" s="9" t="n">
        <v>49.25</v>
      </c>
      <c r="IN17" s="9" t="n">
        <v>59.37</v>
      </c>
      <c r="IO17" s="9" t="n">
        <v>36.03</v>
      </c>
      <c r="IP17" s="9" t="n">
        <v>60.68</v>
      </c>
      <c r="IQ17" s="9" t="n">
        <v>77.29000000000001</v>
      </c>
      <c r="IR17" s="9" t="n">
        <v>51.8</v>
      </c>
      <c r="IS17" s="9" t="n">
        <v>67.02</v>
      </c>
      <c r="IT17" s="33">
        <f>PERCENTRANK(IS$2:INDEX($IS:$IS,LOOKUP(2,1/(ISNUMBER($A$2:$A$1048576)),ROW($A$2:$A$1048576))),IS17)</f>
        <v/>
      </c>
      <c r="IU17" s="39">
        <f>1-(IS17-IS$106)/IS$107</f>
        <v/>
      </c>
      <c r="IV17" s="9" t="n">
        <v>1.09</v>
      </c>
      <c r="IW17" s="9" t="n">
        <v>0.4</v>
      </c>
      <c r="IX17" s="9" t="n">
        <v>36.84</v>
      </c>
      <c r="IY17" s="9" t="n">
        <v>23.83</v>
      </c>
      <c r="IZ17" s="9" t="n">
        <v>20.97</v>
      </c>
      <c r="JA17" s="9" t="n">
        <v>88.01000000000001</v>
      </c>
      <c r="JB17" s="9" t="n">
        <v>8.460000000000001</v>
      </c>
      <c r="JC17" s="9" t="n">
        <v>16.49</v>
      </c>
      <c r="JD17" s="9" t="n">
        <v>4.42</v>
      </c>
      <c r="JE17" s="9" t="n">
        <v>13.52</v>
      </c>
      <c r="JF17" s="9" t="n">
        <v>18.15</v>
      </c>
      <c r="JG17" s="9" t="n">
        <v>20.87</v>
      </c>
      <c r="JH17" s="9" t="n">
        <v>11.45</v>
      </c>
    </row>
    <row r="18">
      <c r="A18" s="12" t="n">
        <v>2022</v>
      </c>
      <c r="B18" s="31" t="inlineStr">
        <is>
          <t>Detroit City</t>
        </is>
      </c>
      <c r="C18" s="12" t="n">
        <v>54</v>
      </c>
      <c r="D18" s="5">
        <f>(C18-AVERAGE($C$2:INDEX($C:$C,LOOKUP(2,1/(ISNUMBER($A$2:$A$1048576)),ROW($A$2:$A$1048576)))))/_xlfn.STDEV.P($C$2:INDEX($C:$C,LOOKUP(2,1/(ISNUMBER($A$2:$A$1048576)),ROW($A$2:$A$1048576))))</f>
        <v/>
      </c>
      <c r="E18" s="12" t="n">
        <v>7</v>
      </c>
      <c r="F18" s="6">
        <f>-E18</f>
        <v/>
      </c>
      <c r="G18" s="7">
        <f>(F18-AVERAGE($F$2:INDEX($F:$F,LOOKUP(2,1/(ISNUMBER($A$2:$A$1048576)),ROW($A$2:$A$1048576)))))/_xlfn.STDEV.P($F$2:INDEX($F:$F,LOOKUP(2,1/(ISNUMBER($A$2:$A$1048576)),ROW($A$2:$A$1048576))))</f>
        <v/>
      </c>
      <c r="H18" s="32">
        <f>sum(0.5*D18)+(0.5*G18)</f>
        <v/>
      </c>
      <c r="I18" s="12" t="inlineStr">
        <is>
          <t>East</t>
        </is>
      </c>
      <c r="J18" s="10">
        <f>sum(L18*L$105)+(N18*N$105)+(P18*P$105)+(T18*R$105)</f>
        <v/>
      </c>
      <c r="K18" s="33">
        <f>PERCENTRANK(J$2:INDEX($J:$J,LOOKUP(2,1/(ISNUMBER($A$2:$A$1048576)),ROW($A$2:$A$1048576))),J18)</f>
        <v/>
      </c>
      <c r="L18" s="10">
        <f>sum(AA18*0.66)+(AD18*0.55)+(AG18*0.59)+(CG18*0.51)+(CL18*0.6)+(EY18*0.31)</f>
        <v/>
      </c>
      <c r="M18" s="33">
        <f>PERCENTRANK(L$2:INDEX($L:$L,LOOKUP(2,1/(ISNUMBER($A$2:$A$1048576)),ROW($A$2:$A$1048576))),L18)</f>
        <v/>
      </c>
      <c r="N18" s="10">
        <f>sum(CT18*0.57)+(CW18*0.71)+(DJ18*0.08)+(FC18*0.33)+(FG18*0.69)+(FM18*0.26)+(IU18*0.54)+(AU18*0.4)</f>
        <v/>
      </c>
      <c r="O18" s="33">
        <f>PERCENTRANK(N$2:INDEX($N:$N,LOOKUP(2,1/(ISNUMBER($A$2:$A$1048576)),ROW($A$2:$A$1048576))),N18)</f>
        <v/>
      </c>
      <c r="P18" s="10">
        <f>sum(BG18*0.51)+(CD18*0.51)+(DR18*0.11)+(EF18*0.42)+(EK18*0.44)+(W18*0.6)</f>
        <v/>
      </c>
      <c r="Q18" s="33">
        <f>PERCENTRANK(P$2:INDEX($P:$P,LOOKUP(2,1/(ISNUMBER($A$2:$A$1048576)),ROW($A$2:$A$1048576))),P18)</f>
        <v/>
      </c>
      <c r="R18" s="10">
        <f>sum(Y18-FE18)</f>
        <v/>
      </c>
      <c r="S18" s="33">
        <f>PERCENTRANK(R$2:INDEX($R:$R,LOOKUP(2,1/(ISNUMBER($A$2:$A$1048576)),ROW($A$2:$A$1048576))),R18)</f>
        <v/>
      </c>
      <c r="T18" s="34">
        <f>sum(R18-R$106)/R$107</f>
        <v/>
      </c>
      <c r="U18" s="35">
        <f>sum(Y18/AI18)*100</f>
        <v/>
      </c>
      <c r="V18" s="33">
        <f>PERCENTRANK(U$2:INDEX($U:$U,LOOKUP(2,1/(ISNUMBER($A$2:$A$1048576)),ROW($A$2:$A$1048576))),U18)</f>
        <v/>
      </c>
      <c r="W18" s="36">
        <f>sum(U18-U$106)/U$107</f>
        <v/>
      </c>
      <c r="X18" s="9" t="n">
        <v>1.29</v>
      </c>
      <c r="Y18" s="9" t="n">
        <v>1.24</v>
      </c>
      <c r="Z18" s="33">
        <f>PERCENTRANK(Y$2:INDEX($Y:$Y,LOOKUP(2,1/(ISNUMBER($A$2:$A$1048576)),ROW($A$2:$A$1048576))),Y18)</f>
        <v/>
      </c>
      <c r="AA18" s="37">
        <f>sum(Y18-Y$106)/Y$107</f>
        <v/>
      </c>
      <c r="AB18" s="9" t="n">
        <v>9.91</v>
      </c>
      <c r="AC18" s="33">
        <f>PERCENTRANK(AB$2:INDEX($AB:$AB,LOOKUP(2,1/(ISNUMBER($A$2:$A$1048576)),ROW($A$2:$A$1048576))),AB18)</f>
        <v/>
      </c>
      <c r="AD18" s="38">
        <f>sum(AB18-AB$106)/AB$107</f>
        <v/>
      </c>
      <c r="AE18" s="9" t="n">
        <v>3.26</v>
      </c>
      <c r="AF18" s="33">
        <f>PERCENTRANK(AE$2:INDEX($AE:$AE,LOOKUP(2,1/(ISNUMBER($A$2:$A$1048576)),ROW($A$2:$A$1048576))),AE18)</f>
        <v/>
      </c>
      <c r="AG18" s="38">
        <f>sum(AE18-AE$106)/AE$107</f>
        <v/>
      </c>
      <c r="AH18" s="9" t="n">
        <v>32.85</v>
      </c>
      <c r="AI18" s="9" t="n">
        <v>376.51</v>
      </c>
      <c r="AJ18" s="9" t="n">
        <v>292.89</v>
      </c>
      <c r="AK18" s="9" t="n">
        <v>77.79000000000001</v>
      </c>
      <c r="AL18" s="9" t="n">
        <v>47.25</v>
      </c>
      <c r="AM18" s="9" t="n">
        <v>120.83</v>
      </c>
      <c r="AN18" s="9" t="n">
        <v>19.51</v>
      </c>
      <c r="AO18" s="9" t="n">
        <v>46.23</v>
      </c>
      <c r="AP18" s="9" t="n">
        <v>55.09</v>
      </c>
      <c r="AQ18" s="9" t="n">
        <v>90.70999999999999</v>
      </c>
      <c r="AR18" s="9" t="n">
        <v>41.09</v>
      </c>
      <c r="AS18" s="9" t="n">
        <v>36.4</v>
      </c>
      <c r="AT18" s="33">
        <f>PERCENTRANK(AS$2:INDEX($AS:$AS,LOOKUP(2,1/(ISNUMBER($A$2:$A$1048576)),ROW($A$2:$A$1048576))),AS18)</f>
        <v/>
      </c>
      <c r="AU18" s="39">
        <f>SUM(AS18-AS$106)/AS$107</f>
        <v/>
      </c>
      <c r="AV18" s="9" t="n">
        <v>13.23</v>
      </c>
      <c r="AW18" s="33">
        <f>PERCENTRANK(AV$2:INDEX($AV:$AV,LOOKUP(2,1/(ISNUMBER($A$2:$A$1048576)),ROW($A$2:$A$1048576))),AV18)</f>
        <v/>
      </c>
      <c r="AX18" s="9" t="n">
        <v>222.8</v>
      </c>
      <c r="AY18" s="9" t="n">
        <v>109.31</v>
      </c>
      <c r="AZ18" s="9" t="n">
        <v>49.06</v>
      </c>
      <c r="BA18" s="9" t="n">
        <v>3.14</v>
      </c>
      <c r="BB18" s="9" t="n">
        <v>0.57</v>
      </c>
      <c r="BC18" s="9" t="n">
        <v>18.18</v>
      </c>
      <c r="BD18" s="9" t="n">
        <v>28.94</v>
      </c>
      <c r="BE18" s="9" t="n">
        <v>5.89</v>
      </c>
      <c r="BF18" s="33">
        <f>PERCENTRANK(BE$2:INDEX($BE:$BE,LOOKUP(2,1/(ISNUMBER($A$2:$A$1048576)),ROW($A$2:$A$1048576))),BE18)</f>
        <v/>
      </c>
      <c r="BG18" s="40">
        <f>sum(BE18-BE$106)/BE$107</f>
        <v/>
      </c>
      <c r="BH18" s="9" t="n">
        <v>20.34</v>
      </c>
      <c r="BI18" s="9" t="n">
        <v>1.54</v>
      </c>
      <c r="BJ18" s="9" t="n">
        <v>0.6</v>
      </c>
      <c r="BK18" s="9" t="n">
        <v>38.89</v>
      </c>
      <c r="BL18" s="9" t="n">
        <v>26.49</v>
      </c>
      <c r="BM18" s="9" t="n">
        <v>3.09</v>
      </c>
      <c r="BN18" s="9" t="n">
        <v>11.65</v>
      </c>
      <c r="BO18" s="9" t="n">
        <v>5.09</v>
      </c>
      <c r="BP18" s="9" t="n">
        <v>1.46</v>
      </c>
      <c r="BQ18" s="9" t="n">
        <v>28.65</v>
      </c>
      <c r="BR18" s="9" t="n">
        <v>3.63</v>
      </c>
      <c r="BS18" s="9" t="n">
        <v>0.54</v>
      </c>
      <c r="BT18" s="9" t="n">
        <v>14.96</v>
      </c>
      <c r="BU18" s="9" t="n">
        <v>0.06</v>
      </c>
      <c r="BV18" s="9" t="n">
        <v>0.06</v>
      </c>
      <c r="BW18" s="9" t="n">
        <v>100</v>
      </c>
      <c r="BX18" s="9" t="n">
        <v>16</v>
      </c>
      <c r="BY18" s="9" t="n">
        <v>5.71</v>
      </c>
      <c r="BZ18" s="9" t="n">
        <v>35.71</v>
      </c>
      <c r="CA18" s="9" t="n">
        <v>6.14</v>
      </c>
      <c r="CB18" s="9" t="n">
        <v>5.89</v>
      </c>
      <c r="CC18" s="33">
        <f>PERCENTRANK(CD$2:INDEX($CD:$CD,LOOKUP(2,1/(ISNUMBER($A$2:$A$1048576)),ROW($A$2:$A$1048576))),CD18)</f>
        <v/>
      </c>
      <c r="CD18" s="40">
        <f>sum(CB18-CB$106)/CB$107</f>
        <v/>
      </c>
      <c r="CE18" s="9" t="n">
        <v>24.34</v>
      </c>
      <c r="CF18" s="33">
        <f>PERCENTRANK(CE$2:INDEX($CE:$CE,LOOKUP(2,1/(ISNUMBER($A$2:$A$1048576)),ROW($A$2:$A$1048576))),CE18)</f>
        <v/>
      </c>
      <c r="CG18" s="38">
        <f>sum(CE18-CE$106)/CE$107</f>
        <v/>
      </c>
      <c r="CH18" s="9" t="n">
        <v>4.03</v>
      </c>
      <c r="CI18" s="9" t="n">
        <v>9.69</v>
      </c>
      <c r="CJ18" s="9" t="n">
        <v>20.03</v>
      </c>
      <c r="CK18" s="33">
        <f>PERCENTRANK(CJ$2:INDEX($CJ:$CJ,LOOKUP(2,1/(ISNUMBER($A$2:$A$1048576)),ROW($A$2:$A$1048576))),CJ18)</f>
        <v/>
      </c>
      <c r="CL18" s="38">
        <f>sum(CJ18-CJ$106)/CJ$107</f>
        <v/>
      </c>
      <c r="CM18" s="9" t="n">
        <v>61.31</v>
      </c>
      <c r="CN18" s="9" t="n">
        <v>24.14</v>
      </c>
      <c r="CO18" s="9" t="n">
        <v>39.38</v>
      </c>
      <c r="CP18" s="9" t="n">
        <v>2.11</v>
      </c>
      <c r="CQ18" s="9" t="n">
        <v>0.9399999999999999</v>
      </c>
      <c r="CR18" s="9" t="n">
        <v>11.11</v>
      </c>
      <c r="CS18" s="33">
        <f>PERCENTRANK(CR$2:INDEX($CR:$CR,LOOKUP(2,1/(ISNUMBER($A$2:$A$1048576)),ROW($A$2:$A$1048576))),CR18)</f>
        <v/>
      </c>
      <c r="CT18" s="39">
        <f>1-(CR18-CR$106)/CR$107</f>
        <v/>
      </c>
      <c r="CU18" s="9" t="n">
        <v>3.77</v>
      </c>
      <c r="CV18" s="33">
        <f>PERCENTRANK(CU$2:INDEX($CU:$CU,LOOKUP(2,1/(ISNUMBER($A$2:$A$1048576)),ROW($A$2:$A$1048576))),CU18)</f>
        <v/>
      </c>
      <c r="CW18" s="39">
        <f>1-(CU18-CU$106)/CU$107</f>
        <v/>
      </c>
      <c r="CX18" s="9" t="n">
        <v>33.93</v>
      </c>
      <c r="CY18" s="9" t="n">
        <v>70.11</v>
      </c>
      <c r="CZ18" s="9" t="n">
        <v>44.74</v>
      </c>
      <c r="DA18" s="9" t="n">
        <v>63.81</v>
      </c>
      <c r="DB18" s="9" t="n">
        <v>51.37</v>
      </c>
      <c r="DC18" s="9" t="n">
        <v>23.4</v>
      </c>
      <c r="DD18" s="9" t="n">
        <v>45.55</v>
      </c>
      <c r="DE18" s="9" t="n">
        <v>5.11</v>
      </c>
      <c r="DF18" s="9" t="n">
        <v>2.26</v>
      </c>
      <c r="DG18" s="9" t="n">
        <v>44.13</v>
      </c>
      <c r="DH18" s="9" t="n">
        <v>44.26</v>
      </c>
      <c r="DI18" s="33">
        <f>PERCENTRANK(DH$2:INDEX($DH:$DH,LOOKUP(2,1/(ISNUMBER($A$2:$A$1048576)),ROW($A$2:$A$1048576))),DH18)</f>
        <v/>
      </c>
      <c r="DJ18" s="39">
        <f>SUM(DH18-DH$106)/DH$107</f>
        <v/>
      </c>
      <c r="DK18" s="9" t="n">
        <v>14.11</v>
      </c>
      <c r="DL18" s="9" t="n">
        <v>11.89</v>
      </c>
      <c r="DM18" s="9" t="n">
        <v>1.86</v>
      </c>
      <c r="DN18" s="9" t="n">
        <v>0</v>
      </c>
      <c r="DO18" s="9" t="n">
        <v>142.29</v>
      </c>
      <c r="DP18" s="9" t="n">
        <v>95.06</v>
      </c>
      <c r="DQ18" s="33">
        <f>PERCENTRANK(DP$2:INDEX($DP:$DP,LOOKUP(2,1/(ISNUMBER($A$2:$A$1048576)),ROW($A$2:$A$1048576))),DP18)</f>
        <v/>
      </c>
      <c r="DR18" s="40">
        <f>sum(DP18-DP$106)/DP$107</f>
        <v/>
      </c>
      <c r="DS18" s="9" t="n">
        <v>66.81</v>
      </c>
      <c r="DT18" s="9" t="n">
        <v>59.77</v>
      </c>
      <c r="DU18" s="9" t="n">
        <v>54.94</v>
      </c>
      <c r="DV18" s="9" t="n">
        <v>91.92</v>
      </c>
      <c r="DW18" s="9" t="n">
        <v>123.86</v>
      </c>
      <c r="DX18" s="9" t="n">
        <v>104.17</v>
      </c>
      <c r="DY18" s="9" t="n">
        <v>84.11</v>
      </c>
      <c r="DZ18" s="9" t="n">
        <v>58.14</v>
      </c>
      <c r="EA18" s="9" t="n">
        <v>31.83</v>
      </c>
      <c r="EB18" s="9" t="n">
        <v>54.74</v>
      </c>
      <c r="EC18" s="9" t="n">
        <v>54.63</v>
      </c>
      <c r="ED18" s="9" t="n">
        <v>33.31</v>
      </c>
      <c r="EE18" s="33">
        <f>PERCENTRANK(ED$2:INDEX($ED:$ED,LOOKUP(2,1/(ISNUMBER($A$2:$A$1048576)),ROW($A$2:$A$1048576))),ED18)</f>
        <v/>
      </c>
      <c r="EF18" s="40">
        <f>sum(ED18-ED$106)/ED$107</f>
        <v/>
      </c>
      <c r="EG18" s="9" t="n">
        <v>60.98</v>
      </c>
      <c r="EH18" s="9" t="n">
        <v>77.11</v>
      </c>
      <c r="EI18" s="9" t="n">
        <v>54.34</v>
      </c>
      <c r="EJ18" s="33">
        <f>PERCENTRANK(EI$2:INDEX($EI:$EI,LOOKUP(2,1/(ISNUMBER($A$2:$A$1048576)),ROW($A$2:$A$1048576))),EI18)</f>
        <v/>
      </c>
      <c r="EK18" s="40">
        <f>sum(EI18-EI$106)/EI$107</f>
        <v/>
      </c>
      <c r="EL18" s="9" t="n">
        <v>70.47</v>
      </c>
      <c r="EM18" s="9" t="n">
        <v>2.83</v>
      </c>
      <c r="EN18" s="9" t="n">
        <v>1.14</v>
      </c>
      <c r="EO18" s="9" t="n">
        <v>40.4</v>
      </c>
      <c r="EP18" s="9" t="n">
        <v>25.69</v>
      </c>
      <c r="EQ18" s="9" t="n">
        <v>22.54</v>
      </c>
      <c r="ER18" s="9" t="n">
        <v>87.76000000000001</v>
      </c>
      <c r="ES18" s="9" t="n">
        <v>8.06</v>
      </c>
      <c r="ET18" s="9" t="n">
        <v>15.96</v>
      </c>
      <c r="EU18" s="9" t="n">
        <v>3.29</v>
      </c>
      <c r="EV18" s="9" t="n">
        <v>15.91</v>
      </c>
      <c r="EW18" s="9" t="n">
        <v>16.84</v>
      </c>
      <c r="EX18" s="33">
        <f>PERCENTRANK(EW$2:INDEX($EW:$EW,LOOKUP(2,1/(ISNUMBER($A$2:$A$1048576)),ROW($A$2:$A$1048576))),EW18)</f>
        <v/>
      </c>
      <c r="EY18" s="38">
        <f>1-(EW18-EW$106)/EW$107</f>
        <v/>
      </c>
      <c r="EZ18" s="9" t="n">
        <v>21.38</v>
      </c>
      <c r="FA18" s="9" t="n">
        <v>9.289999999999999</v>
      </c>
      <c r="FB18" s="33">
        <f>PERCENTRANK(FA$2:INDEX($FA:$FA,LOOKUP(2,1/(ISNUMBER($A$2:$A$1048576)),ROW($A$2:$A$1048576))),FA18)</f>
        <v/>
      </c>
      <c r="FC18" s="39">
        <f>1-(FA18-FA$106)/FA$107</f>
        <v/>
      </c>
      <c r="FD18" s="9" t="n">
        <v>0.9399999999999999</v>
      </c>
      <c r="FE18" s="9" t="n">
        <v>1.14</v>
      </c>
      <c r="FF18" s="33">
        <f>PERCENTRANK(FE$2:INDEX($FE:$FE,LOOKUP(2,1/(ISNUMBER($A$2:$A$1048576)),ROW($A$2:$A$1048576))),FE18)</f>
        <v/>
      </c>
      <c r="FG18" s="39">
        <f>1-(FE18-FE$106)/FE$107</f>
        <v/>
      </c>
      <c r="FH18" s="9" t="n">
        <v>11.11</v>
      </c>
      <c r="FI18" s="9" t="n">
        <v>3.66</v>
      </c>
      <c r="FJ18" s="9" t="n">
        <v>32.9</v>
      </c>
      <c r="FK18" s="9" t="n">
        <v>414.6</v>
      </c>
      <c r="FL18" s="33">
        <f>PERCENTRANK(FK$2:INDEX($FK:$FK,LOOKUP(2,1/(ISNUMBER($A$2:$A$1048576)),ROW($A$2:$A$1048576))),FK18)</f>
        <v/>
      </c>
      <c r="FM18" s="39">
        <f>SWA17-(FK18-FK$106)/FK$107</f>
        <v/>
      </c>
      <c r="FN18" s="9" t="n">
        <v>334.66</v>
      </c>
      <c r="FO18" s="9" t="n">
        <v>80.72</v>
      </c>
      <c r="FP18" s="9" t="n">
        <v>52.75</v>
      </c>
      <c r="FQ18" s="9" t="n">
        <v>118.17</v>
      </c>
      <c r="FR18" s="9" t="n">
        <v>22.06</v>
      </c>
      <c r="FS18" s="9" t="n">
        <v>43.29</v>
      </c>
      <c r="FT18" s="9" t="n">
        <v>52.83</v>
      </c>
      <c r="FU18" s="9" t="n">
        <v>92.56999999999999</v>
      </c>
      <c r="FV18" s="9" t="n">
        <v>40.57</v>
      </c>
      <c r="FW18" s="9" t="n">
        <v>39.2</v>
      </c>
      <c r="FX18" s="9" t="n">
        <v>12.8</v>
      </c>
      <c r="FY18" s="9" t="n">
        <v>222.8</v>
      </c>
      <c r="FZ18" s="9" t="n">
        <v>103</v>
      </c>
      <c r="GA18" s="9" t="n">
        <v>46.23</v>
      </c>
      <c r="GB18" s="9" t="n">
        <v>5.46</v>
      </c>
      <c r="GC18" s="9" t="n">
        <v>1.29</v>
      </c>
      <c r="GD18" s="9" t="n">
        <v>23.56</v>
      </c>
      <c r="GE18" s="9" t="n">
        <v>27.71</v>
      </c>
      <c r="GF18" s="9" t="n">
        <v>6.86</v>
      </c>
      <c r="GG18" s="9" t="n">
        <v>24.74</v>
      </c>
      <c r="GH18" s="9" t="n">
        <v>1.54</v>
      </c>
      <c r="GI18" s="9" t="n">
        <v>0.63</v>
      </c>
      <c r="GJ18" s="9" t="n">
        <v>40.74</v>
      </c>
      <c r="GK18" s="9" t="n">
        <v>25.86</v>
      </c>
      <c r="GL18" s="9" t="n">
        <v>2.97</v>
      </c>
      <c r="GM18" s="9" t="n">
        <v>11.49</v>
      </c>
      <c r="GN18" s="9" t="n">
        <v>3.83</v>
      </c>
      <c r="GO18" s="9" t="n">
        <v>0.97</v>
      </c>
      <c r="GP18" s="9" t="n">
        <v>25.37</v>
      </c>
      <c r="GQ18" s="9" t="n">
        <v>2.11</v>
      </c>
      <c r="GR18" s="9" t="n">
        <v>0.43</v>
      </c>
      <c r="GS18" s="9" t="n">
        <v>20.27</v>
      </c>
      <c r="GT18" s="9" t="n">
        <v>0.06</v>
      </c>
      <c r="GU18" s="9" t="n">
        <v>0.03</v>
      </c>
      <c r="GV18" s="9" t="n">
        <v>50</v>
      </c>
      <c r="GW18" s="9" t="n">
        <v>12.83</v>
      </c>
      <c r="GX18" s="9" t="n">
        <v>3.89</v>
      </c>
      <c r="GY18" s="9" t="n">
        <v>30.29</v>
      </c>
      <c r="GZ18" s="9" t="n">
        <v>4.06</v>
      </c>
      <c r="HA18" s="9" t="n">
        <v>6.46</v>
      </c>
      <c r="HB18" s="9" t="n">
        <v>23.83</v>
      </c>
      <c r="HC18" s="9" t="n">
        <v>3.6</v>
      </c>
      <c r="HD18" s="9" t="n">
        <v>8.26</v>
      </c>
      <c r="HE18" s="9" t="n">
        <v>14.06</v>
      </c>
      <c r="HF18" s="9" t="n">
        <v>70.09</v>
      </c>
      <c r="HG18" s="9" t="n">
        <v>25.31</v>
      </c>
      <c r="HH18" s="9" t="n">
        <v>36.12</v>
      </c>
      <c r="HI18" s="9" t="n">
        <v>2.03</v>
      </c>
      <c r="HJ18" s="9" t="n">
        <v>1.29</v>
      </c>
      <c r="HK18" s="9" t="n">
        <v>9.91</v>
      </c>
      <c r="HL18" s="9" t="n">
        <v>3.4</v>
      </c>
      <c r="HM18" s="9" t="n">
        <v>34.29</v>
      </c>
      <c r="HN18" s="9" t="n">
        <v>61.37</v>
      </c>
      <c r="HO18" s="9" t="n">
        <v>37.17</v>
      </c>
      <c r="HP18" s="9" t="n">
        <v>60.57</v>
      </c>
      <c r="HQ18" s="9" t="n">
        <v>51.34</v>
      </c>
      <c r="HR18" s="9" t="n">
        <v>24.43</v>
      </c>
      <c r="HS18" s="9" t="n">
        <v>47.58</v>
      </c>
      <c r="HT18" s="9" t="n">
        <v>3.14</v>
      </c>
      <c r="HU18" s="9" t="n">
        <v>1.2</v>
      </c>
      <c r="HV18" s="9" t="n">
        <v>38.18</v>
      </c>
      <c r="HW18" s="9" t="n">
        <v>43.37</v>
      </c>
      <c r="HX18" s="9" t="n">
        <v>18.94</v>
      </c>
      <c r="HY18" s="9" t="n">
        <v>13.54</v>
      </c>
      <c r="HZ18" s="9" t="n">
        <v>2.03</v>
      </c>
      <c r="IA18" s="9" t="n">
        <v>0.14</v>
      </c>
      <c r="IB18" s="9" t="n">
        <v>144.86</v>
      </c>
      <c r="IC18" s="9" t="n">
        <v>98.51000000000001</v>
      </c>
      <c r="ID18" s="9" t="n">
        <v>68.01000000000001</v>
      </c>
      <c r="IE18" s="9" t="n">
        <v>58.86</v>
      </c>
      <c r="IF18" s="9" t="n">
        <v>54.97</v>
      </c>
      <c r="IG18" s="9" t="n">
        <v>93.40000000000001</v>
      </c>
      <c r="IH18" s="9" t="n">
        <v>149.31</v>
      </c>
      <c r="II18" s="9" t="n">
        <v>130.26</v>
      </c>
      <c r="IJ18" s="9" t="n">
        <v>87.23999999999999</v>
      </c>
      <c r="IK18" s="9" t="n">
        <v>51.6</v>
      </c>
      <c r="IL18" s="9" t="n">
        <v>25.57</v>
      </c>
      <c r="IM18" s="9" t="n">
        <v>49.56</v>
      </c>
      <c r="IN18" s="9" t="n">
        <v>58.37</v>
      </c>
      <c r="IO18" s="9" t="n">
        <v>36.11</v>
      </c>
      <c r="IP18" s="9" t="n">
        <v>61.87</v>
      </c>
      <c r="IQ18" s="9" t="n">
        <v>72.89</v>
      </c>
      <c r="IR18" s="9" t="n">
        <v>50.4</v>
      </c>
      <c r="IS18" s="9" t="n">
        <v>69.15000000000001</v>
      </c>
      <c r="IT18" s="33">
        <f>PERCENTRANK(IS$2:INDEX($IS:$IS,LOOKUP(2,1/(ISNUMBER($A$2:$A$1048576)),ROW($A$2:$A$1048576))),IS18)</f>
        <v/>
      </c>
      <c r="IU18" s="39">
        <f>1-(IS18-IS$106)/IS$107</f>
        <v/>
      </c>
      <c r="IV18" s="9" t="n">
        <v>4.29</v>
      </c>
      <c r="IW18" s="9" t="n">
        <v>1.54</v>
      </c>
      <c r="IX18" s="9" t="n">
        <v>36</v>
      </c>
      <c r="IY18" s="9" t="n">
        <v>22.06</v>
      </c>
      <c r="IZ18" s="9" t="n">
        <v>18.26</v>
      </c>
      <c r="JA18" s="9" t="n">
        <v>82.77</v>
      </c>
      <c r="JB18" s="9" t="n">
        <v>9.57</v>
      </c>
      <c r="JC18" s="9" t="n">
        <v>15.62</v>
      </c>
      <c r="JD18" s="9" t="n">
        <v>3.76</v>
      </c>
      <c r="JE18" s="9" t="n">
        <v>13.1</v>
      </c>
      <c r="JF18" s="9" t="n">
        <v>19.9</v>
      </c>
      <c r="JG18" s="9" t="n">
        <v>19.82</v>
      </c>
      <c r="JH18" s="9" t="n">
        <v>9.94</v>
      </c>
    </row>
    <row r="19">
      <c r="A19" s="12" t="n">
        <v>2023</v>
      </c>
      <c r="B19" s="31" t="inlineStr">
        <is>
          <t>Louisville City</t>
        </is>
      </c>
      <c r="C19" s="12" t="n">
        <v>50</v>
      </c>
      <c r="D19" s="5">
        <f>(C19-AVERAGE($C$2:INDEX($C:$C,LOOKUP(2,1/(ISNUMBER($A$2:$A$1048576)),ROW($A$2:$A$1048576)))))/_xlfn.STDEV.P($C$2:INDEX($C:$C,LOOKUP(2,1/(ISNUMBER($A$2:$A$1048576)),ROW($A$2:$A$1048576))))</f>
        <v/>
      </c>
      <c r="E19" s="12" t="n">
        <v>5</v>
      </c>
      <c r="F19" s="6">
        <f>-E19</f>
        <v/>
      </c>
      <c r="G19" s="7">
        <f>(F19-AVERAGE($F$2:INDEX($F:$F,LOOKUP(2,1/(ISNUMBER($A$2:$A$1048576)),ROW($A$2:$A$1048576)))))/_xlfn.STDEV.P($F$2:INDEX($F:$F,LOOKUP(2,1/(ISNUMBER($A$2:$A$1048576)),ROW($A$2:$A$1048576))))</f>
        <v/>
      </c>
      <c r="H19" s="32">
        <f>sum(0.5*D19)+(0.5*G19)</f>
        <v/>
      </c>
      <c r="I19" s="12" t="inlineStr">
        <is>
          <t>East</t>
        </is>
      </c>
      <c r="J19" s="10">
        <f>sum(L19*L$105)+(N19*N$105)+(P19*P$105)+(T19*R$105)</f>
        <v/>
      </c>
      <c r="K19" s="33">
        <f>PERCENTRANK(J$2:INDEX($J:$J,LOOKUP(2,1/(ISNUMBER($A$2:$A$1048576)),ROW($A$2:$A$1048576))),J19)</f>
        <v/>
      </c>
      <c r="L19" s="10">
        <f>sum(AA19*0.66)+(AD19*0.55)+(AG19*0.59)+(CG19*0.51)+(CL19*0.6)+(EY19*0.31)</f>
        <v/>
      </c>
      <c r="M19" s="33">
        <f>PERCENTRANK(L$2:INDEX($L:$L,LOOKUP(2,1/(ISNUMBER($A$2:$A$1048576)),ROW($A$2:$A$1048576))),L19)</f>
        <v/>
      </c>
      <c r="N19" s="10">
        <f>sum(CT19*0.57)+(CW19*0.71)+(DJ19*0.08)+(FC19*0.33)+(FG19*0.69)+(FM19*0.26)+(IU19*0.54)+(AU19*0.4)</f>
        <v/>
      </c>
      <c r="O19" s="33">
        <f>PERCENTRANK(N$2:INDEX($N:$N,LOOKUP(2,1/(ISNUMBER($A$2:$A$1048576)),ROW($A$2:$A$1048576))),N19)</f>
        <v/>
      </c>
      <c r="P19" s="10">
        <f>sum(BG19*0.51)+(CD19*0.51)+(DR19*0.11)+(EF19*0.42)+(EK19*0.44)+(W19*0.6)</f>
        <v/>
      </c>
      <c r="Q19" s="33">
        <f>PERCENTRANK(P$2:INDEX($P:$P,LOOKUP(2,1/(ISNUMBER($A$2:$A$1048576)),ROW($A$2:$A$1048576))),P19)</f>
        <v/>
      </c>
      <c r="R19" s="10">
        <f>sum(Y19-FE19)</f>
        <v/>
      </c>
      <c r="S19" s="33">
        <f>PERCENTRANK(R$2:INDEX($R:$R,LOOKUP(2,1/(ISNUMBER($A$2:$A$1048576)),ROW($A$2:$A$1048576))),R19)</f>
        <v/>
      </c>
      <c r="T19" s="34">
        <f>sum(R19-R$106)/R$107</f>
        <v/>
      </c>
      <c r="U19" s="35">
        <f>sum(Y19/AI19)*100</f>
        <v/>
      </c>
      <c r="V19" s="33">
        <f>PERCENTRANK(U$2:INDEX($U:$U,LOOKUP(2,1/(ISNUMBER($A$2:$A$1048576)),ROW($A$2:$A$1048576))),U19)</f>
        <v/>
      </c>
      <c r="W19" s="36">
        <f>sum(U19-U$106)/U$107</f>
        <v/>
      </c>
      <c r="X19" s="9" t="n">
        <v>1.27</v>
      </c>
      <c r="Y19" s="9" t="n">
        <v>1.43</v>
      </c>
      <c r="Z19" s="33">
        <f>PERCENTRANK(Y$2:INDEX($Y:$Y,LOOKUP(2,1/(ISNUMBER($A$2:$A$1048576)),ROW($A$2:$A$1048576))),Y19)</f>
        <v/>
      </c>
      <c r="AA19" s="37">
        <f>sum(Y19-Y$106)/Y$107</f>
        <v/>
      </c>
      <c r="AB19" s="9" t="n">
        <v>12.49</v>
      </c>
      <c r="AC19" s="33">
        <f>PERCENTRANK(AB$2:INDEX($AB:$AB,LOOKUP(2,1/(ISNUMBER($A$2:$A$1048576)),ROW($A$2:$A$1048576))),AB19)</f>
        <v/>
      </c>
      <c r="AD19" s="38">
        <f>sum(AB19-AB$106)/AB$107</f>
        <v/>
      </c>
      <c r="AE19" s="9" t="n">
        <v>3.89</v>
      </c>
      <c r="AF19" s="33">
        <f>PERCENTRANK(AE$2:INDEX($AE:$AE,LOOKUP(2,1/(ISNUMBER($A$2:$A$1048576)),ROW($A$2:$A$1048576))),AE19)</f>
        <v/>
      </c>
      <c r="AG19" s="38">
        <f>sum(AE19-AE$106)/AE$107</f>
        <v/>
      </c>
      <c r="AH19" s="9" t="n">
        <v>31.17</v>
      </c>
      <c r="AI19" s="9" t="n">
        <v>387.3</v>
      </c>
      <c r="AJ19" s="9" t="n">
        <v>311.54</v>
      </c>
      <c r="AK19" s="9" t="n">
        <v>80.44</v>
      </c>
      <c r="AL19" s="9" t="n">
        <v>49.68</v>
      </c>
      <c r="AM19" s="9" t="n">
        <v>106.86</v>
      </c>
      <c r="AN19" s="9" t="n">
        <v>16.62</v>
      </c>
      <c r="AO19" s="9" t="n">
        <v>35.32</v>
      </c>
      <c r="AP19" s="9" t="n">
        <v>54.92</v>
      </c>
      <c r="AQ19" s="9" t="n">
        <v>83.43000000000001</v>
      </c>
      <c r="AR19" s="9" t="n">
        <v>33.68</v>
      </c>
      <c r="AS19" s="9" t="n">
        <v>36.54</v>
      </c>
      <c r="AT19" s="33">
        <f>PERCENTRANK(AS$2:INDEX($AS:$AS,LOOKUP(2,1/(ISNUMBER($A$2:$A$1048576)),ROW($A$2:$A$1048576))),AS19)</f>
        <v/>
      </c>
      <c r="AU19" s="39">
        <f>SUM(AS19-AS$106)/AS$107</f>
        <v/>
      </c>
      <c r="AV19" s="9" t="n">
        <v>13.22</v>
      </c>
      <c r="AW19" s="33">
        <f>PERCENTRANK(AV$2:INDEX($AV:$AV,LOOKUP(2,1/(ISNUMBER($A$2:$A$1048576)),ROW($A$2:$A$1048576))),AV19)</f>
        <v/>
      </c>
      <c r="AX19" s="9" t="n">
        <v>191.22</v>
      </c>
      <c r="AY19" s="9" t="n">
        <v>90.56999999999999</v>
      </c>
      <c r="AZ19" s="9" t="n">
        <v>47.36</v>
      </c>
      <c r="BA19" s="9" t="n">
        <v>5.41</v>
      </c>
      <c r="BB19" s="9" t="n">
        <v>1.3</v>
      </c>
      <c r="BC19" s="9" t="n">
        <v>24</v>
      </c>
      <c r="BD19" s="9" t="n">
        <v>30.19</v>
      </c>
      <c r="BE19" s="9" t="n">
        <v>7.14</v>
      </c>
      <c r="BF19" s="33">
        <f>PERCENTRANK(BE$2:INDEX($BE:$BE,LOOKUP(2,1/(ISNUMBER($A$2:$A$1048576)),ROW($A$2:$A$1048576))),BE19)</f>
        <v/>
      </c>
      <c r="BG19" s="40">
        <f>sum(BE19-BE$106)/BE$107</f>
        <v/>
      </c>
      <c r="BH19" s="9" t="n">
        <v>23.63</v>
      </c>
      <c r="BI19" s="9" t="n">
        <v>1.43</v>
      </c>
      <c r="BJ19" s="9" t="n">
        <v>0.68</v>
      </c>
      <c r="BK19" s="9" t="n">
        <v>47.17</v>
      </c>
      <c r="BL19" s="9" t="n">
        <v>25.16</v>
      </c>
      <c r="BM19" s="9" t="n">
        <v>4.05</v>
      </c>
      <c r="BN19" s="9" t="n">
        <v>16.11</v>
      </c>
      <c r="BO19" s="9" t="n">
        <v>5.43</v>
      </c>
      <c r="BP19" s="9" t="n">
        <v>1.89</v>
      </c>
      <c r="BQ19" s="9" t="n">
        <v>34.83</v>
      </c>
      <c r="BR19" s="9" t="n">
        <v>2.89</v>
      </c>
      <c r="BS19" s="9" t="n">
        <v>0.62</v>
      </c>
      <c r="BT19" s="9" t="n">
        <v>21.5</v>
      </c>
      <c r="BU19" s="9" t="n">
        <v>0.11</v>
      </c>
      <c r="BV19" s="9" t="n">
        <v>0.11</v>
      </c>
      <c r="BW19" s="9" t="n">
        <v>100</v>
      </c>
      <c r="BX19" s="9" t="n">
        <v>16.7</v>
      </c>
      <c r="BY19" s="9" t="n">
        <v>5.41</v>
      </c>
      <c r="BZ19" s="9" t="n">
        <v>32.36</v>
      </c>
      <c r="CA19" s="9" t="n">
        <v>5.38</v>
      </c>
      <c r="CB19" s="9" t="n">
        <v>7.14</v>
      </c>
      <c r="CC19" s="33">
        <f>PERCENTRANK(CD$2:INDEX($CD:$CD,LOOKUP(2,1/(ISNUMBER($A$2:$A$1048576)),ROW($A$2:$A$1048576))),CD19)</f>
        <v/>
      </c>
      <c r="CD19" s="40">
        <f>sum(CB19-CB$106)/CB$107</f>
        <v/>
      </c>
      <c r="CE19" s="9" t="n">
        <v>25.86</v>
      </c>
      <c r="CF19" s="33">
        <f>PERCENTRANK(CE$2:INDEX($CE:$CE,LOOKUP(2,1/(ISNUMBER($A$2:$A$1048576)),ROW($A$2:$A$1048576))),CE19)</f>
        <v/>
      </c>
      <c r="CG19" s="38">
        <f>sum(CE19-CE$106)/CE$107</f>
        <v/>
      </c>
      <c r="CH19" s="9" t="n">
        <v>2.76</v>
      </c>
      <c r="CI19" s="9" t="n">
        <v>11.08</v>
      </c>
      <c r="CJ19" s="9" t="n">
        <v>16.95</v>
      </c>
      <c r="CK19" s="33">
        <f>PERCENTRANK(CJ$2:INDEX($CJ:$CJ,LOOKUP(2,1/(ISNUMBER($A$2:$A$1048576)),ROW($A$2:$A$1048576))),CJ19)</f>
        <v/>
      </c>
      <c r="CL19" s="38">
        <f>sum(CJ19-CJ$106)/CJ$107</f>
        <v/>
      </c>
      <c r="CM19" s="9" t="n">
        <v>57.49</v>
      </c>
      <c r="CN19" s="9" t="n">
        <v>22.84</v>
      </c>
      <c r="CO19" s="9" t="n">
        <v>39.73</v>
      </c>
      <c r="CP19" s="9" t="n">
        <v>2.16</v>
      </c>
      <c r="CQ19" s="9" t="n">
        <v>1.27</v>
      </c>
      <c r="CR19" s="9" t="n">
        <v>9.859999999999999</v>
      </c>
      <c r="CS19" s="33">
        <f>PERCENTRANK(CR$2:INDEX($CR:$CR,LOOKUP(2,1/(ISNUMBER($A$2:$A$1048576)),ROW($A$2:$A$1048576))),CR19)</f>
        <v/>
      </c>
      <c r="CT19" s="39">
        <f>1-(CR19-CR$106)/CR$107</f>
        <v/>
      </c>
      <c r="CU19" s="9" t="n">
        <v>3.62</v>
      </c>
      <c r="CV19" s="33">
        <f>PERCENTRANK(CU$2:INDEX($CU:$CU,LOOKUP(2,1/(ISNUMBER($A$2:$A$1048576)),ROW($A$2:$A$1048576))),CU19)</f>
        <v/>
      </c>
      <c r="CW19" s="39">
        <f>1-(CU19-CU$106)/CU$107</f>
        <v/>
      </c>
      <c r="CX19" s="9" t="n">
        <v>36.71</v>
      </c>
      <c r="CY19" s="9" t="n">
        <v>58.49</v>
      </c>
      <c r="CZ19" s="9" t="n">
        <v>34.16</v>
      </c>
      <c r="DA19" s="9" t="n">
        <v>58.41</v>
      </c>
      <c r="DB19" s="9" t="n">
        <v>42.38</v>
      </c>
      <c r="DC19" s="9" t="n">
        <v>19.35</v>
      </c>
      <c r="DD19" s="9" t="n">
        <v>45.66</v>
      </c>
      <c r="DE19" s="9" t="n">
        <v>3.81</v>
      </c>
      <c r="DF19" s="9" t="n">
        <v>1.62</v>
      </c>
      <c r="DG19" s="9" t="n">
        <v>42.55</v>
      </c>
      <c r="DH19" s="9" t="n">
        <v>39.54</v>
      </c>
      <c r="DI19" s="33">
        <f>PERCENTRANK(DH$2:INDEX($DH:$DH,LOOKUP(2,1/(ISNUMBER($A$2:$A$1048576)),ROW($A$2:$A$1048576))),DH19)</f>
        <v/>
      </c>
      <c r="DJ19" s="39">
        <f>SUM(DH19-DH$106)/DH$107</f>
        <v/>
      </c>
      <c r="DK19" s="9" t="n">
        <v>14.62</v>
      </c>
      <c r="DL19" s="9" t="n">
        <v>14.51</v>
      </c>
      <c r="DM19" s="9" t="n">
        <v>2.08</v>
      </c>
      <c r="DN19" s="9" t="n">
        <v>0.05</v>
      </c>
      <c r="DO19" s="9" t="n">
        <v>138</v>
      </c>
      <c r="DP19" s="9" t="n">
        <v>95.76000000000001</v>
      </c>
      <c r="DQ19" s="33">
        <f>PERCENTRANK(DP$2:INDEX($DP:$DP,LOOKUP(2,1/(ISNUMBER($A$2:$A$1048576)),ROW($A$2:$A$1048576))),DP19)</f>
        <v/>
      </c>
      <c r="DR19" s="40">
        <f>sum(DP19-DP$106)/DP$107</f>
        <v/>
      </c>
      <c r="DS19" s="9" t="n">
        <v>69.39</v>
      </c>
      <c r="DT19" s="9" t="n">
        <v>52.97</v>
      </c>
      <c r="DU19" s="9" t="n">
        <v>49.73</v>
      </c>
      <c r="DV19" s="9" t="n">
        <v>93.88</v>
      </c>
      <c r="DW19" s="9" t="n">
        <v>143.59</v>
      </c>
      <c r="DX19" s="9" t="n">
        <v>124.78</v>
      </c>
      <c r="DY19" s="9" t="n">
        <v>86.90000000000001</v>
      </c>
      <c r="DZ19" s="9" t="n">
        <v>47.78</v>
      </c>
      <c r="EA19" s="9" t="n">
        <v>24.3</v>
      </c>
      <c r="EB19" s="9" t="n">
        <v>50.85</v>
      </c>
      <c r="EC19" s="9" t="n">
        <v>60.24</v>
      </c>
      <c r="ED19" s="9" t="n">
        <v>38.65</v>
      </c>
      <c r="EE19" s="33">
        <f>PERCENTRANK(ED$2:INDEX($ED:$ED,LOOKUP(2,1/(ISNUMBER($A$2:$A$1048576)),ROW($A$2:$A$1048576))),ED19)</f>
        <v/>
      </c>
      <c r="EF19" s="40">
        <f>sum(ED19-ED$106)/ED$107</f>
        <v/>
      </c>
      <c r="EG19" s="9" t="n">
        <v>64.15000000000001</v>
      </c>
      <c r="EH19" s="9" t="n">
        <v>69.3</v>
      </c>
      <c r="EI19" s="9" t="n">
        <v>52.38</v>
      </c>
      <c r="EJ19" s="33">
        <f>PERCENTRANK(EI$2:INDEX($EI:$EI,LOOKUP(2,1/(ISNUMBER($A$2:$A$1048576)),ROW($A$2:$A$1048576))),EI19)</f>
        <v/>
      </c>
      <c r="EK19" s="40">
        <f>sum(EI19-EI$106)/EI$107</f>
        <v/>
      </c>
      <c r="EL19" s="9" t="n">
        <v>75.59</v>
      </c>
      <c r="EM19" s="9" t="n">
        <v>2.86</v>
      </c>
      <c r="EN19" s="9" t="n">
        <v>0.95</v>
      </c>
      <c r="EO19" s="9" t="n">
        <v>33.02</v>
      </c>
      <c r="EP19" s="9" t="n">
        <v>23.92</v>
      </c>
      <c r="EQ19" s="9" t="n">
        <v>20.89</v>
      </c>
      <c r="ER19" s="9" t="n">
        <v>87.34</v>
      </c>
      <c r="ES19" s="9" t="n">
        <v>6.19</v>
      </c>
      <c r="ET19" s="9" t="n">
        <v>15.8</v>
      </c>
      <c r="EU19" s="9" t="n">
        <v>3.7</v>
      </c>
      <c r="EV19" s="9" t="n">
        <v>12.7</v>
      </c>
      <c r="EW19" s="9" t="n">
        <v>18.61</v>
      </c>
      <c r="EX19" s="33">
        <f>PERCENTRANK(EW$2:INDEX($EW:$EW,LOOKUP(2,1/(ISNUMBER($A$2:$A$1048576)),ROW($A$2:$A$1048576))),EW19)</f>
        <v/>
      </c>
      <c r="EY19" s="38">
        <f>1-(EW19-EW$106)/EW$107</f>
        <v/>
      </c>
      <c r="EZ19" s="9" t="n">
        <v>20.5</v>
      </c>
      <c r="FA19" s="9" t="n">
        <v>9.73</v>
      </c>
      <c r="FB19" s="33">
        <f>PERCENTRANK(FA$2:INDEX($FA:$FA,LOOKUP(2,1/(ISNUMBER($A$2:$A$1048576)),ROW($A$2:$A$1048576))),FA19)</f>
        <v/>
      </c>
      <c r="FC19" s="39">
        <f>1-(FA19-FA$106)/FA$107</f>
        <v/>
      </c>
      <c r="FD19" s="9" t="n">
        <v>1.27</v>
      </c>
      <c r="FE19" s="9" t="n">
        <v>1.12</v>
      </c>
      <c r="FF19" s="33">
        <f>PERCENTRANK(FE$2:INDEX($FE:$FE,LOOKUP(2,1/(ISNUMBER($A$2:$A$1048576)),ROW($A$2:$A$1048576))),FE19)</f>
        <v/>
      </c>
      <c r="FG19" s="39">
        <f>1-(FE19-FE$106)/FE$107</f>
        <v/>
      </c>
      <c r="FH19" s="9" t="n">
        <v>9.859999999999999</v>
      </c>
      <c r="FI19" s="9" t="n">
        <v>3.54</v>
      </c>
      <c r="FJ19" s="9" t="n">
        <v>35.89</v>
      </c>
      <c r="FK19" s="9" t="n">
        <v>393.24</v>
      </c>
      <c r="FL19" s="33">
        <f>PERCENTRANK(FK$2:INDEX($FK:$FK,LOOKUP(2,1/(ISNUMBER($A$2:$A$1048576)),ROW($A$2:$A$1048576))),FK19)</f>
        <v/>
      </c>
      <c r="FM19" s="39">
        <f>SWA18-(FK19-FK$106)/FK$107</f>
        <v/>
      </c>
      <c r="FN19" s="9" t="n">
        <v>318.11</v>
      </c>
      <c r="FO19" s="9" t="n">
        <v>80.89</v>
      </c>
      <c r="FP19" s="9" t="n">
        <v>50.32</v>
      </c>
      <c r="FQ19" s="9" t="n">
        <v>110.03</v>
      </c>
      <c r="FR19" s="9" t="n">
        <v>23</v>
      </c>
      <c r="FS19" s="9" t="n">
        <v>43.78</v>
      </c>
      <c r="FT19" s="9" t="n">
        <v>43.24</v>
      </c>
      <c r="FU19" s="9" t="n">
        <v>80</v>
      </c>
      <c r="FV19" s="9" t="n">
        <v>40.16</v>
      </c>
      <c r="FW19" s="9" t="n">
        <v>30.11</v>
      </c>
      <c r="FX19" s="9" t="n">
        <v>9.73</v>
      </c>
      <c r="FY19" s="9" t="n">
        <v>191.22</v>
      </c>
      <c r="FZ19" s="9" t="n">
        <v>90.97</v>
      </c>
      <c r="GA19" s="9" t="n">
        <v>47.58</v>
      </c>
      <c r="GB19" s="9" t="n">
        <v>4.14</v>
      </c>
      <c r="GC19" s="9" t="n">
        <v>1.03</v>
      </c>
      <c r="GD19" s="9" t="n">
        <v>24.84</v>
      </c>
      <c r="GE19" s="9" t="n">
        <v>22.11</v>
      </c>
      <c r="GF19" s="9" t="n">
        <v>5.49</v>
      </c>
      <c r="GG19" s="9" t="n">
        <v>24.82</v>
      </c>
      <c r="GH19" s="9" t="n">
        <v>1.35</v>
      </c>
      <c r="GI19" s="9" t="n">
        <v>0.59</v>
      </c>
      <c r="GJ19" s="9" t="n">
        <v>44</v>
      </c>
      <c r="GK19" s="9" t="n">
        <v>28.08</v>
      </c>
      <c r="GL19" s="9" t="n">
        <v>3.27</v>
      </c>
      <c r="GM19" s="9" t="n">
        <v>11.65</v>
      </c>
      <c r="GN19" s="9" t="n">
        <v>4.22</v>
      </c>
      <c r="GO19" s="9" t="n">
        <v>1.22</v>
      </c>
      <c r="GP19" s="9" t="n">
        <v>28.85</v>
      </c>
      <c r="GQ19" s="9" t="n">
        <v>2.27</v>
      </c>
      <c r="GR19" s="9" t="n">
        <v>0.59</v>
      </c>
      <c r="GS19" s="9" t="n">
        <v>26.19</v>
      </c>
      <c r="GT19" s="9" t="n">
        <v>0.24</v>
      </c>
      <c r="GU19" s="9" t="n">
        <v>0.19</v>
      </c>
      <c r="GV19" s="9" t="n">
        <v>77.78</v>
      </c>
      <c r="GW19" s="9" t="n">
        <v>11.7</v>
      </c>
      <c r="GX19" s="9" t="n">
        <v>3.92</v>
      </c>
      <c r="GY19" s="9" t="n">
        <v>33.49</v>
      </c>
      <c r="GZ19" s="9" t="n">
        <v>3.92</v>
      </c>
      <c r="HA19" s="9" t="n">
        <v>5.14</v>
      </c>
      <c r="HB19" s="9" t="n">
        <v>18.41</v>
      </c>
      <c r="HC19" s="9" t="n">
        <v>2.92</v>
      </c>
      <c r="HD19" s="9" t="n">
        <v>7.32</v>
      </c>
      <c r="HE19" s="9" t="n">
        <v>13.14</v>
      </c>
      <c r="HF19" s="9" t="n">
        <v>58.51</v>
      </c>
      <c r="HG19" s="9" t="n">
        <v>24.32</v>
      </c>
      <c r="HH19" s="9" t="n">
        <v>41.57</v>
      </c>
      <c r="HI19" s="9" t="n">
        <v>2.27</v>
      </c>
      <c r="HJ19" s="9" t="n">
        <v>1.27</v>
      </c>
      <c r="HK19" s="9" t="n">
        <v>12.49</v>
      </c>
      <c r="HL19" s="9" t="n">
        <v>4.05</v>
      </c>
      <c r="HM19" s="9" t="n">
        <v>32.47</v>
      </c>
      <c r="HN19" s="9" t="n">
        <v>57.46</v>
      </c>
      <c r="HO19" s="9" t="n">
        <v>34.62</v>
      </c>
      <c r="HP19" s="9" t="n">
        <v>60.25</v>
      </c>
      <c r="HQ19" s="9" t="n">
        <v>42.38</v>
      </c>
      <c r="HR19" s="9" t="n">
        <v>19.05</v>
      </c>
      <c r="HS19" s="9" t="n">
        <v>44.96</v>
      </c>
      <c r="HT19" s="9" t="n">
        <v>3.65</v>
      </c>
      <c r="HU19" s="9" t="n">
        <v>1.46</v>
      </c>
      <c r="HV19" s="9" t="n">
        <v>40</v>
      </c>
      <c r="HW19" s="9" t="n">
        <v>42.05</v>
      </c>
      <c r="HX19" s="9" t="n">
        <v>18.35</v>
      </c>
      <c r="HY19" s="9" t="n">
        <v>12.78</v>
      </c>
      <c r="HZ19" s="9" t="n">
        <v>2.38</v>
      </c>
      <c r="IA19" s="9" t="n">
        <v>0.08</v>
      </c>
      <c r="IB19" s="9" t="n">
        <v>135.22</v>
      </c>
      <c r="IC19" s="9" t="n">
        <v>90.08</v>
      </c>
      <c r="ID19" s="9" t="n">
        <v>66.62</v>
      </c>
      <c r="IE19" s="9" t="n">
        <v>62.3</v>
      </c>
      <c r="IF19" s="9" t="n">
        <v>59.27</v>
      </c>
      <c r="IG19" s="9" t="n">
        <v>95.14</v>
      </c>
      <c r="IH19" s="9" t="n">
        <v>144.86</v>
      </c>
      <c r="II19" s="9" t="n">
        <v>128.11</v>
      </c>
      <c r="IJ19" s="9" t="n">
        <v>88.43000000000001</v>
      </c>
      <c r="IK19" s="9" t="n">
        <v>56.41</v>
      </c>
      <c r="IL19" s="9" t="n">
        <v>28.78</v>
      </c>
      <c r="IM19" s="9" t="n">
        <v>51.03</v>
      </c>
      <c r="IN19" s="9" t="n">
        <v>49.32</v>
      </c>
      <c r="IO19" s="9" t="n">
        <v>29.95</v>
      </c>
      <c r="IP19" s="9" t="n">
        <v>60.71</v>
      </c>
      <c r="IQ19" s="9" t="n">
        <v>71.23999999999999</v>
      </c>
      <c r="IR19" s="9" t="n">
        <v>46.24</v>
      </c>
      <c r="IS19" s="9" t="n">
        <v>64.91</v>
      </c>
      <c r="IT19" s="33">
        <f>PERCENTRANK(IS$2:INDEX($IS:$IS,LOOKUP(2,1/(ISNUMBER($A$2:$A$1048576)),ROW($A$2:$A$1048576))),IS19)</f>
        <v/>
      </c>
      <c r="IU19" s="39">
        <f>1-(IS19-IS$106)/IS$107</f>
        <v/>
      </c>
      <c r="IV19" s="9" t="n">
        <v>2.24</v>
      </c>
      <c r="IW19" s="9" t="n">
        <v>0.84</v>
      </c>
      <c r="IX19" s="9" t="n">
        <v>37.35</v>
      </c>
      <c r="IY19" s="9" t="n">
        <v>20.76</v>
      </c>
      <c r="IZ19" s="9" t="n">
        <v>18.62</v>
      </c>
      <c r="JA19" s="9" t="n">
        <v>89.70999999999999</v>
      </c>
      <c r="JB19" s="9" t="n">
        <v>9.84</v>
      </c>
      <c r="JC19" s="9" t="n">
        <v>15.69</v>
      </c>
      <c r="JD19" s="9" t="n">
        <v>3.74</v>
      </c>
      <c r="JE19" s="9" t="n">
        <v>14.83</v>
      </c>
      <c r="JF19" s="9" t="n">
        <v>18.78</v>
      </c>
      <c r="JG19" s="9" t="n">
        <v>21.01</v>
      </c>
      <c r="JH19" s="9" t="n">
        <v>11.99</v>
      </c>
    </row>
    <row r="20">
      <c r="A20" s="12" t="n">
        <v>2022</v>
      </c>
      <c r="B20" s="31" t="inlineStr">
        <is>
          <t>Phoenix Rising</t>
        </is>
      </c>
      <c r="C20" s="12" t="n">
        <v>42</v>
      </c>
      <c r="D20" s="5">
        <f>(C20-AVERAGE($C$2:INDEX($C:$C,LOOKUP(2,1/(ISNUMBER($A$2:$A$1048576)),ROW($A$2:$A$1048576)))))/_xlfn.STDEV.P($C$2:INDEX($C:$C,LOOKUP(2,1/(ISNUMBER($A$2:$A$1048576)),ROW($A$2:$A$1048576))))</f>
        <v/>
      </c>
      <c r="E20" s="12" t="n">
        <v>10</v>
      </c>
      <c r="F20" s="6">
        <f>-E20</f>
        <v/>
      </c>
      <c r="G20" s="7">
        <f>(F20-AVERAGE($F$2:INDEX($F:$F,LOOKUP(2,1/(ISNUMBER($A$2:$A$1048576)),ROW($A$2:$A$1048576)))))/_xlfn.STDEV.P($F$2:INDEX($F:$F,LOOKUP(2,1/(ISNUMBER($A$2:$A$1048576)),ROW($A$2:$A$1048576))))</f>
        <v/>
      </c>
      <c r="H20" s="32">
        <f>sum(0.5*D20)+(0.5*G20)</f>
        <v/>
      </c>
      <c r="I20" s="12" t="inlineStr">
        <is>
          <t>West</t>
        </is>
      </c>
      <c r="J20" s="10">
        <f>sum(L20*L$105)+(N20*N$105)+(P20*P$105)+(T20*R$105)</f>
        <v/>
      </c>
      <c r="K20" s="33">
        <f>PERCENTRANK(J$2:INDEX($J:$J,LOOKUP(2,1/(ISNUMBER($A$2:$A$1048576)),ROW($A$2:$A$1048576))),J20)</f>
        <v/>
      </c>
      <c r="L20" s="10">
        <f>sum(AA20*0.66)+(AD20*0.55)+(AG20*0.59)+(CG20*0.51)+(CL20*0.6)+(EY20*0.31)</f>
        <v/>
      </c>
      <c r="M20" s="33">
        <f>PERCENTRANK(L$2:INDEX($L:$L,LOOKUP(2,1/(ISNUMBER($A$2:$A$1048576)),ROW($A$2:$A$1048576))),L20)</f>
        <v/>
      </c>
      <c r="N20" s="10">
        <f>sum(CT20*0.57)+(CW20*0.71)+(DJ20*0.08)+(FC20*0.33)+(FG20*0.69)+(FM20*0.26)+(IU20*0.54)+(AU20*0.4)</f>
        <v/>
      </c>
      <c r="O20" s="33">
        <f>PERCENTRANK(N$2:INDEX($N:$N,LOOKUP(2,1/(ISNUMBER($A$2:$A$1048576)),ROW($A$2:$A$1048576))),N20)</f>
        <v/>
      </c>
      <c r="P20" s="10">
        <f>sum(BG20*0.51)+(CD20*0.51)+(DR20*0.11)+(EF20*0.42)+(EK20*0.44)+(W20*0.6)</f>
        <v/>
      </c>
      <c r="Q20" s="33">
        <f>PERCENTRANK(P$2:INDEX($P:$P,LOOKUP(2,1/(ISNUMBER($A$2:$A$1048576)),ROW($A$2:$A$1048576))),P20)</f>
        <v/>
      </c>
      <c r="R20" s="10">
        <f>sum(Y20-FE20)</f>
        <v/>
      </c>
      <c r="S20" s="33">
        <f>PERCENTRANK(R$2:INDEX($R:$R,LOOKUP(2,1/(ISNUMBER($A$2:$A$1048576)),ROW($A$2:$A$1048576))),R20)</f>
        <v/>
      </c>
      <c r="T20" s="34">
        <f>sum(R20-R$106)/R$107</f>
        <v/>
      </c>
      <c r="U20" s="35">
        <f>sum(Y20/AI20)*100</f>
        <v/>
      </c>
      <c r="V20" s="33">
        <f>PERCENTRANK(U$2:INDEX($U:$U,LOOKUP(2,1/(ISNUMBER($A$2:$A$1048576)),ROW($A$2:$A$1048576))),U20)</f>
        <v/>
      </c>
      <c r="W20" s="36">
        <f>sum(U20-U$106)/U$107</f>
        <v/>
      </c>
      <c r="X20" s="9" t="n">
        <v>1.47</v>
      </c>
      <c r="Y20" s="9" t="n">
        <v>1.51</v>
      </c>
      <c r="Z20" s="33">
        <f>PERCENTRANK(Y$2:INDEX($Y:$Y,LOOKUP(2,1/(ISNUMBER($A$2:$A$1048576)),ROW($A$2:$A$1048576))),Y20)</f>
        <v/>
      </c>
      <c r="AA20" s="37">
        <f>sum(Y20-Y$106)/Y$107</f>
        <v/>
      </c>
      <c r="AB20" s="9" t="n">
        <v>14.85</v>
      </c>
      <c r="AC20" s="33">
        <f>PERCENTRANK(AB$2:INDEX($AB:$AB,LOOKUP(2,1/(ISNUMBER($A$2:$A$1048576)),ROW($A$2:$A$1048576))),AB20)</f>
        <v/>
      </c>
      <c r="AD20" s="38">
        <f>sum(AB20-AB$106)/AB$107</f>
        <v/>
      </c>
      <c r="AE20" s="9" t="n">
        <v>4.76</v>
      </c>
      <c r="AF20" s="33">
        <f>PERCENTRANK(AE$2:INDEX($AE:$AE,LOOKUP(2,1/(ISNUMBER($A$2:$A$1048576)),ROW($A$2:$A$1048576))),AE20)</f>
        <v/>
      </c>
      <c r="AG20" s="38">
        <f>sum(AE20-AE$106)/AE$107</f>
        <v/>
      </c>
      <c r="AH20" s="9" t="n">
        <v>32.08</v>
      </c>
      <c r="AI20" s="9" t="n">
        <v>384.53</v>
      </c>
      <c r="AJ20" s="9" t="n">
        <v>312.59</v>
      </c>
      <c r="AK20" s="9" t="n">
        <v>81.29000000000001</v>
      </c>
      <c r="AL20" s="9" t="n">
        <v>48.75</v>
      </c>
      <c r="AM20" s="9" t="n">
        <v>100</v>
      </c>
      <c r="AN20" s="9" t="n">
        <v>16.91</v>
      </c>
      <c r="AO20" s="9" t="n">
        <v>33.68</v>
      </c>
      <c r="AP20" s="9" t="n">
        <v>49.41</v>
      </c>
      <c r="AQ20" s="9" t="n">
        <v>79.73999999999999</v>
      </c>
      <c r="AR20" s="9" t="n">
        <v>33.41</v>
      </c>
      <c r="AS20" s="9" t="n">
        <v>33.24</v>
      </c>
      <c r="AT20" s="33">
        <f>PERCENTRANK(AS$2:INDEX($AS:$AS,LOOKUP(2,1/(ISNUMBER($A$2:$A$1048576)),ROW($A$2:$A$1048576))),AS20)</f>
        <v/>
      </c>
      <c r="AU20" s="39">
        <f>SUM(AS20-AS$106)/AS$107</f>
        <v/>
      </c>
      <c r="AV20" s="9" t="n">
        <v>13.09</v>
      </c>
      <c r="AW20" s="33">
        <f>PERCENTRANK(AV$2:INDEX($AV:$AV,LOOKUP(2,1/(ISNUMBER($A$2:$A$1048576)),ROW($A$2:$A$1048576))),AV20)</f>
        <v/>
      </c>
      <c r="AX20" s="9" t="n">
        <v>190.53</v>
      </c>
      <c r="AY20" s="9" t="n">
        <v>92.12</v>
      </c>
      <c r="AZ20" s="9" t="n">
        <v>48.35</v>
      </c>
      <c r="BA20" s="9" t="n">
        <v>6.65</v>
      </c>
      <c r="BB20" s="9" t="n">
        <v>1.76</v>
      </c>
      <c r="BC20" s="9" t="n">
        <v>26.55</v>
      </c>
      <c r="BD20" s="9" t="n">
        <v>30.71</v>
      </c>
      <c r="BE20" s="9" t="n">
        <v>9.32</v>
      </c>
      <c r="BF20" s="33">
        <f>PERCENTRANK(BE$2:INDEX($BE:$BE,LOOKUP(2,1/(ISNUMBER($A$2:$A$1048576)),ROW($A$2:$A$1048576))),BE20)</f>
        <v/>
      </c>
      <c r="BG20" s="40">
        <f>sum(BE20-BE$106)/BE$107</f>
        <v/>
      </c>
      <c r="BH20" s="9" t="n">
        <v>30.36</v>
      </c>
      <c r="BI20" s="9" t="n">
        <v>1.76</v>
      </c>
      <c r="BJ20" s="9" t="n">
        <v>0.88</v>
      </c>
      <c r="BK20" s="9" t="n">
        <v>50</v>
      </c>
      <c r="BL20" s="9" t="n">
        <v>27.85</v>
      </c>
      <c r="BM20" s="9" t="n">
        <v>4.21</v>
      </c>
      <c r="BN20" s="9" t="n">
        <v>15.1</v>
      </c>
      <c r="BO20" s="9" t="n">
        <v>5.35</v>
      </c>
      <c r="BP20" s="9" t="n">
        <v>1.65</v>
      </c>
      <c r="BQ20" s="9" t="n">
        <v>30.77</v>
      </c>
      <c r="BR20" s="9" t="n">
        <v>2.38</v>
      </c>
      <c r="BS20" s="9" t="n">
        <v>0.59</v>
      </c>
      <c r="BT20" s="9" t="n">
        <v>24.69</v>
      </c>
      <c r="BU20" s="9" t="n">
        <v>0.12</v>
      </c>
      <c r="BV20" s="9" t="n">
        <v>0.09</v>
      </c>
      <c r="BW20" s="9" t="n">
        <v>75</v>
      </c>
      <c r="BX20" s="9" t="n">
        <v>16.76</v>
      </c>
      <c r="BY20" s="9" t="n">
        <v>6.06</v>
      </c>
      <c r="BZ20" s="9" t="n">
        <v>36.14</v>
      </c>
      <c r="CA20" s="9" t="n">
        <v>6.06</v>
      </c>
      <c r="CB20" s="9" t="n">
        <v>6.53</v>
      </c>
      <c r="CC20" s="33">
        <f>PERCENTRANK(CD$2:INDEX($CD:$CD,LOOKUP(2,1/(ISNUMBER($A$2:$A$1048576)),ROW($A$2:$A$1048576))),CD20)</f>
        <v/>
      </c>
      <c r="CD20" s="40">
        <f>sum(CB20-CB$106)/CB$107</f>
        <v/>
      </c>
      <c r="CE20" s="9" t="n">
        <v>26.32</v>
      </c>
      <c r="CF20" s="33">
        <f>PERCENTRANK(CE$2:INDEX($CE:$CE,LOOKUP(2,1/(ISNUMBER($A$2:$A$1048576)),ROW($A$2:$A$1048576))),CE20)</f>
        <v/>
      </c>
      <c r="CG20" s="38">
        <f>sum(CE20-CE$106)/CE$107</f>
        <v/>
      </c>
      <c r="CH20" s="9" t="n">
        <v>4.68</v>
      </c>
      <c r="CI20" s="9" t="n">
        <v>10.68</v>
      </c>
      <c r="CJ20" s="9" t="n">
        <v>18.85</v>
      </c>
      <c r="CK20" s="33">
        <f>PERCENTRANK(CJ$2:INDEX($CJ:$CJ,LOOKUP(2,1/(ISNUMBER($A$2:$A$1048576)),ROW($A$2:$A$1048576))),CJ20)</f>
        <v/>
      </c>
      <c r="CL20" s="38">
        <f>sum(CJ20-CJ$106)/CJ$107</f>
        <v/>
      </c>
      <c r="CM20" s="9" t="n">
        <v>63.91</v>
      </c>
      <c r="CN20" s="9" t="n">
        <v>26.85</v>
      </c>
      <c r="CO20" s="9" t="n">
        <v>42.02</v>
      </c>
      <c r="CP20" s="9" t="n">
        <v>1.65</v>
      </c>
      <c r="CQ20" s="9" t="n">
        <v>1.71</v>
      </c>
      <c r="CR20" s="9" t="n">
        <v>13.94</v>
      </c>
      <c r="CS20" s="33">
        <f>PERCENTRANK(CR$2:INDEX($CR:$CR,LOOKUP(2,1/(ISNUMBER($A$2:$A$1048576)),ROW($A$2:$A$1048576))),CR20)</f>
        <v/>
      </c>
      <c r="CT20" s="39">
        <f>1-(CR20-CR$106)/CR$107</f>
        <v/>
      </c>
      <c r="CU20" s="9" t="n">
        <v>5.32</v>
      </c>
      <c r="CV20" s="33">
        <f>PERCENTRANK(CU$2:INDEX($CU:$CU,LOOKUP(2,1/(ISNUMBER($A$2:$A$1048576)),ROW($A$2:$A$1048576))),CU20)</f>
        <v/>
      </c>
      <c r="CW20" s="39">
        <f>1-(CU20-CU$106)/CU$107</f>
        <v/>
      </c>
      <c r="CX20" s="9" t="n">
        <v>38.19</v>
      </c>
      <c r="CY20" s="9" t="n">
        <v>62.68</v>
      </c>
      <c r="CZ20" s="9" t="n">
        <v>36.21</v>
      </c>
      <c r="DA20" s="9" t="n">
        <v>57.77</v>
      </c>
      <c r="DB20" s="9" t="n">
        <v>32.85</v>
      </c>
      <c r="DC20" s="9" t="n">
        <v>16.53</v>
      </c>
      <c r="DD20" s="9" t="n">
        <v>50.31</v>
      </c>
      <c r="DE20" s="9" t="n">
        <v>3.53</v>
      </c>
      <c r="DF20" s="9" t="n">
        <v>1.74</v>
      </c>
      <c r="DG20" s="9" t="n">
        <v>49.17</v>
      </c>
      <c r="DH20" s="9" t="n">
        <v>37.53</v>
      </c>
      <c r="DI20" s="33">
        <f>PERCENTRANK(DH$2:INDEX($DH:$DH,LOOKUP(2,1/(ISNUMBER($A$2:$A$1048576)),ROW($A$2:$A$1048576))),DH20)</f>
        <v/>
      </c>
      <c r="DJ20" s="39">
        <f>SUM(DH20-DH$106)/DH$107</f>
        <v/>
      </c>
      <c r="DK20" s="9" t="n">
        <v>14.65</v>
      </c>
      <c r="DL20" s="9" t="n">
        <v>12.12</v>
      </c>
      <c r="DM20" s="9" t="n">
        <v>2.74</v>
      </c>
      <c r="DN20" s="9" t="n">
        <v>0.26</v>
      </c>
      <c r="DO20" s="9" t="n">
        <v>138.59</v>
      </c>
      <c r="DP20" s="9" t="n">
        <v>100.41</v>
      </c>
      <c r="DQ20" s="33">
        <f>PERCENTRANK(DP$2:INDEX($DP:$DP,LOOKUP(2,1/(ISNUMBER($A$2:$A$1048576)),ROW($A$2:$A$1048576))),DP20)</f>
        <v/>
      </c>
      <c r="DR20" s="40">
        <f>sum(DP20-DP$106)/DP$107</f>
        <v/>
      </c>
      <c r="DS20" s="9" t="n">
        <v>72.45</v>
      </c>
      <c r="DT20" s="9" t="n">
        <v>55.32</v>
      </c>
      <c r="DU20" s="9" t="n">
        <v>51.62</v>
      </c>
      <c r="DV20" s="9" t="n">
        <v>93.3</v>
      </c>
      <c r="DW20" s="9" t="n">
        <v>138.82</v>
      </c>
      <c r="DX20" s="9" t="n">
        <v>119.38</v>
      </c>
      <c r="DY20" s="9" t="n">
        <v>86</v>
      </c>
      <c r="DZ20" s="9" t="n">
        <v>46.88</v>
      </c>
      <c r="EA20" s="9" t="n">
        <v>25.68</v>
      </c>
      <c r="EB20" s="9" t="n">
        <v>54.77</v>
      </c>
      <c r="EC20" s="9" t="n">
        <v>56.38</v>
      </c>
      <c r="ED20" s="9" t="n">
        <v>38.06</v>
      </c>
      <c r="EE20" s="33">
        <f>PERCENTRANK(ED$2:INDEX($ED:$ED,LOOKUP(2,1/(ISNUMBER($A$2:$A$1048576)),ROW($A$2:$A$1048576))),ED20)</f>
        <v/>
      </c>
      <c r="EF20" s="40">
        <f>sum(ED20-ED$106)/ED$107</f>
        <v/>
      </c>
      <c r="EG20" s="9" t="n">
        <v>67.5</v>
      </c>
      <c r="EH20" s="9" t="n">
        <v>73.73999999999999</v>
      </c>
      <c r="EI20" s="9" t="n">
        <v>56.65</v>
      </c>
      <c r="EJ20" s="33">
        <f>PERCENTRANK(EI$2:INDEX($EI:$EI,LOOKUP(2,1/(ISNUMBER($A$2:$A$1048576)),ROW($A$2:$A$1048576))),EI20)</f>
        <v/>
      </c>
      <c r="EK20" s="40">
        <f>sum(EI20-EI$106)/EI$107</f>
        <v/>
      </c>
      <c r="EL20" s="9" t="n">
        <v>76.81999999999999</v>
      </c>
      <c r="EM20" s="9" t="n">
        <v>3.35</v>
      </c>
      <c r="EN20" s="9" t="n">
        <v>1.21</v>
      </c>
      <c r="EO20" s="9" t="n">
        <v>35.96</v>
      </c>
      <c r="EP20" s="9" t="n">
        <v>20.18</v>
      </c>
      <c r="EQ20" s="9" t="n">
        <v>18.35</v>
      </c>
      <c r="ER20" s="9" t="n">
        <v>90.95999999999999</v>
      </c>
      <c r="ES20" s="9" t="n">
        <v>9.35</v>
      </c>
      <c r="ET20" s="9" t="n">
        <v>16.04</v>
      </c>
      <c r="EU20" s="9" t="n">
        <v>3.58</v>
      </c>
      <c r="EV20" s="9" t="n">
        <v>12.87</v>
      </c>
      <c r="EW20" s="9" t="n">
        <v>18.96</v>
      </c>
      <c r="EX20" s="33">
        <f>PERCENTRANK(EW$2:INDEX($EW:$EW,LOOKUP(2,1/(ISNUMBER($A$2:$A$1048576)),ROW($A$2:$A$1048576))),EW20)</f>
        <v/>
      </c>
      <c r="EY20" s="38">
        <f>1-(EW20-EW$106)/EW$107</f>
        <v/>
      </c>
      <c r="EZ20" s="9" t="n">
        <v>21.1</v>
      </c>
      <c r="FA20" s="9" t="n">
        <v>11.17</v>
      </c>
      <c r="FB20" s="33">
        <f>PERCENTRANK(FA$2:INDEX($FA:$FA,LOOKUP(2,1/(ISNUMBER($A$2:$A$1048576)),ROW($A$2:$A$1048576))),FA20)</f>
        <v/>
      </c>
      <c r="FC20" s="39">
        <f>1-(FA20-FA$106)/FA$107</f>
        <v/>
      </c>
      <c r="FD20" s="9" t="n">
        <v>1.71</v>
      </c>
      <c r="FE20" s="9" t="n">
        <v>1.7</v>
      </c>
      <c r="FF20" s="33">
        <f>PERCENTRANK(FE$2:INDEX($FE:$FE,LOOKUP(2,1/(ISNUMBER($A$2:$A$1048576)),ROW($A$2:$A$1048576))),FE20)</f>
        <v/>
      </c>
      <c r="FG20" s="39">
        <f>1-(FE20-FE$106)/FE$107</f>
        <v/>
      </c>
      <c r="FH20" s="9" t="n">
        <v>13.94</v>
      </c>
      <c r="FI20" s="9" t="n">
        <v>5.03</v>
      </c>
      <c r="FJ20" s="9" t="n">
        <v>36.08</v>
      </c>
      <c r="FK20" s="9" t="n">
        <v>404.94</v>
      </c>
      <c r="FL20" s="33">
        <f>PERCENTRANK(FK$2:INDEX($FK:$FK,LOOKUP(2,1/(ISNUMBER($A$2:$A$1048576)),ROW($A$2:$A$1048576))),FK20)</f>
        <v/>
      </c>
      <c r="FM20" s="39">
        <f>SWA19-(FK20-FK$106)/FK$107</f>
        <v/>
      </c>
      <c r="FN20" s="9" t="n">
        <v>336.44</v>
      </c>
      <c r="FO20" s="9" t="n">
        <v>83.08</v>
      </c>
      <c r="FP20" s="9" t="n">
        <v>51.25</v>
      </c>
      <c r="FQ20" s="9" t="n">
        <v>100.41</v>
      </c>
      <c r="FR20" s="9" t="n">
        <v>20.79</v>
      </c>
      <c r="FS20" s="9" t="n">
        <v>37.24</v>
      </c>
      <c r="FT20" s="9" t="n">
        <v>42.38</v>
      </c>
      <c r="FU20" s="9" t="n">
        <v>78.26000000000001</v>
      </c>
      <c r="FV20" s="9" t="n">
        <v>37.76</v>
      </c>
      <c r="FW20" s="9" t="n">
        <v>29.74</v>
      </c>
      <c r="FX20" s="9" t="n">
        <v>10.76</v>
      </c>
      <c r="FY20" s="9" t="n">
        <v>190.53</v>
      </c>
      <c r="FZ20" s="9" t="n">
        <v>91.12</v>
      </c>
      <c r="GA20" s="9" t="n">
        <v>47.82</v>
      </c>
      <c r="GB20" s="9" t="n">
        <v>5.44</v>
      </c>
      <c r="GC20" s="9" t="n">
        <v>1.26</v>
      </c>
      <c r="GD20" s="9" t="n">
        <v>23.24</v>
      </c>
      <c r="GE20" s="9" t="n">
        <v>26.71</v>
      </c>
      <c r="GF20" s="9" t="n">
        <v>7.88</v>
      </c>
      <c r="GG20" s="9" t="n">
        <v>29.52</v>
      </c>
      <c r="GH20" s="9" t="n">
        <v>2.29</v>
      </c>
      <c r="GI20" s="9" t="n">
        <v>0.85</v>
      </c>
      <c r="GJ20" s="9" t="n">
        <v>37.18</v>
      </c>
      <c r="GK20" s="9" t="n">
        <v>27.5</v>
      </c>
      <c r="GL20" s="9" t="n">
        <v>4.56</v>
      </c>
      <c r="GM20" s="9" t="n">
        <v>16.58</v>
      </c>
      <c r="GN20" s="9" t="n">
        <v>5.74</v>
      </c>
      <c r="GO20" s="9" t="n">
        <v>2.18</v>
      </c>
      <c r="GP20" s="9" t="n">
        <v>37.95</v>
      </c>
      <c r="GQ20" s="9" t="n">
        <v>2.41</v>
      </c>
      <c r="GR20" s="9" t="n">
        <v>0.88</v>
      </c>
      <c r="GS20" s="9" t="n">
        <v>36.59</v>
      </c>
      <c r="GT20" s="9" t="n">
        <v>0.18</v>
      </c>
      <c r="GU20" s="9" t="n">
        <v>0.09</v>
      </c>
      <c r="GV20" s="9" t="n">
        <v>50</v>
      </c>
      <c r="GW20" s="9" t="n">
        <v>13.5</v>
      </c>
      <c r="GX20" s="9" t="n">
        <v>4.41</v>
      </c>
      <c r="GY20" s="9" t="n">
        <v>32.68</v>
      </c>
      <c r="GZ20" s="9" t="n">
        <v>4.5</v>
      </c>
      <c r="HA20" s="9" t="n">
        <v>7.82</v>
      </c>
      <c r="HB20" s="9" t="n">
        <v>23.44</v>
      </c>
      <c r="HC20" s="9" t="n">
        <v>4.41</v>
      </c>
      <c r="HD20" s="9" t="n">
        <v>7.74</v>
      </c>
      <c r="HE20" s="9" t="n">
        <v>19.56</v>
      </c>
      <c r="HF20" s="9" t="n">
        <v>62.68</v>
      </c>
      <c r="HG20" s="9" t="n">
        <v>26.47</v>
      </c>
      <c r="HH20" s="9" t="n">
        <v>42.23</v>
      </c>
      <c r="HI20" s="9" t="n">
        <v>2.18</v>
      </c>
      <c r="HJ20" s="9" t="n">
        <v>1.47</v>
      </c>
      <c r="HK20" s="9" t="n">
        <v>14.85</v>
      </c>
      <c r="HL20" s="9" t="n">
        <v>5.21</v>
      </c>
      <c r="HM20" s="9" t="n">
        <v>35.05</v>
      </c>
      <c r="HN20" s="9" t="n">
        <v>63.91</v>
      </c>
      <c r="HO20" s="9" t="n">
        <v>37.06</v>
      </c>
      <c r="HP20" s="9" t="n">
        <v>57.98</v>
      </c>
      <c r="HQ20" s="9" t="n">
        <v>32.85</v>
      </c>
      <c r="HR20" s="9" t="n">
        <v>14.18</v>
      </c>
      <c r="HS20" s="9" t="n">
        <v>43.15</v>
      </c>
      <c r="HT20" s="9" t="n">
        <v>3.88</v>
      </c>
      <c r="HU20" s="9" t="n">
        <v>1.82</v>
      </c>
      <c r="HV20" s="9" t="n">
        <v>46.97</v>
      </c>
      <c r="HW20" s="9" t="n">
        <v>43.68</v>
      </c>
      <c r="HX20" s="9" t="n">
        <v>17.09</v>
      </c>
      <c r="HY20" s="9" t="n">
        <v>12.21</v>
      </c>
      <c r="HZ20" s="9" t="n">
        <v>2.26</v>
      </c>
      <c r="IA20" s="9" t="n">
        <v>0.09</v>
      </c>
      <c r="IB20" s="9" t="n">
        <v>139.26</v>
      </c>
      <c r="IC20" s="9" t="n">
        <v>101.74</v>
      </c>
      <c r="ID20" s="9" t="n">
        <v>73.05</v>
      </c>
      <c r="IE20" s="9" t="n">
        <v>59.21</v>
      </c>
      <c r="IF20" s="9" t="n">
        <v>55.53</v>
      </c>
      <c r="IG20" s="9" t="n">
        <v>93.79000000000001</v>
      </c>
      <c r="IH20" s="9" t="n">
        <v>146.62</v>
      </c>
      <c r="II20" s="9" t="n">
        <v>129.38</v>
      </c>
      <c r="IJ20" s="9" t="n">
        <v>88.23999999999999</v>
      </c>
      <c r="IK20" s="9" t="n">
        <v>45.38</v>
      </c>
      <c r="IL20" s="9" t="n">
        <v>24.97</v>
      </c>
      <c r="IM20" s="9" t="n">
        <v>55.02</v>
      </c>
      <c r="IN20" s="9" t="n">
        <v>50.26</v>
      </c>
      <c r="IO20" s="9" t="n">
        <v>34.12</v>
      </c>
      <c r="IP20" s="9" t="n">
        <v>67.88</v>
      </c>
      <c r="IQ20" s="9" t="n">
        <v>73.03</v>
      </c>
      <c r="IR20" s="9" t="n">
        <v>52.06</v>
      </c>
      <c r="IS20" s="9" t="n">
        <v>71.28</v>
      </c>
      <c r="IT20" s="33">
        <f>PERCENTRANK(IS$2:INDEX($IS:$IS,LOOKUP(2,1/(ISNUMBER($A$2:$A$1048576)),ROW($A$2:$A$1048576))),IS20)</f>
        <v/>
      </c>
      <c r="IU20" s="39">
        <f>1-(IS20-IS$106)/IS$107</f>
        <v/>
      </c>
      <c r="IV20" s="9" t="n">
        <v>5.97</v>
      </c>
      <c r="IW20" s="9" t="n">
        <v>2.56</v>
      </c>
      <c r="IX20" s="9" t="n">
        <v>42.86</v>
      </c>
      <c r="IY20" s="9" t="n">
        <v>21.41</v>
      </c>
      <c r="IZ20" s="9" t="n">
        <v>19.29</v>
      </c>
      <c r="JA20" s="9" t="n">
        <v>90.11</v>
      </c>
      <c r="JB20" s="9" t="n">
        <v>10.65</v>
      </c>
      <c r="JC20" s="9" t="n">
        <v>16.08</v>
      </c>
      <c r="JD20" s="9" t="n">
        <v>3.72</v>
      </c>
      <c r="JE20" s="9" t="n">
        <v>11.82</v>
      </c>
      <c r="JF20" s="9" t="n">
        <v>18.03</v>
      </c>
      <c r="JG20" s="9" t="n">
        <v>20.26</v>
      </c>
      <c r="JH20" s="9" t="n">
        <v>10.27</v>
      </c>
    </row>
    <row r="21">
      <c r="A21" s="12" t="n">
        <v>2023</v>
      </c>
      <c r="B21" s="31" t="inlineStr">
        <is>
          <t>Colorado Springs</t>
        </is>
      </c>
      <c r="C21" s="12" t="n">
        <v>53</v>
      </c>
      <c r="D21" s="5">
        <f>(C21-AVERAGE($C$2:INDEX($C:$C,LOOKUP(2,1/(ISNUMBER($A$2:$A$1048576)),ROW($A$2:$A$1048576)))))/_xlfn.STDEV.P($C$2:INDEX($C:$C,LOOKUP(2,1/(ISNUMBER($A$2:$A$1048576)),ROW($A$2:$A$1048576))))</f>
        <v/>
      </c>
      <c r="E21" s="12" t="n">
        <v>5</v>
      </c>
      <c r="F21" s="6">
        <f>-E21</f>
        <v/>
      </c>
      <c r="G21" s="7">
        <f>(F21-AVERAGE($F$2:INDEX($F:$F,LOOKUP(2,1/(ISNUMBER($A$2:$A$1048576)),ROW($A$2:$A$1048576)))))/_xlfn.STDEV.P($F$2:INDEX($F:$F,LOOKUP(2,1/(ISNUMBER($A$2:$A$1048576)),ROW($A$2:$A$1048576))))</f>
        <v/>
      </c>
      <c r="H21" s="32">
        <f>sum(0.5*D21)+(0.5*G21)</f>
        <v/>
      </c>
      <c r="I21" s="12" t="inlineStr">
        <is>
          <t>West</t>
        </is>
      </c>
      <c r="J21" s="10">
        <f>sum(L21*L$105)+(N21*N$105)+(P21*P$105)+(T21*R$105)</f>
        <v/>
      </c>
      <c r="K21" s="33">
        <f>PERCENTRANK(J$2:INDEX($J:$J,LOOKUP(2,1/(ISNUMBER($A$2:$A$1048576)),ROW($A$2:$A$1048576))),J21)</f>
        <v/>
      </c>
      <c r="L21" s="10">
        <f>sum(AA21*0.66)+(AD21*0.55)+(AG21*0.59)+(CG21*0.51)+(CL21*0.6)+(EY21*0.31)</f>
        <v/>
      </c>
      <c r="M21" s="33">
        <f>PERCENTRANK(L$2:INDEX($L:$L,LOOKUP(2,1/(ISNUMBER($A$2:$A$1048576)),ROW($A$2:$A$1048576))),L21)</f>
        <v/>
      </c>
      <c r="N21" s="10">
        <f>sum(CT21*0.57)+(CW21*0.71)+(DJ21*0.08)+(FC21*0.33)+(FG21*0.69)+(FM21*0.26)+(IU21*0.54)+(AU21*0.4)</f>
        <v/>
      </c>
      <c r="O21" s="33">
        <f>PERCENTRANK(N$2:INDEX($N:$N,LOOKUP(2,1/(ISNUMBER($A$2:$A$1048576)),ROW($A$2:$A$1048576))),N21)</f>
        <v/>
      </c>
      <c r="P21" s="10">
        <f>sum(BG21*0.51)+(CD21*0.51)+(DR21*0.11)+(EF21*0.42)+(EK21*0.44)+(W21*0.6)</f>
        <v/>
      </c>
      <c r="Q21" s="33">
        <f>PERCENTRANK(P$2:INDEX($P:$P,LOOKUP(2,1/(ISNUMBER($A$2:$A$1048576)),ROW($A$2:$A$1048576))),P21)</f>
        <v/>
      </c>
      <c r="R21" s="10">
        <f>sum(Y21-FE21)</f>
        <v/>
      </c>
      <c r="S21" s="33">
        <f>PERCENTRANK(R$2:INDEX($R:$R,LOOKUP(2,1/(ISNUMBER($A$2:$A$1048576)),ROW($A$2:$A$1048576))),R21)</f>
        <v/>
      </c>
      <c r="T21" s="34">
        <f>sum(R21-R$106)/R$107</f>
        <v/>
      </c>
      <c r="U21" s="35">
        <f>sum(Y21/AI21)*100</f>
        <v/>
      </c>
      <c r="V21" s="33">
        <f>PERCENTRANK(U$2:INDEX($U:$U,LOOKUP(2,1/(ISNUMBER($A$2:$A$1048576)),ROW($A$2:$A$1048576))),U21)</f>
        <v/>
      </c>
      <c r="W21" s="36">
        <f>sum(U21-U$106)/U$107</f>
        <v/>
      </c>
      <c r="X21" s="9" t="n">
        <v>1.4</v>
      </c>
      <c r="Y21" s="9" t="n">
        <v>1.32</v>
      </c>
      <c r="Z21" s="33">
        <f>PERCENTRANK(Y$2:INDEX($Y:$Y,LOOKUP(2,1/(ISNUMBER($A$2:$A$1048576)),ROW($A$2:$A$1048576))),Y21)</f>
        <v/>
      </c>
      <c r="AA21" s="37">
        <f>sum(Y21-Y$106)/Y$107</f>
        <v/>
      </c>
      <c r="AB21" s="9" t="n">
        <v>11.43</v>
      </c>
      <c r="AC21" s="33">
        <f>PERCENTRANK(AB$2:INDEX($AB:$AB,LOOKUP(2,1/(ISNUMBER($A$2:$A$1048576)),ROW($A$2:$A$1048576))),AB21)</f>
        <v/>
      </c>
      <c r="AD21" s="38">
        <f>sum(AB21-AB$106)/AB$107</f>
        <v/>
      </c>
      <c r="AE21" s="9" t="n">
        <v>4.23</v>
      </c>
      <c r="AF21" s="33">
        <f>PERCENTRANK(AE$2:INDEX($AE:$AE,LOOKUP(2,1/(ISNUMBER($A$2:$A$1048576)),ROW($A$2:$A$1048576))),AE21)</f>
        <v/>
      </c>
      <c r="AG21" s="38">
        <f>sum(AE21-AE$106)/AE$107</f>
        <v/>
      </c>
      <c r="AH21" s="9" t="n">
        <v>37</v>
      </c>
      <c r="AI21" s="9" t="n">
        <v>422.57</v>
      </c>
      <c r="AJ21" s="9" t="n">
        <v>350.14</v>
      </c>
      <c r="AK21" s="9" t="n">
        <v>82.86</v>
      </c>
      <c r="AL21" s="9" t="n">
        <v>51.35</v>
      </c>
      <c r="AM21" s="9" t="n">
        <v>101.29</v>
      </c>
      <c r="AN21" s="9" t="n">
        <v>19.8</v>
      </c>
      <c r="AO21" s="9" t="n">
        <v>34.11</v>
      </c>
      <c r="AP21" s="9" t="n">
        <v>47.37</v>
      </c>
      <c r="AQ21" s="9" t="n">
        <v>77.77</v>
      </c>
      <c r="AR21" s="9" t="n">
        <v>35.74</v>
      </c>
      <c r="AS21" s="9" t="n">
        <v>29.03</v>
      </c>
      <c r="AT21" s="33">
        <f>PERCENTRANK(AS$2:INDEX($AS:$AS,LOOKUP(2,1/(ISNUMBER($A$2:$A$1048576)),ROW($A$2:$A$1048576))),AS21)</f>
        <v/>
      </c>
      <c r="AU21" s="39">
        <f>SUM(AS21-AS$106)/AS$107</f>
        <v/>
      </c>
      <c r="AV21" s="9" t="n">
        <v>13</v>
      </c>
      <c r="AW21" s="33">
        <f>PERCENTRANK(AV$2:INDEX($AV:$AV,LOOKUP(2,1/(ISNUMBER($A$2:$A$1048576)),ROW($A$2:$A$1048576))),AV21)</f>
        <v/>
      </c>
      <c r="AX21" s="9" t="n">
        <v>187.06</v>
      </c>
      <c r="AY21" s="9" t="n">
        <v>87.48999999999999</v>
      </c>
      <c r="AZ21" s="9" t="n">
        <v>46.77</v>
      </c>
      <c r="BA21" s="9" t="n">
        <v>4.69</v>
      </c>
      <c r="BB21" s="9" t="n">
        <v>1.26</v>
      </c>
      <c r="BC21" s="9" t="n">
        <v>26.83</v>
      </c>
      <c r="BD21" s="9" t="n">
        <v>28.66</v>
      </c>
      <c r="BE21" s="9" t="n">
        <v>6.69</v>
      </c>
      <c r="BF21" s="33">
        <f>PERCENTRANK(BE$2:INDEX($BE:$BE,LOOKUP(2,1/(ISNUMBER($A$2:$A$1048576)),ROW($A$2:$A$1048576))),BE21)</f>
        <v/>
      </c>
      <c r="BG21" s="40">
        <f>sum(BE21-BE$106)/BE$107</f>
        <v/>
      </c>
      <c r="BH21" s="9" t="n">
        <v>23.33</v>
      </c>
      <c r="BI21" s="9" t="n">
        <v>1.86</v>
      </c>
      <c r="BJ21" s="9" t="n">
        <v>0.89</v>
      </c>
      <c r="BK21" s="9" t="n">
        <v>47.69</v>
      </c>
      <c r="BL21" s="9" t="n">
        <v>25.46</v>
      </c>
      <c r="BM21" s="9" t="n">
        <v>3.26</v>
      </c>
      <c r="BN21" s="9" t="n">
        <v>12.79</v>
      </c>
      <c r="BO21" s="9" t="n">
        <v>4.89</v>
      </c>
      <c r="BP21" s="9" t="n">
        <v>1.34</v>
      </c>
      <c r="BQ21" s="9" t="n">
        <v>27.49</v>
      </c>
      <c r="BR21" s="9" t="n">
        <v>1.8</v>
      </c>
      <c r="BS21" s="9" t="n">
        <v>0.49</v>
      </c>
      <c r="BT21" s="9" t="n">
        <v>26.98</v>
      </c>
      <c r="BU21" s="9" t="n">
        <v>0.23</v>
      </c>
      <c r="BV21" s="9" t="n">
        <v>0.17</v>
      </c>
      <c r="BW21" s="9" t="n">
        <v>75</v>
      </c>
      <c r="BX21" s="9" t="n">
        <v>14.2</v>
      </c>
      <c r="BY21" s="9" t="n">
        <v>4.03</v>
      </c>
      <c r="BZ21" s="9" t="n">
        <v>28.37</v>
      </c>
      <c r="CA21" s="9" t="n">
        <v>4.31</v>
      </c>
      <c r="CB21" s="9" t="n">
        <v>7.77</v>
      </c>
      <c r="CC21" s="33">
        <f>PERCENTRANK(CD$2:INDEX($CD:$CD,LOOKUP(2,1/(ISNUMBER($A$2:$A$1048576)),ROW($A$2:$A$1048576))),CD21)</f>
        <v/>
      </c>
      <c r="CD21" s="40">
        <f>sum(CB21-CB$106)/CB$107</f>
        <v/>
      </c>
      <c r="CE21" s="9" t="n">
        <v>25.29</v>
      </c>
      <c r="CF21" s="33">
        <f>PERCENTRANK(CE$2:INDEX($CE:$CE,LOOKUP(2,1/(ISNUMBER($A$2:$A$1048576)),ROW($A$2:$A$1048576))),CE21)</f>
        <v/>
      </c>
      <c r="CG21" s="38">
        <f>sum(CE21-CE$106)/CE$107</f>
        <v/>
      </c>
      <c r="CH21" s="9" t="n">
        <v>4.74</v>
      </c>
      <c r="CI21" s="9" t="n">
        <v>7.51</v>
      </c>
      <c r="CJ21" s="9" t="n">
        <v>17.63</v>
      </c>
      <c r="CK21" s="33">
        <f>PERCENTRANK(CJ$2:INDEX($CJ:$CJ,LOOKUP(2,1/(ISNUMBER($A$2:$A$1048576)),ROW($A$2:$A$1048576))),CJ21)</f>
        <v/>
      </c>
      <c r="CL21" s="38">
        <f>sum(CJ21-CJ$106)/CJ$107</f>
        <v/>
      </c>
      <c r="CM21" s="9" t="n">
        <v>63.86</v>
      </c>
      <c r="CN21" s="9" t="n">
        <v>26.49</v>
      </c>
      <c r="CO21" s="9" t="n">
        <v>41.48</v>
      </c>
      <c r="CP21" s="9" t="n">
        <v>2.69</v>
      </c>
      <c r="CQ21" s="9" t="n">
        <v>1.23</v>
      </c>
      <c r="CR21" s="9" t="n">
        <v>11.77</v>
      </c>
      <c r="CS21" s="33">
        <f>PERCENTRANK(CR$2:INDEX($CR:$CR,LOOKUP(2,1/(ISNUMBER($A$2:$A$1048576)),ROW($A$2:$A$1048576))),CR21)</f>
        <v/>
      </c>
      <c r="CT21" s="39">
        <f>1-(CR21-CR$106)/CR$107</f>
        <v/>
      </c>
      <c r="CU21" s="9" t="n">
        <v>4.29</v>
      </c>
      <c r="CV21" s="33">
        <f>PERCENTRANK(CU$2:INDEX($CU:$CU,LOOKUP(2,1/(ISNUMBER($A$2:$A$1048576)),ROW($A$2:$A$1048576))),CU21)</f>
        <v/>
      </c>
      <c r="CW21" s="39">
        <f>1-(CU21-CU$106)/CU$107</f>
        <v/>
      </c>
      <c r="CX21" s="9" t="n">
        <v>36.41</v>
      </c>
      <c r="CY21" s="9" t="n">
        <v>60.69</v>
      </c>
      <c r="CZ21" s="9" t="n">
        <v>34.03</v>
      </c>
      <c r="DA21" s="9" t="n">
        <v>56.07</v>
      </c>
      <c r="DB21" s="9" t="n">
        <v>32.43</v>
      </c>
      <c r="DC21" s="9" t="n">
        <v>14.8</v>
      </c>
      <c r="DD21" s="9" t="n">
        <v>45.64</v>
      </c>
      <c r="DE21" s="9" t="n">
        <v>2.23</v>
      </c>
      <c r="DF21" s="9" t="n">
        <v>0.97</v>
      </c>
      <c r="DG21" s="9" t="n">
        <v>43.59</v>
      </c>
      <c r="DH21" s="9" t="n">
        <v>38.51</v>
      </c>
      <c r="DI21" s="33">
        <f>PERCENTRANK(DH$2:INDEX($DH:$DH,LOOKUP(2,1/(ISNUMBER($A$2:$A$1048576)),ROW($A$2:$A$1048576))),DH21)</f>
        <v/>
      </c>
      <c r="DJ21" s="39">
        <f>SUM(DH21-DH$106)/DH$107</f>
        <v/>
      </c>
      <c r="DK21" s="9" t="n">
        <v>15.8</v>
      </c>
      <c r="DL21" s="9" t="n">
        <v>14.43</v>
      </c>
      <c r="DM21" s="9" t="n">
        <v>2.66</v>
      </c>
      <c r="DN21" s="9" t="n">
        <v>0.14</v>
      </c>
      <c r="DO21" s="9" t="n">
        <v>145.17</v>
      </c>
      <c r="DP21" s="9" t="n">
        <v>104.54</v>
      </c>
      <c r="DQ21" s="33">
        <f>PERCENTRANK(DP$2:INDEX($DP:$DP,LOOKUP(2,1/(ISNUMBER($A$2:$A$1048576)),ROW($A$2:$A$1048576))),DP21)</f>
        <v/>
      </c>
      <c r="DR21" s="40">
        <f>sum(DP21-DP$106)/DP$107</f>
        <v/>
      </c>
      <c r="DS21" s="9" t="n">
        <v>72.01000000000001</v>
      </c>
      <c r="DT21" s="9" t="n">
        <v>57.11</v>
      </c>
      <c r="DU21" s="9" t="n">
        <v>53.74</v>
      </c>
      <c r="DV21" s="9" t="n">
        <v>94.09999999999999</v>
      </c>
      <c r="DW21" s="9" t="n">
        <v>158.34</v>
      </c>
      <c r="DX21" s="9" t="n">
        <v>140.94</v>
      </c>
      <c r="DY21" s="9" t="n">
        <v>89.01000000000001</v>
      </c>
      <c r="DZ21" s="9" t="n">
        <v>43.4</v>
      </c>
      <c r="EA21" s="9" t="n">
        <v>21</v>
      </c>
      <c r="EB21" s="9" t="n">
        <v>48.39</v>
      </c>
      <c r="EC21" s="9" t="n">
        <v>56.6</v>
      </c>
      <c r="ED21" s="9" t="n">
        <v>38.37</v>
      </c>
      <c r="EE21" s="33">
        <f>PERCENTRANK(ED$2:INDEX($ED:$ED,LOOKUP(2,1/(ISNUMBER($A$2:$A$1048576)),ROW($A$2:$A$1048576))),ED21)</f>
        <v/>
      </c>
      <c r="EF21" s="40">
        <f>sum(ED21-ED$106)/ED$107</f>
        <v/>
      </c>
      <c r="EG21" s="9" t="n">
        <v>67.79000000000001</v>
      </c>
      <c r="EH21" s="9" t="n">
        <v>70.48999999999999</v>
      </c>
      <c r="EI21" s="9" t="n">
        <v>51.71</v>
      </c>
      <c r="EJ21" s="33">
        <f>PERCENTRANK(EI$2:INDEX($EI:$EI,LOOKUP(2,1/(ISNUMBER($A$2:$A$1048576)),ROW($A$2:$A$1048576))),EI21)</f>
        <v/>
      </c>
      <c r="EK21" s="40">
        <f>sum(EI21-EI$106)/EI$107</f>
        <v/>
      </c>
      <c r="EL21" s="9" t="n">
        <v>73.37</v>
      </c>
      <c r="EM21" s="9" t="n">
        <v>4.43</v>
      </c>
      <c r="EN21" s="9" t="n">
        <v>1.69</v>
      </c>
      <c r="EO21" s="9" t="n">
        <v>38.06</v>
      </c>
      <c r="EP21" s="9" t="n">
        <v>20.17</v>
      </c>
      <c r="EQ21" s="9" t="n">
        <v>18.97</v>
      </c>
      <c r="ER21" s="9" t="n">
        <v>94.05</v>
      </c>
      <c r="ES21" s="9" t="n">
        <v>9.029999999999999</v>
      </c>
      <c r="ET21" s="9" t="n">
        <v>16.32</v>
      </c>
      <c r="EU21" s="9" t="n">
        <v>4.17</v>
      </c>
      <c r="EV21" s="9" t="n">
        <v>10.64</v>
      </c>
      <c r="EW21" s="9" t="n">
        <v>18.64</v>
      </c>
      <c r="EX21" s="33">
        <f>PERCENTRANK(EW$2:INDEX($EW:$EW,LOOKUP(2,1/(ISNUMBER($A$2:$A$1048576)),ROW($A$2:$A$1048576))),EW21)</f>
        <v/>
      </c>
      <c r="EY21" s="38">
        <f>1-(EW21-EW$106)/EW$107</f>
        <v/>
      </c>
      <c r="EZ21" s="9" t="n">
        <v>19.93</v>
      </c>
      <c r="FA21" s="9" t="n">
        <v>10.66</v>
      </c>
      <c r="FB21" s="33">
        <f>PERCENTRANK(FA$2:INDEX($FA:$FA,LOOKUP(2,1/(ISNUMBER($A$2:$A$1048576)),ROW($A$2:$A$1048576))),FA21)</f>
        <v/>
      </c>
      <c r="FC21" s="39">
        <f>1-(FA21-FA$106)/FA$107</f>
        <v/>
      </c>
      <c r="FD21" s="9" t="n">
        <v>1.23</v>
      </c>
      <c r="FE21" s="9" t="n">
        <v>1.36</v>
      </c>
      <c r="FF21" s="33">
        <f>PERCENTRANK(FE$2:INDEX($FE:$FE,LOOKUP(2,1/(ISNUMBER($A$2:$A$1048576)),ROW($A$2:$A$1048576))),FE21)</f>
        <v/>
      </c>
      <c r="FG21" s="39">
        <f>1-(FE21-FE$106)/FE$107</f>
        <v/>
      </c>
      <c r="FH21" s="9" t="n">
        <v>11.77</v>
      </c>
      <c r="FI21" s="9" t="n">
        <v>4.09</v>
      </c>
      <c r="FJ21" s="9" t="n">
        <v>34.71</v>
      </c>
      <c r="FK21" s="9" t="n">
        <v>387.09</v>
      </c>
      <c r="FL21" s="33">
        <f>PERCENTRANK(FK$2:INDEX($FK:$FK,LOOKUP(2,1/(ISNUMBER($A$2:$A$1048576)),ROW($A$2:$A$1048576))),FK21)</f>
        <v/>
      </c>
      <c r="FM21" s="39">
        <f>SWA20-(FK21-FK$106)/FK$107</f>
        <v/>
      </c>
      <c r="FN21" s="9" t="n">
        <v>317.17</v>
      </c>
      <c r="FO21" s="9" t="n">
        <v>81.94</v>
      </c>
      <c r="FP21" s="9" t="n">
        <v>48.65</v>
      </c>
      <c r="FQ21" s="9" t="n">
        <v>99.48999999999999</v>
      </c>
      <c r="FR21" s="9" t="n">
        <v>19.94</v>
      </c>
      <c r="FS21" s="9" t="n">
        <v>33.34</v>
      </c>
      <c r="FT21" s="9" t="n">
        <v>46.2</v>
      </c>
      <c r="FU21" s="9" t="n">
        <v>77.11</v>
      </c>
      <c r="FV21" s="9" t="n">
        <v>35.74</v>
      </c>
      <c r="FW21" s="9" t="n">
        <v>29.37</v>
      </c>
      <c r="FX21" s="9" t="n">
        <v>12</v>
      </c>
      <c r="FY21" s="9" t="n">
        <v>187.06</v>
      </c>
      <c r="FZ21" s="9" t="n">
        <v>91.14</v>
      </c>
      <c r="GA21" s="9" t="n">
        <v>48.72</v>
      </c>
      <c r="GB21" s="9" t="n">
        <v>5.74</v>
      </c>
      <c r="GC21" s="9" t="n">
        <v>1.66</v>
      </c>
      <c r="GD21" s="9" t="n">
        <v>28.86</v>
      </c>
      <c r="GE21" s="9" t="n">
        <v>25.83</v>
      </c>
      <c r="GF21" s="9" t="n">
        <v>6.69</v>
      </c>
      <c r="GG21" s="9" t="n">
        <v>25.88</v>
      </c>
      <c r="GH21" s="9" t="n">
        <v>1.91</v>
      </c>
      <c r="GI21" s="9" t="n">
        <v>0.71</v>
      </c>
      <c r="GJ21" s="9" t="n">
        <v>37.31</v>
      </c>
      <c r="GK21" s="9" t="n">
        <v>29.89</v>
      </c>
      <c r="GL21" s="9" t="n">
        <v>3.71</v>
      </c>
      <c r="GM21" s="9" t="n">
        <v>12.43</v>
      </c>
      <c r="GN21" s="9" t="n">
        <v>5.03</v>
      </c>
      <c r="GO21" s="9" t="n">
        <v>1.66</v>
      </c>
      <c r="GP21" s="9" t="n">
        <v>32.95</v>
      </c>
      <c r="GQ21" s="9" t="n">
        <v>2.66</v>
      </c>
      <c r="GR21" s="9" t="n">
        <v>0.49</v>
      </c>
      <c r="GS21" s="9" t="n">
        <v>18.28</v>
      </c>
      <c r="GT21" s="9" t="n">
        <v>0.09</v>
      </c>
      <c r="GU21" s="9" t="n">
        <v>0.09</v>
      </c>
      <c r="GV21" s="9" t="n">
        <v>100</v>
      </c>
      <c r="GW21" s="9" t="n">
        <v>15.6</v>
      </c>
      <c r="GX21" s="9" t="n">
        <v>5.26</v>
      </c>
      <c r="GY21" s="9" t="n">
        <v>33.7</v>
      </c>
      <c r="GZ21" s="9" t="n">
        <v>5.03</v>
      </c>
      <c r="HA21" s="9" t="n">
        <v>6.03</v>
      </c>
      <c r="HB21" s="9" t="n">
        <v>24.26</v>
      </c>
      <c r="HC21" s="9" t="n">
        <v>3.54</v>
      </c>
      <c r="HD21" s="9" t="n">
        <v>10</v>
      </c>
      <c r="HE21" s="9" t="n">
        <v>15.09</v>
      </c>
      <c r="HF21" s="9" t="n">
        <v>60.66</v>
      </c>
      <c r="HG21" s="9" t="n">
        <v>26.63</v>
      </c>
      <c r="HH21" s="9" t="n">
        <v>43.9</v>
      </c>
      <c r="HI21" s="9" t="n">
        <v>1.97</v>
      </c>
      <c r="HJ21" s="9" t="n">
        <v>1.4</v>
      </c>
      <c r="HK21" s="9" t="n">
        <v>11.43</v>
      </c>
      <c r="HL21" s="9" t="n">
        <v>4.34</v>
      </c>
      <c r="HM21" s="9" t="n">
        <v>38</v>
      </c>
      <c r="HN21" s="9" t="n">
        <v>63.86</v>
      </c>
      <c r="HO21" s="9" t="n">
        <v>37.37</v>
      </c>
      <c r="HP21" s="9" t="n">
        <v>58.52</v>
      </c>
      <c r="HQ21" s="9" t="n">
        <v>32.46</v>
      </c>
      <c r="HR21" s="9" t="n">
        <v>14.6</v>
      </c>
      <c r="HS21" s="9" t="n">
        <v>44.98</v>
      </c>
      <c r="HT21" s="9" t="n">
        <v>3.29</v>
      </c>
      <c r="HU21" s="9" t="n">
        <v>1.43</v>
      </c>
      <c r="HV21" s="9" t="n">
        <v>43.48</v>
      </c>
      <c r="HW21" s="9" t="n">
        <v>39.63</v>
      </c>
      <c r="HX21" s="9" t="n">
        <v>14.14</v>
      </c>
      <c r="HY21" s="9" t="n">
        <v>11.29</v>
      </c>
      <c r="HZ21" s="9" t="n">
        <v>2.29</v>
      </c>
      <c r="IA21" s="9" t="n">
        <v>0.14</v>
      </c>
      <c r="IB21" s="9" t="n">
        <v>130.29</v>
      </c>
      <c r="IC21" s="9" t="n">
        <v>93.06</v>
      </c>
      <c r="ID21" s="9" t="n">
        <v>71.43000000000001</v>
      </c>
      <c r="IE21" s="9" t="n">
        <v>57.17</v>
      </c>
      <c r="IF21" s="9" t="n">
        <v>53.77</v>
      </c>
      <c r="IG21" s="9" t="n">
        <v>94.05</v>
      </c>
      <c r="IH21" s="9" t="n">
        <v>146.09</v>
      </c>
      <c r="II21" s="9" t="n">
        <v>126.63</v>
      </c>
      <c r="IJ21" s="9" t="n">
        <v>86.68000000000001</v>
      </c>
      <c r="IK21" s="9" t="n">
        <v>47.34</v>
      </c>
      <c r="IL21" s="9" t="n">
        <v>24.71</v>
      </c>
      <c r="IM21" s="9" t="n">
        <v>52.2</v>
      </c>
      <c r="IN21" s="9" t="n">
        <v>50.06</v>
      </c>
      <c r="IO21" s="9" t="n">
        <v>33.2</v>
      </c>
      <c r="IP21" s="9" t="n">
        <v>66.31999999999999</v>
      </c>
      <c r="IQ21" s="9" t="n">
        <v>67.37</v>
      </c>
      <c r="IR21" s="9" t="n">
        <v>47.34</v>
      </c>
      <c r="IS21" s="9" t="n">
        <v>70.27</v>
      </c>
      <c r="IT21" s="33">
        <f>PERCENTRANK(IS$2:INDEX($IS:$IS,LOOKUP(2,1/(ISNUMBER($A$2:$A$1048576)),ROW($A$2:$A$1048576))),IS21)</f>
        <v/>
      </c>
      <c r="IU21" s="39">
        <f>1-(IS21-IS$106)/IS$107</f>
        <v/>
      </c>
      <c r="IV21" s="9" t="n">
        <v>2.31</v>
      </c>
      <c r="IW21" s="9" t="n">
        <v>0.83</v>
      </c>
      <c r="IX21" s="9" t="n">
        <v>35.8</v>
      </c>
      <c r="IY21" s="9" t="n">
        <v>19.11</v>
      </c>
      <c r="IZ21" s="9" t="n">
        <v>17.26</v>
      </c>
      <c r="JA21" s="9" t="n">
        <v>90.28</v>
      </c>
      <c r="JB21" s="9" t="n">
        <v>9.26</v>
      </c>
      <c r="JC21" s="9" t="n">
        <v>15.66</v>
      </c>
      <c r="JD21" s="9" t="n">
        <v>3.71</v>
      </c>
      <c r="JE21" s="9" t="n">
        <v>12.91</v>
      </c>
      <c r="JF21" s="9" t="n">
        <v>19.32</v>
      </c>
      <c r="JG21" s="9" t="n">
        <v>20.47</v>
      </c>
      <c r="JH21" s="9" t="n">
        <v>12.77</v>
      </c>
    </row>
    <row r="22">
      <c r="A22" s="12" t="n">
        <v>2023</v>
      </c>
      <c r="B22" s="31" t="inlineStr">
        <is>
          <t>Detroit City</t>
        </is>
      </c>
      <c r="C22" s="12" t="n">
        <v>41</v>
      </c>
      <c r="D22" s="5">
        <f>(C22-AVERAGE($C$2:INDEX($C:$C,LOOKUP(2,1/(ISNUMBER($A$2:$A$1048576)),ROW($A$2:$A$1048576)))))/_xlfn.STDEV.P($C$2:INDEX($C:$C,LOOKUP(2,1/(ISNUMBER($A$2:$A$1048576)),ROW($A$2:$A$1048576))))</f>
        <v/>
      </c>
      <c r="E22" s="12" t="n">
        <v>8</v>
      </c>
      <c r="F22" s="6">
        <f>-E22</f>
        <v/>
      </c>
      <c r="G22" s="7">
        <f>(F22-AVERAGE($F$2:INDEX($F:$F,LOOKUP(2,1/(ISNUMBER($A$2:$A$1048576)),ROW($A$2:$A$1048576)))))/_xlfn.STDEV.P($F$2:INDEX($F:$F,LOOKUP(2,1/(ISNUMBER($A$2:$A$1048576)),ROW($A$2:$A$1048576))))</f>
        <v/>
      </c>
      <c r="H22" s="32">
        <f>sum(0.5*D22)+(0.5*G22)</f>
        <v/>
      </c>
      <c r="I22" s="12" t="inlineStr">
        <is>
          <t>East</t>
        </is>
      </c>
      <c r="J22" s="10">
        <f>sum(L22*L$105)+(N22*N$105)+(P22*P$105)+(T22*R$105)</f>
        <v/>
      </c>
      <c r="K22" s="33">
        <f>PERCENTRANK(J$2:INDEX($J:$J,LOOKUP(2,1/(ISNUMBER($A$2:$A$1048576)),ROW($A$2:$A$1048576))),J22)</f>
        <v/>
      </c>
      <c r="L22" s="10">
        <f>sum(AA22*0.66)+(AD22*0.55)+(AG22*0.59)+(CG22*0.51)+(CL22*0.6)+(EY22*0.31)</f>
        <v/>
      </c>
      <c r="M22" s="33">
        <f>PERCENTRANK(L$2:INDEX($L:$L,LOOKUP(2,1/(ISNUMBER($A$2:$A$1048576)),ROW($A$2:$A$1048576))),L22)</f>
        <v/>
      </c>
      <c r="N22" s="10">
        <f>sum(CT22*0.57)+(CW22*0.71)+(DJ22*0.08)+(FC22*0.33)+(FG22*0.69)+(FM22*0.26)+(IU22*0.54)+(AU22*0.4)</f>
        <v/>
      </c>
      <c r="O22" s="33">
        <f>PERCENTRANK(N$2:INDEX($N:$N,LOOKUP(2,1/(ISNUMBER($A$2:$A$1048576)),ROW($A$2:$A$1048576))),N22)</f>
        <v/>
      </c>
      <c r="P22" s="10">
        <f>sum(BG22*0.51)+(CD22*0.51)+(DR22*0.11)+(EF22*0.42)+(EK22*0.44)+(W22*0.6)</f>
        <v/>
      </c>
      <c r="Q22" s="33">
        <f>PERCENTRANK(P$2:INDEX($P:$P,LOOKUP(2,1/(ISNUMBER($A$2:$A$1048576)),ROW($A$2:$A$1048576))),P22)</f>
        <v/>
      </c>
      <c r="R22" s="10">
        <f>sum(Y22-FE22)</f>
        <v/>
      </c>
      <c r="S22" s="33">
        <f>PERCENTRANK(R$2:INDEX($R:$R,LOOKUP(2,1/(ISNUMBER($A$2:$A$1048576)),ROW($A$2:$A$1048576))),R22)</f>
        <v/>
      </c>
      <c r="T22" s="34">
        <f>sum(R22-R$106)/R$107</f>
        <v/>
      </c>
      <c r="U22" s="35">
        <f>sum(Y22/AI22)*100</f>
        <v/>
      </c>
      <c r="V22" s="33">
        <f>PERCENTRANK(U$2:INDEX($U:$U,LOOKUP(2,1/(ISNUMBER($A$2:$A$1048576)),ROW($A$2:$A$1048576))),U22)</f>
        <v/>
      </c>
      <c r="W22" s="36">
        <f>sum(U22-U$106)/U$107</f>
        <v/>
      </c>
      <c r="X22" s="9" t="n">
        <v>0.86</v>
      </c>
      <c r="Y22" s="9" t="n">
        <v>1.01</v>
      </c>
      <c r="Z22" s="33">
        <f>PERCENTRANK(Y$2:INDEX($Y:$Y,LOOKUP(2,1/(ISNUMBER($A$2:$A$1048576)),ROW($A$2:$A$1048576))),Y22)</f>
        <v/>
      </c>
      <c r="AA22" s="37">
        <f>sum(Y22-Y$106)/Y$107</f>
        <v/>
      </c>
      <c r="AB22" s="9" t="n">
        <v>9.529999999999999</v>
      </c>
      <c r="AC22" s="33">
        <f>PERCENTRANK(AB$2:INDEX($AB:$AB,LOOKUP(2,1/(ISNUMBER($A$2:$A$1048576)),ROW($A$2:$A$1048576))),AB22)</f>
        <v/>
      </c>
      <c r="AD22" s="38">
        <f>sum(AB22-AB$106)/AB$107</f>
        <v/>
      </c>
      <c r="AE22" s="9" t="n">
        <v>2.72</v>
      </c>
      <c r="AF22" s="33">
        <f>PERCENTRANK(AE$2:INDEX($AE:$AE,LOOKUP(2,1/(ISNUMBER($A$2:$A$1048576)),ROW($A$2:$A$1048576))),AE22)</f>
        <v/>
      </c>
      <c r="AG22" s="38">
        <f>sum(AE22-AE$106)/AE$107</f>
        <v/>
      </c>
      <c r="AH22" s="9" t="n">
        <v>28.57</v>
      </c>
      <c r="AI22" s="9" t="n">
        <v>346.42</v>
      </c>
      <c r="AJ22" s="9" t="n">
        <v>270.61</v>
      </c>
      <c r="AK22" s="9" t="n">
        <v>78.12</v>
      </c>
      <c r="AL22" s="9" t="n">
        <v>46.56</v>
      </c>
      <c r="AM22" s="9" t="n">
        <v>116.14</v>
      </c>
      <c r="AN22" s="9" t="n">
        <v>20.06</v>
      </c>
      <c r="AO22" s="9" t="n">
        <v>42.53</v>
      </c>
      <c r="AP22" s="9" t="n">
        <v>53.56</v>
      </c>
      <c r="AQ22" s="9" t="n">
        <v>88.42</v>
      </c>
      <c r="AR22" s="9" t="n">
        <v>39.28</v>
      </c>
      <c r="AS22" s="9" t="n">
        <v>36.22</v>
      </c>
      <c r="AT22" s="33">
        <f>PERCENTRANK(AS$2:INDEX($AS:$AS,LOOKUP(2,1/(ISNUMBER($A$2:$A$1048576)),ROW($A$2:$A$1048576))),AS22)</f>
        <v/>
      </c>
      <c r="AU22" s="39">
        <f>SUM(AS22-AS$106)/AS$107</f>
        <v/>
      </c>
      <c r="AV22" s="9" t="n">
        <v>12.92</v>
      </c>
      <c r="AW22" s="33">
        <f>PERCENTRANK(AV$2:INDEX($AV:$AV,LOOKUP(2,1/(ISNUMBER($A$2:$A$1048576)),ROW($A$2:$A$1048576))),AV22)</f>
        <v/>
      </c>
      <c r="AX22" s="9" t="n">
        <v>224.06</v>
      </c>
      <c r="AY22" s="9" t="n">
        <v>106.08</v>
      </c>
      <c r="AZ22" s="9" t="n">
        <v>47.35</v>
      </c>
      <c r="BA22" s="9" t="n">
        <v>4.31</v>
      </c>
      <c r="BB22" s="9" t="n">
        <v>0.89</v>
      </c>
      <c r="BC22" s="9" t="n">
        <v>20.65</v>
      </c>
      <c r="BD22" s="9" t="n">
        <v>27.56</v>
      </c>
      <c r="BE22" s="9" t="n">
        <v>5.53</v>
      </c>
      <c r="BF22" s="33">
        <f>PERCENTRANK(BE$2:INDEX($BE:$BE,LOOKUP(2,1/(ISNUMBER($A$2:$A$1048576)),ROW($A$2:$A$1048576))),BE22)</f>
        <v/>
      </c>
      <c r="BG22" s="40">
        <f>sum(BE22-BE$106)/BE$107</f>
        <v/>
      </c>
      <c r="BH22" s="9" t="n">
        <v>20.06</v>
      </c>
      <c r="BI22" s="9" t="n">
        <v>1.17</v>
      </c>
      <c r="BJ22" s="9" t="n">
        <v>0.61</v>
      </c>
      <c r="BK22" s="9" t="n">
        <v>52.38</v>
      </c>
      <c r="BL22" s="9" t="n">
        <v>24.22</v>
      </c>
      <c r="BM22" s="9" t="n">
        <v>2.75</v>
      </c>
      <c r="BN22" s="9" t="n">
        <v>11.35</v>
      </c>
      <c r="BO22" s="9" t="n">
        <v>3.22</v>
      </c>
      <c r="BP22" s="9" t="n">
        <v>0.92</v>
      </c>
      <c r="BQ22" s="9" t="n">
        <v>28.45</v>
      </c>
      <c r="BR22" s="9" t="n">
        <v>3.64</v>
      </c>
      <c r="BS22" s="9" t="n">
        <v>1.06</v>
      </c>
      <c r="BT22" s="9" t="n">
        <v>29.01</v>
      </c>
      <c r="BU22" s="9" t="n">
        <v>0.06</v>
      </c>
      <c r="BV22" s="9" t="n">
        <v>0.03</v>
      </c>
      <c r="BW22" s="9" t="n">
        <v>50</v>
      </c>
      <c r="BX22" s="9" t="n">
        <v>13.25</v>
      </c>
      <c r="BY22" s="9" t="n">
        <v>4.33</v>
      </c>
      <c r="BZ22" s="9" t="n">
        <v>32.7</v>
      </c>
      <c r="CA22" s="9" t="n">
        <v>4.19</v>
      </c>
      <c r="CB22" s="9" t="n">
        <v>4.17</v>
      </c>
      <c r="CC22" s="33">
        <f>PERCENTRANK(CD$2:INDEX($CD:$CD,LOOKUP(2,1/(ISNUMBER($A$2:$A$1048576)),ROW($A$2:$A$1048576))),CD22)</f>
        <v/>
      </c>
      <c r="CD22" s="40">
        <f>sum(CB22-CB$106)/CB$107</f>
        <v/>
      </c>
      <c r="CE22" s="9" t="n">
        <v>20.19</v>
      </c>
      <c r="CF22" s="33">
        <f>PERCENTRANK(CE$2:INDEX($CE:$CE,LOOKUP(2,1/(ISNUMBER($A$2:$A$1048576)),ROW($A$2:$A$1048576))),CE22)</f>
        <v/>
      </c>
      <c r="CG22" s="38">
        <f>sum(CE22-CE$106)/CE$107</f>
        <v/>
      </c>
      <c r="CH22" s="9" t="n">
        <v>2.69</v>
      </c>
      <c r="CI22" s="9" t="n">
        <v>8.220000000000001</v>
      </c>
      <c r="CJ22" s="9" t="n">
        <v>13.94</v>
      </c>
      <c r="CK22" s="33">
        <f>PERCENTRANK(CJ$2:INDEX($CJ:$CJ,LOOKUP(2,1/(ISNUMBER($A$2:$A$1048576)),ROW($A$2:$A$1048576))),CJ22)</f>
        <v/>
      </c>
      <c r="CL22" s="38">
        <f>sum(CJ22-CJ$106)/CJ$107</f>
        <v/>
      </c>
      <c r="CM22" s="9" t="n">
        <v>66.64</v>
      </c>
      <c r="CN22" s="9" t="n">
        <v>23.67</v>
      </c>
      <c r="CO22" s="9" t="n">
        <v>35.51</v>
      </c>
      <c r="CP22" s="9" t="n">
        <v>1.36</v>
      </c>
      <c r="CQ22" s="9" t="n">
        <v>1.19</v>
      </c>
      <c r="CR22" s="9" t="n">
        <v>12.08</v>
      </c>
      <c r="CS22" s="33">
        <f>PERCENTRANK(CR$2:INDEX($CR:$CR,LOOKUP(2,1/(ISNUMBER($A$2:$A$1048576)),ROW($A$2:$A$1048576))),CR22)</f>
        <v/>
      </c>
      <c r="CT22" s="39">
        <f>1-(CR22-CR$106)/CR$107</f>
        <v/>
      </c>
      <c r="CU22" s="9" t="n">
        <v>4.14</v>
      </c>
      <c r="CV22" s="33">
        <f>PERCENTRANK(CU$2:INDEX($CU:$CU,LOOKUP(2,1/(ISNUMBER($A$2:$A$1048576)),ROW($A$2:$A$1048576))),CU22)</f>
        <v/>
      </c>
      <c r="CW22" s="39">
        <f>1-(CU22-CU$106)/CU$107</f>
        <v/>
      </c>
      <c r="CX22" s="9" t="n">
        <v>34.25</v>
      </c>
      <c r="CY22" s="9" t="n">
        <v>71.72</v>
      </c>
      <c r="CZ22" s="9" t="n">
        <v>44.36</v>
      </c>
      <c r="DA22" s="9" t="n">
        <v>61.85</v>
      </c>
      <c r="DB22" s="9" t="n">
        <v>47.28</v>
      </c>
      <c r="DC22" s="9" t="n">
        <v>22.22</v>
      </c>
      <c r="DD22" s="9" t="n">
        <v>47</v>
      </c>
      <c r="DE22" s="9" t="n">
        <v>4.47</v>
      </c>
      <c r="DF22" s="9" t="n">
        <v>2.31</v>
      </c>
      <c r="DG22" s="9" t="n">
        <v>51.55</v>
      </c>
      <c r="DH22" s="9" t="n">
        <v>46.56</v>
      </c>
      <c r="DI22" s="33">
        <f>PERCENTRANK(DH$2:INDEX($DH:$DH,LOOKUP(2,1/(ISNUMBER($A$2:$A$1048576)),ROW($A$2:$A$1048576))),DH22)</f>
        <v/>
      </c>
      <c r="DJ22" s="39">
        <f>SUM(DH22-DH$106)/DH$107</f>
        <v/>
      </c>
      <c r="DK22" s="9" t="n">
        <v>14.19</v>
      </c>
      <c r="DL22" s="9" t="n">
        <v>11.92</v>
      </c>
      <c r="DM22" s="9" t="n">
        <v>1.97</v>
      </c>
      <c r="DN22" s="9" t="n">
        <v>0.08</v>
      </c>
      <c r="DO22" s="9" t="n">
        <v>132.25</v>
      </c>
      <c r="DP22" s="9" t="n">
        <v>88.17</v>
      </c>
      <c r="DQ22" s="33">
        <f>PERCENTRANK(DP$2:INDEX($DP:$DP,LOOKUP(2,1/(ISNUMBER($A$2:$A$1048576)),ROW($A$2:$A$1048576))),DP22)</f>
        <v/>
      </c>
      <c r="DR22" s="40">
        <f>sum(DP22-DP$106)/DP$107</f>
        <v/>
      </c>
      <c r="DS22" s="9" t="n">
        <v>66.67</v>
      </c>
      <c r="DT22" s="9" t="n">
        <v>53</v>
      </c>
      <c r="DU22" s="9" t="n">
        <v>49.92</v>
      </c>
      <c r="DV22" s="9" t="n">
        <v>94.18000000000001</v>
      </c>
      <c r="DW22" s="9" t="n">
        <v>113.56</v>
      </c>
      <c r="DX22" s="9" t="n">
        <v>95.58</v>
      </c>
      <c r="DY22" s="9" t="n">
        <v>84.17</v>
      </c>
      <c r="DZ22" s="9" t="n">
        <v>56.17</v>
      </c>
      <c r="EA22" s="9" t="n">
        <v>30.22</v>
      </c>
      <c r="EB22" s="9" t="n">
        <v>53.81</v>
      </c>
      <c r="EC22" s="9" t="n">
        <v>52.47</v>
      </c>
      <c r="ED22" s="9" t="n">
        <v>31.69</v>
      </c>
      <c r="EE22" s="33">
        <f>PERCENTRANK(ED$2:INDEX($ED:$ED,LOOKUP(2,1/(ISNUMBER($A$2:$A$1048576)),ROW($A$2:$A$1048576))),ED22)</f>
        <v/>
      </c>
      <c r="EF22" s="40">
        <f>sum(ED22-ED$106)/ED$107</f>
        <v/>
      </c>
      <c r="EG22" s="9" t="n">
        <v>60.4</v>
      </c>
      <c r="EH22" s="9" t="n">
        <v>70.08</v>
      </c>
      <c r="EI22" s="9" t="n">
        <v>50.08</v>
      </c>
      <c r="EJ22" s="33">
        <f>PERCENTRANK(EI$2:INDEX($EI:$EI,LOOKUP(2,1/(ISNUMBER($A$2:$A$1048576)),ROW($A$2:$A$1048576))),EI22)</f>
        <v/>
      </c>
      <c r="EK22" s="40">
        <f>sum(EI22-EI$106)/EI$107</f>
        <v/>
      </c>
      <c r="EL22" s="9" t="n">
        <v>71.45999999999999</v>
      </c>
      <c r="EM22" s="9" t="n">
        <v>2.19</v>
      </c>
      <c r="EN22" s="9" t="n">
        <v>0.64</v>
      </c>
      <c r="EO22" s="9" t="n">
        <v>29.11</v>
      </c>
      <c r="EP22" s="9" t="n">
        <v>23.94</v>
      </c>
      <c r="EQ22" s="9" t="n">
        <v>20.67</v>
      </c>
      <c r="ER22" s="9" t="n">
        <v>86.31</v>
      </c>
      <c r="ES22" s="9" t="n">
        <v>8.859999999999999</v>
      </c>
      <c r="ET22" s="9" t="n">
        <v>15.04</v>
      </c>
      <c r="EU22" s="9" t="n">
        <v>3.19</v>
      </c>
      <c r="EV22" s="9" t="n">
        <v>16.88</v>
      </c>
      <c r="EW22" s="9" t="n">
        <v>19.14</v>
      </c>
      <c r="EX22" s="33">
        <f>PERCENTRANK(EW$2:INDEX($EW:$EW,LOOKUP(2,1/(ISNUMBER($A$2:$A$1048576)),ROW($A$2:$A$1048576))),EW22)</f>
        <v/>
      </c>
      <c r="EY22" s="38">
        <f>1-(EW22-EW$106)/EW$107</f>
        <v/>
      </c>
      <c r="EZ22" s="9" t="n">
        <v>21.47</v>
      </c>
      <c r="FA22" s="9" t="n">
        <v>10.2</v>
      </c>
      <c r="FB22" s="33">
        <f>PERCENTRANK(FA$2:INDEX($FA:$FA,LOOKUP(2,1/(ISNUMBER($A$2:$A$1048576)),ROW($A$2:$A$1048576))),FA22)</f>
        <v/>
      </c>
      <c r="FC22" s="39">
        <f>1-(FA22-FA$106)/FA$107</f>
        <v/>
      </c>
      <c r="FD22" s="9" t="n">
        <v>1.19</v>
      </c>
      <c r="FE22" s="9" t="n">
        <v>1.56</v>
      </c>
      <c r="FF22" s="33">
        <f>PERCENTRANK(FE$2:INDEX($FE:$FE,LOOKUP(2,1/(ISNUMBER($A$2:$A$1048576)),ROW($A$2:$A$1048576))),FE22)</f>
        <v/>
      </c>
      <c r="FG22" s="39">
        <f>1-(FE22-FE$106)/FE$107</f>
        <v/>
      </c>
      <c r="FH22" s="9" t="n">
        <v>12.08</v>
      </c>
      <c r="FI22" s="9" t="n">
        <v>4.06</v>
      </c>
      <c r="FJ22" s="9" t="n">
        <v>33.56</v>
      </c>
      <c r="FK22" s="9" t="n">
        <v>421.58</v>
      </c>
      <c r="FL22" s="33">
        <f>PERCENTRANK(FK$2:INDEX($FK:$FK,LOOKUP(2,1/(ISNUMBER($A$2:$A$1048576)),ROW($A$2:$A$1048576))),FK22)</f>
        <v/>
      </c>
      <c r="FM22" s="39">
        <f>SWA21-(FK22-FK$106)/FK$107</f>
        <v/>
      </c>
      <c r="FN22" s="9" t="n">
        <v>342.17</v>
      </c>
      <c r="FO22" s="9" t="n">
        <v>81.16</v>
      </c>
      <c r="FP22" s="9" t="n">
        <v>53.44</v>
      </c>
      <c r="FQ22" s="9" t="n">
        <v>114.58</v>
      </c>
      <c r="FR22" s="9" t="n">
        <v>20.33</v>
      </c>
      <c r="FS22" s="9" t="n">
        <v>43.19</v>
      </c>
      <c r="FT22" s="9" t="n">
        <v>51.06</v>
      </c>
      <c r="FU22" s="9" t="n">
        <v>88.58</v>
      </c>
      <c r="FV22" s="9" t="n">
        <v>40.78</v>
      </c>
      <c r="FW22" s="9" t="n">
        <v>35.92</v>
      </c>
      <c r="FX22" s="9" t="n">
        <v>11.89</v>
      </c>
      <c r="FY22" s="9" t="n">
        <v>224.06</v>
      </c>
      <c r="FZ22" s="9" t="n">
        <v>106.56</v>
      </c>
      <c r="GA22" s="9" t="n">
        <v>47.56</v>
      </c>
      <c r="GB22" s="9" t="n">
        <v>4.86</v>
      </c>
      <c r="GC22" s="9" t="n">
        <v>1.11</v>
      </c>
      <c r="GD22" s="9" t="n">
        <v>22.86</v>
      </c>
      <c r="GE22" s="9" t="n">
        <v>28.81</v>
      </c>
      <c r="GF22" s="9" t="n">
        <v>7.25</v>
      </c>
      <c r="GG22" s="9" t="n">
        <v>25.17</v>
      </c>
      <c r="GH22" s="9" t="n">
        <v>1.69</v>
      </c>
      <c r="GI22" s="9" t="n">
        <v>0.6899999999999999</v>
      </c>
      <c r="GJ22" s="9" t="n">
        <v>40.98</v>
      </c>
      <c r="GK22" s="9" t="n">
        <v>24.19</v>
      </c>
      <c r="GL22" s="9" t="n">
        <v>3.42</v>
      </c>
      <c r="GM22" s="9" t="n">
        <v>14.12</v>
      </c>
      <c r="GN22" s="9" t="n">
        <v>4.06</v>
      </c>
      <c r="GO22" s="9" t="n">
        <v>1.36</v>
      </c>
      <c r="GP22" s="9" t="n">
        <v>33.56</v>
      </c>
      <c r="GQ22" s="9" t="n">
        <v>2.39</v>
      </c>
      <c r="GR22" s="9" t="n">
        <v>0.44</v>
      </c>
      <c r="GS22" s="9" t="n">
        <v>18.6</v>
      </c>
      <c r="GT22" s="9" t="n">
        <v>0.22</v>
      </c>
      <c r="GU22" s="9" t="n">
        <v>0.22</v>
      </c>
      <c r="GV22" s="9" t="n">
        <v>100</v>
      </c>
      <c r="GW22" s="9" t="n">
        <v>15.39</v>
      </c>
      <c r="GX22" s="9" t="n">
        <v>5.22</v>
      </c>
      <c r="GY22" s="9" t="n">
        <v>33.94</v>
      </c>
      <c r="GZ22" s="9" t="n">
        <v>5.17</v>
      </c>
      <c r="HA22" s="9" t="n">
        <v>6.44</v>
      </c>
      <c r="HB22" s="9" t="n">
        <v>24.58</v>
      </c>
      <c r="HC22" s="9" t="n">
        <v>4.11</v>
      </c>
      <c r="HD22" s="9" t="n">
        <v>9.109999999999999</v>
      </c>
      <c r="HE22" s="9" t="n">
        <v>17.28</v>
      </c>
      <c r="HF22" s="9" t="n">
        <v>71.78</v>
      </c>
      <c r="HG22" s="9" t="n">
        <v>27.39</v>
      </c>
      <c r="HH22" s="9" t="n">
        <v>38.16</v>
      </c>
      <c r="HI22" s="9" t="n">
        <v>1.81</v>
      </c>
      <c r="HJ22" s="9" t="n">
        <v>0.86</v>
      </c>
      <c r="HK22" s="9" t="n">
        <v>9.529999999999999</v>
      </c>
      <c r="HL22" s="9" t="n">
        <v>2.94</v>
      </c>
      <c r="HM22" s="9" t="n">
        <v>30.9</v>
      </c>
      <c r="HN22" s="9" t="n">
        <v>66.58</v>
      </c>
      <c r="HO22" s="9" t="n">
        <v>42.92</v>
      </c>
      <c r="HP22" s="9" t="n">
        <v>64.45999999999999</v>
      </c>
      <c r="HQ22" s="9" t="n">
        <v>47.28</v>
      </c>
      <c r="HR22" s="9" t="n">
        <v>20.83</v>
      </c>
      <c r="HS22" s="9" t="n">
        <v>44.07</v>
      </c>
      <c r="HT22" s="9" t="n">
        <v>3.69</v>
      </c>
      <c r="HU22" s="9" t="n">
        <v>1.75</v>
      </c>
      <c r="HV22" s="9" t="n">
        <v>47.37</v>
      </c>
      <c r="HW22" s="9" t="n">
        <v>39.97</v>
      </c>
      <c r="HX22" s="9" t="n">
        <v>18.31</v>
      </c>
      <c r="HY22" s="9" t="n">
        <v>13</v>
      </c>
      <c r="HZ22" s="9" t="n">
        <v>2.19</v>
      </c>
      <c r="IA22" s="9" t="n">
        <v>0.06</v>
      </c>
      <c r="IB22" s="9" t="n">
        <v>149.19</v>
      </c>
      <c r="IC22" s="9" t="n">
        <v>105.83</v>
      </c>
      <c r="ID22" s="9" t="n">
        <v>70.94</v>
      </c>
      <c r="IE22" s="9" t="n">
        <v>59.47</v>
      </c>
      <c r="IF22" s="9" t="n">
        <v>55.64</v>
      </c>
      <c r="IG22" s="9" t="n">
        <v>93.55</v>
      </c>
      <c r="IH22" s="9" t="n">
        <v>150.36</v>
      </c>
      <c r="II22" s="9" t="n">
        <v>130.17</v>
      </c>
      <c r="IJ22" s="9" t="n">
        <v>86.56999999999999</v>
      </c>
      <c r="IK22" s="9" t="n">
        <v>53.39</v>
      </c>
      <c r="IL22" s="9" t="n">
        <v>27.89</v>
      </c>
      <c r="IM22" s="9" t="n">
        <v>52.24</v>
      </c>
      <c r="IN22" s="9" t="n">
        <v>56.56</v>
      </c>
      <c r="IO22" s="9" t="n">
        <v>36.42</v>
      </c>
      <c r="IP22" s="9" t="n">
        <v>64.39</v>
      </c>
      <c r="IQ22" s="9" t="n">
        <v>74.92</v>
      </c>
      <c r="IR22" s="9" t="n">
        <v>53.42</v>
      </c>
      <c r="IS22" s="9" t="n">
        <v>71.3</v>
      </c>
      <c r="IT22" s="33">
        <f>PERCENTRANK(IS$2:INDEX($IS:$IS,LOOKUP(2,1/(ISNUMBER($A$2:$A$1048576)),ROW($A$2:$A$1048576))),IS22)</f>
        <v/>
      </c>
      <c r="IU22" s="39">
        <f>1-(IS22-IS$106)/IS$107</f>
        <v/>
      </c>
      <c r="IV22" s="9" t="n">
        <v>3.42</v>
      </c>
      <c r="IW22" s="9" t="n">
        <v>1.33</v>
      </c>
      <c r="IX22" s="9" t="n">
        <v>39.02</v>
      </c>
      <c r="IY22" s="9" t="n">
        <v>24.33</v>
      </c>
      <c r="IZ22" s="9" t="n">
        <v>20.81</v>
      </c>
      <c r="JA22" s="9" t="n">
        <v>85.5</v>
      </c>
      <c r="JB22" s="9" t="n">
        <v>8.33</v>
      </c>
      <c r="JC22" s="9" t="n">
        <v>15.89</v>
      </c>
      <c r="JD22" s="9" t="n">
        <v>3.84</v>
      </c>
      <c r="JE22" s="9" t="n">
        <v>13.27</v>
      </c>
      <c r="JF22" s="9" t="n">
        <v>18.32</v>
      </c>
      <c r="JG22" s="9" t="n">
        <v>20.07</v>
      </c>
      <c r="JH22" s="9" t="n">
        <v>8.65</v>
      </c>
    </row>
    <row r="23">
      <c r="A23" s="12" t="n">
        <v>2025</v>
      </c>
      <c r="B23" s="31" t="inlineStr">
        <is>
          <t>Sacramento Republic</t>
        </is>
      </c>
      <c r="C23" s="12" t="n">
        <v>48</v>
      </c>
      <c r="D23" s="5">
        <f>(C23-AVERAGE($C$2:INDEX($C:$C,LOOKUP(2,1/(ISNUMBER($A$2:$A$1048576)),ROW($A$2:$A$1048576)))))/_xlfn.STDEV.P($C$2:INDEX($C:$C,LOOKUP(2,1/(ISNUMBER($A$2:$A$1048576)),ROW($A$2:$A$1048576))))</f>
        <v/>
      </c>
      <c r="E23" s="12" t="n">
        <v>2</v>
      </c>
      <c r="F23" s="6">
        <f>-E23</f>
        <v/>
      </c>
      <c r="G23" s="7">
        <f>(F23-AVERAGE($F$2:INDEX($F:$F,LOOKUP(2,1/(ISNUMBER($A$2:$A$1048576)),ROW($A$2:$A$1048576)))))/_xlfn.STDEV.P($F$2:INDEX($F:$F,LOOKUP(2,1/(ISNUMBER($A$2:$A$1048576)),ROW($A$2:$A$1048576))))</f>
        <v/>
      </c>
      <c r="H23" s="32">
        <f>sum(0.5*D23)+(0.5*G23)</f>
        <v/>
      </c>
      <c r="I23" s="12" t="inlineStr">
        <is>
          <t>West</t>
        </is>
      </c>
      <c r="J23" s="10">
        <f>sum(L23*L$105)+(N23*N$105)+(P23*P$105)+(T23*R$105)</f>
        <v/>
      </c>
      <c r="K23" s="33">
        <f>PERCENTRANK(J$2:INDEX($J:$J,LOOKUP(2,1/(ISNUMBER($A$2:$A$1048576)),ROW($A$2:$A$1048576))),J23)</f>
        <v/>
      </c>
      <c r="L23" s="10">
        <f>sum(AA23*0.66)+(AD23*0.55)+(AG23*0.59)+(CG23*0.51)+(CL23*0.6)+(EY23*0.31)</f>
        <v/>
      </c>
      <c r="M23" s="33">
        <f>PERCENTRANK(L$2:INDEX($L:$L,LOOKUP(2,1/(ISNUMBER($A$2:$A$1048576)),ROW($A$2:$A$1048576))),L23)</f>
        <v/>
      </c>
      <c r="N23" s="10">
        <f>sum(CT23*0.57)+(CW23*0.71)+(DJ23*0.08)+(FC23*0.33)+(FG23*0.69)+(FM23*0.26)+(IU23*0.54)+(AU23*0.4)</f>
        <v/>
      </c>
      <c r="O23" s="33">
        <f>PERCENTRANK(N$2:INDEX($N:$N,LOOKUP(2,1/(ISNUMBER($A$2:$A$1048576)),ROW($A$2:$A$1048576))),N23)</f>
        <v/>
      </c>
      <c r="P23" s="10">
        <f>sum(BG23*0.51)+(CD23*0.51)+(DR23*0.11)+(EF23*0.42)+(EK23*0.44)+(W23*0.6)</f>
        <v/>
      </c>
      <c r="Q23" s="33">
        <f>PERCENTRANK(P$2:INDEX($P:$P,LOOKUP(2,1/(ISNUMBER($A$2:$A$1048576)),ROW($A$2:$A$1048576))),P23)</f>
        <v/>
      </c>
      <c r="R23" s="10">
        <f>sum(Y23-FE23)</f>
        <v/>
      </c>
      <c r="S23" s="33">
        <f>PERCENTRANK(R$2:INDEX($R:$R,LOOKUP(2,1/(ISNUMBER($A$2:$A$1048576)),ROW($A$2:$A$1048576))),R23)</f>
        <v/>
      </c>
      <c r="T23" s="34">
        <f>sum(R23-R$106)/R$107</f>
        <v/>
      </c>
      <c r="U23" s="35">
        <f>sum(Y23/AI23)*100</f>
        <v/>
      </c>
      <c r="V23" s="33">
        <f>PERCENTRANK(U$2:INDEX($U:$U,LOOKUP(2,1/(ISNUMBER($A$2:$A$1048576)),ROW($A$2:$A$1048576))),U23)</f>
        <v/>
      </c>
      <c r="W23" s="36">
        <f>sum(U23-U$106)/U$107</f>
        <v/>
      </c>
      <c r="X23" s="9" t="n">
        <v>1.42</v>
      </c>
      <c r="Y23" s="9" t="n">
        <v>1.44</v>
      </c>
      <c r="Z23" s="33">
        <f>PERCENTRANK(Y$2:INDEX($Y:$Y,LOOKUP(2,1/(ISNUMBER($A$2:$A$1048576)),ROW($A$2:$A$1048576))),Y23)</f>
        <v/>
      </c>
      <c r="AA23" s="37">
        <f>sum(Y23-Y$106)/Y$107</f>
        <v/>
      </c>
      <c r="AB23" s="9" t="n">
        <v>10.77</v>
      </c>
      <c r="AC23" s="33">
        <f>PERCENTRANK(AB$2:INDEX($AB:$AB,LOOKUP(2,1/(ISNUMBER($A$2:$A$1048576)),ROW($A$2:$A$1048576))),AB23)</f>
        <v/>
      </c>
      <c r="AD23" s="38">
        <f>sum(AB23-AB$106)/AB$107</f>
        <v/>
      </c>
      <c r="AE23" s="9" t="n">
        <v>3.71</v>
      </c>
      <c r="AF23" s="33">
        <f>PERCENTRANK(AE$2:INDEX($AE:$AE,LOOKUP(2,1/(ISNUMBER($A$2:$A$1048576)),ROW($A$2:$A$1048576))),AE23)</f>
        <v/>
      </c>
      <c r="AG23" s="38">
        <f>sum(AE23-AE$106)/AE$107</f>
        <v/>
      </c>
      <c r="AH23" s="9" t="n">
        <v>34.43</v>
      </c>
      <c r="AI23" s="9" t="n">
        <v>377.74</v>
      </c>
      <c r="AJ23" s="9" t="n">
        <v>310.1</v>
      </c>
      <c r="AK23" s="9" t="n">
        <v>82.09</v>
      </c>
      <c r="AL23" s="9" t="n">
        <v>46.29</v>
      </c>
      <c r="AM23" s="9" t="n">
        <v>104.48</v>
      </c>
      <c r="AN23" s="9" t="n">
        <v>17.55</v>
      </c>
      <c r="AO23" s="9" t="n">
        <v>34.06</v>
      </c>
      <c r="AP23" s="9" t="n">
        <v>52.87</v>
      </c>
      <c r="AQ23" s="9" t="n">
        <v>76.87</v>
      </c>
      <c r="AR23" s="9" t="n">
        <v>32.84</v>
      </c>
      <c r="AS23" s="9" t="n">
        <v>31.23</v>
      </c>
      <c r="AT23" s="33">
        <f>PERCENTRANK(AS$2:INDEX($AS:$AS,LOOKUP(2,1/(ISNUMBER($A$2:$A$1048576)),ROW($A$2:$A$1048576))),AS23)</f>
        <v/>
      </c>
      <c r="AU23" s="39">
        <f>SUM(AS23-AS$106)/AS$107</f>
        <v/>
      </c>
      <c r="AV23" s="9" t="n">
        <v>12.81</v>
      </c>
      <c r="AW23" s="33">
        <f>PERCENTRANK(AV$2:INDEX($AV:$AV,LOOKUP(2,1/(ISNUMBER($A$2:$A$1048576)),ROW($A$2:$A$1048576))),AV23)</f>
        <v/>
      </c>
      <c r="AX23" s="9" t="n">
        <v>182.58</v>
      </c>
      <c r="AY23" s="9" t="n">
        <v>90.19</v>
      </c>
      <c r="AZ23" s="9" t="n">
        <v>49.4</v>
      </c>
      <c r="BA23" s="9" t="n">
        <v>3.68</v>
      </c>
      <c r="BB23" s="9" t="n">
        <v>0.97</v>
      </c>
      <c r="BC23" s="9" t="n">
        <v>26.32</v>
      </c>
      <c r="BD23" s="9" t="n">
        <v>28.58</v>
      </c>
      <c r="BE23" s="9" t="n">
        <v>6.74</v>
      </c>
      <c r="BF23" s="33">
        <f>PERCENTRANK(BE$2:INDEX($BE:$BE,LOOKUP(2,1/(ISNUMBER($A$2:$A$1048576)),ROW($A$2:$A$1048576))),BE23)</f>
        <v/>
      </c>
      <c r="BG23" s="40">
        <f>sum(BE23-BE$106)/BE$107</f>
        <v/>
      </c>
      <c r="BH23" s="9" t="n">
        <v>23.59</v>
      </c>
      <c r="BI23" s="9" t="n">
        <v>0.52</v>
      </c>
      <c r="BJ23" s="9" t="n">
        <v>0.29</v>
      </c>
      <c r="BK23" s="9" t="n">
        <v>56.25</v>
      </c>
      <c r="BL23" s="9" t="n">
        <v>26.87</v>
      </c>
      <c r="BM23" s="9" t="n">
        <v>3.03</v>
      </c>
      <c r="BN23" s="9" t="n">
        <v>11.28</v>
      </c>
      <c r="BO23" s="9" t="n">
        <v>4.74</v>
      </c>
      <c r="BP23" s="9" t="n">
        <v>1.32</v>
      </c>
      <c r="BQ23" s="9" t="n">
        <v>27.89</v>
      </c>
      <c r="BR23" s="9" t="n">
        <v>2.94</v>
      </c>
      <c r="BS23" s="9" t="n">
        <v>0.87</v>
      </c>
      <c r="BT23" s="9" t="n">
        <v>29.67</v>
      </c>
      <c r="BU23" s="9" t="n">
        <v>0.13</v>
      </c>
      <c r="BV23" s="9" t="n">
        <v>0.13</v>
      </c>
      <c r="BW23" s="9" t="n">
        <v>100</v>
      </c>
      <c r="BX23" s="9" t="n">
        <v>15.97</v>
      </c>
      <c r="BY23" s="9" t="n">
        <v>4.84</v>
      </c>
      <c r="BZ23" s="9" t="n">
        <v>30.3</v>
      </c>
      <c r="CA23" s="9" t="n">
        <v>4.61</v>
      </c>
      <c r="CB23" s="9" t="n">
        <v>7.03</v>
      </c>
      <c r="CC23" s="33">
        <f>PERCENTRANK(CD$2:INDEX($CD:$CD,LOOKUP(2,1/(ISNUMBER($A$2:$A$1048576)),ROW($A$2:$A$1048576))),CD23)</f>
        <v/>
      </c>
      <c r="CD23" s="40">
        <f>sum(CB23-CB$106)/CB$107</f>
        <v/>
      </c>
      <c r="CE23" s="9" t="n">
        <v>24.68</v>
      </c>
      <c r="CF23" s="33">
        <f>PERCENTRANK(CE$2:INDEX($CE:$CE,LOOKUP(2,1/(ISNUMBER($A$2:$A$1048576)),ROW($A$2:$A$1048576))),CE23)</f>
        <v/>
      </c>
      <c r="CG23" s="38">
        <f>sum(CE23-CE$106)/CE$107</f>
        <v/>
      </c>
      <c r="CH23" s="9" t="n">
        <v>3.55</v>
      </c>
      <c r="CI23" s="9" t="n">
        <v>10.13</v>
      </c>
      <c r="CJ23" s="9" t="n">
        <v>17.42</v>
      </c>
      <c r="CK23" s="33">
        <f>PERCENTRANK(CJ$2:INDEX($CJ:$CJ,LOOKUP(2,1/(ISNUMBER($A$2:$A$1048576)),ROW($A$2:$A$1048576))),CJ23)</f>
        <v/>
      </c>
      <c r="CL23" s="38">
        <f>sum(CJ23-CJ$106)/CJ$107</f>
        <v/>
      </c>
      <c r="CM23" s="9" t="n">
        <v>57</v>
      </c>
      <c r="CN23" s="9" t="n">
        <v>22.94</v>
      </c>
      <c r="CO23" s="9" t="n">
        <v>40.24</v>
      </c>
      <c r="CP23" s="9" t="n">
        <v>1.71</v>
      </c>
      <c r="CQ23" s="9" t="n">
        <v>0.87</v>
      </c>
      <c r="CR23" s="9" t="n">
        <v>8.869999999999999</v>
      </c>
      <c r="CS23" s="33">
        <f>PERCENTRANK(CR$2:INDEX($CR:$CR,LOOKUP(2,1/(ISNUMBER($A$2:$A$1048576)),ROW($A$2:$A$1048576))),CR23)</f>
        <v/>
      </c>
      <c r="CT23" s="39">
        <f>1-(CR23-CR$106)/CR$107</f>
        <v/>
      </c>
      <c r="CU23" s="9" t="n">
        <v>3.13</v>
      </c>
      <c r="CV23" s="33">
        <f>PERCENTRANK(CU$2:INDEX($CU:$CU,LOOKUP(2,1/(ISNUMBER($A$2:$A$1048576)),ROW($A$2:$A$1048576))),CU23)</f>
        <v/>
      </c>
      <c r="CW23" s="39">
        <f>1-(CU23-CU$106)/CU$107</f>
        <v/>
      </c>
      <c r="CX23" s="9" t="n">
        <v>35.27</v>
      </c>
      <c r="CY23" s="9" t="n">
        <v>60.23</v>
      </c>
      <c r="CZ23" s="9" t="n">
        <v>36.26</v>
      </c>
      <c r="DA23" s="9" t="n">
        <v>60.2</v>
      </c>
      <c r="DB23" s="9" t="n">
        <v>42.32</v>
      </c>
      <c r="DC23" s="9" t="n">
        <v>21.58</v>
      </c>
      <c r="DD23" s="9" t="n">
        <v>50.99</v>
      </c>
      <c r="DE23" s="9" t="n">
        <v>3.03</v>
      </c>
      <c r="DF23" s="9" t="n">
        <v>1.61</v>
      </c>
      <c r="DG23" s="9" t="n">
        <v>53.19</v>
      </c>
      <c r="DH23" s="9" t="n">
        <v>33.71</v>
      </c>
      <c r="DI23" s="33">
        <f>PERCENTRANK(DH$2:INDEX($DH:$DH,LOOKUP(2,1/(ISNUMBER($A$2:$A$1048576)),ROW($A$2:$A$1048576))),DH23)</f>
        <v/>
      </c>
      <c r="DJ23" s="39">
        <f>SUM(DH23-DH$106)/DH$107</f>
        <v/>
      </c>
      <c r="DK23" s="9" t="n">
        <v>15.35</v>
      </c>
      <c r="DL23" s="9" t="n">
        <v>15.23</v>
      </c>
      <c r="DM23" s="9" t="n">
        <v>2.58</v>
      </c>
      <c r="DN23" s="9" t="n">
        <v>0.1</v>
      </c>
      <c r="DO23" s="9" t="n">
        <v>132.45</v>
      </c>
      <c r="DP23" s="9" t="n">
        <v>94.65000000000001</v>
      </c>
      <c r="DQ23" s="33">
        <f>PERCENTRANK(DP$2:INDEX($DP:$DP,LOOKUP(2,1/(ISNUMBER($A$2:$A$1048576)),ROW($A$2:$A$1048576))),DP23)</f>
        <v/>
      </c>
      <c r="DR23" s="40">
        <f>sum(DP23-DP$106)/DP$107</f>
        <v/>
      </c>
      <c r="DS23" s="9" t="n">
        <v>71.45999999999999</v>
      </c>
      <c r="DT23" s="9" t="n">
        <v>59.87</v>
      </c>
      <c r="DU23" s="9" t="n">
        <v>56.03</v>
      </c>
      <c r="DV23" s="9" t="n">
        <v>93.59</v>
      </c>
      <c r="DW23" s="9" t="n">
        <v>133.97</v>
      </c>
      <c r="DX23" s="9" t="n">
        <v>118.03</v>
      </c>
      <c r="DY23" s="9" t="n">
        <v>88.09999999999999</v>
      </c>
      <c r="DZ23" s="9" t="n">
        <v>42.65</v>
      </c>
      <c r="EA23" s="9" t="n">
        <v>21.23</v>
      </c>
      <c r="EB23" s="9" t="n">
        <v>49.77</v>
      </c>
      <c r="EC23" s="9" t="n">
        <v>54.97</v>
      </c>
      <c r="ED23" s="9" t="n">
        <v>36.26</v>
      </c>
      <c r="EE23" s="33">
        <f>PERCENTRANK(ED$2:INDEX($ED:$ED,LOOKUP(2,1/(ISNUMBER($A$2:$A$1048576)),ROW($A$2:$A$1048576))),ED23)</f>
        <v/>
      </c>
      <c r="EF23" s="40">
        <f>sum(ED23-ED$106)/ED$107</f>
        <v/>
      </c>
      <c r="EG23" s="9" t="n">
        <v>65.95999999999999</v>
      </c>
      <c r="EH23" s="9" t="n">
        <v>65</v>
      </c>
      <c r="EI23" s="9" t="n">
        <v>48.74</v>
      </c>
      <c r="EJ23" s="33">
        <f>PERCENTRANK(EI$2:INDEX($EI:$EI,LOOKUP(2,1/(ISNUMBER($A$2:$A$1048576)),ROW($A$2:$A$1048576))),EI23)</f>
        <v/>
      </c>
      <c r="EK23" s="40">
        <f>sum(EI23-EI$106)/EI$107</f>
        <v/>
      </c>
      <c r="EL23" s="9" t="n">
        <v>74.98999999999999</v>
      </c>
      <c r="EM23" s="9" t="n">
        <v>0.65</v>
      </c>
      <c r="EN23" s="9" t="n">
        <v>0.32</v>
      </c>
      <c r="EO23" s="9" t="n">
        <v>50</v>
      </c>
      <c r="EP23" s="9" t="n">
        <v>18.48</v>
      </c>
      <c r="EQ23" s="9" t="n">
        <v>16.06</v>
      </c>
      <c r="ER23" s="9" t="n">
        <v>86.91</v>
      </c>
      <c r="ES23" s="9" t="n">
        <v>7</v>
      </c>
      <c r="ET23" s="9" t="n">
        <v>16.11</v>
      </c>
      <c r="EU23" s="9" t="n">
        <v>3.87</v>
      </c>
      <c r="EV23" s="9" t="n">
        <v>12.01</v>
      </c>
      <c r="EW23" s="9" t="n">
        <v>17.11</v>
      </c>
      <c r="EX23" s="33">
        <f>PERCENTRANK(EW$2:INDEX($EW:$EW,LOOKUP(2,1/(ISNUMBER($A$2:$A$1048576)),ROW($A$2:$A$1048576))),EW23)</f>
        <v/>
      </c>
      <c r="EY23" s="38">
        <f>1-(EW23-EW$106)/EW$107</f>
        <v/>
      </c>
      <c r="EZ23" s="9" t="n">
        <v>19.93</v>
      </c>
      <c r="FA23" s="9" t="n">
        <v>11.02</v>
      </c>
      <c r="FB23" s="33">
        <f>PERCENTRANK(FA$2:INDEX($FA:$FA,LOOKUP(2,1/(ISNUMBER($A$2:$A$1048576)),ROW($A$2:$A$1048576))),FA23)</f>
        <v/>
      </c>
      <c r="FC23" s="39">
        <f>1-(FA23-FA$106)/FA$107</f>
        <v/>
      </c>
      <c r="FD23" s="9" t="n">
        <v>0.87</v>
      </c>
      <c r="FE23" s="9" t="n">
        <v>0.88</v>
      </c>
      <c r="FF23" s="33">
        <f>PERCENTRANK(FE$2:INDEX($FE:$FE,LOOKUP(2,1/(ISNUMBER($A$2:$A$1048576)),ROW($A$2:$A$1048576))),FE23)</f>
        <v/>
      </c>
      <c r="FG23" s="39">
        <f>1-(FE23-FE$106)/FE$107</f>
        <v/>
      </c>
      <c r="FH23" s="9" t="n">
        <v>8.869999999999999</v>
      </c>
      <c r="FI23" s="9" t="n">
        <v>2.9</v>
      </c>
      <c r="FJ23" s="9" t="n">
        <v>32.73</v>
      </c>
      <c r="FK23" s="9" t="n">
        <v>422.87</v>
      </c>
      <c r="FL23" s="33">
        <f>PERCENTRANK(FK$2:INDEX($FK:$FK,LOOKUP(2,1/(ISNUMBER($A$2:$A$1048576)),ROW($A$2:$A$1048576))),FK23)</f>
        <v/>
      </c>
      <c r="FM23" s="39">
        <f>SWA22-(FK23-FK$106)/FK$107</f>
        <v/>
      </c>
      <c r="FN23" s="9" t="n">
        <v>353.97</v>
      </c>
      <c r="FO23" s="9" t="n">
        <v>83.70999999999999</v>
      </c>
      <c r="FP23" s="9" t="n">
        <v>53.71</v>
      </c>
      <c r="FQ23" s="9" t="n">
        <v>105.94</v>
      </c>
      <c r="FR23" s="9" t="n">
        <v>21.68</v>
      </c>
      <c r="FS23" s="9" t="n">
        <v>38.03</v>
      </c>
      <c r="FT23" s="9" t="n">
        <v>46.23</v>
      </c>
      <c r="FU23" s="9" t="n">
        <v>74.16</v>
      </c>
      <c r="FV23" s="9" t="n">
        <v>37.52</v>
      </c>
      <c r="FW23" s="9" t="n">
        <v>28.23</v>
      </c>
      <c r="FX23" s="9" t="n">
        <v>8.42</v>
      </c>
      <c r="FY23" s="9" t="n">
        <v>182.58</v>
      </c>
      <c r="FZ23" s="9" t="n">
        <v>85.23</v>
      </c>
      <c r="GA23" s="9" t="n">
        <v>46.68</v>
      </c>
      <c r="GB23" s="9" t="n">
        <v>4.52</v>
      </c>
      <c r="GC23" s="9" t="n">
        <v>0.71</v>
      </c>
      <c r="GD23" s="9" t="n">
        <v>15.71</v>
      </c>
      <c r="GE23" s="9" t="n">
        <v>22.48</v>
      </c>
      <c r="GF23" s="9" t="n">
        <v>5.52</v>
      </c>
      <c r="GG23" s="9" t="n">
        <v>24.53</v>
      </c>
      <c r="GH23" s="9" t="n">
        <v>0.65</v>
      </c>
      <c r="GI23" s="9" t="n">
        <v>0.29</v>
      </c>
      <c r="GJ23" s="9" t="n">
        <v>45</v>
      </c>
      <c r="GK23" s="9" t="n">
        <v>27.03</v>
      </c>
      <c r="GL23" s="9" t="n">
        <v>2.48</v>
      </c>
      <c r="GM23" s="9" t="n">
        <v>9.19</v>
      </c>
      <c r="GN23" s="9" t="n">
        <v>3.48</v>
      </c>
      <c r="GO23" s="9" t="n">
        <v>0.97</v>
      </c>
      <c r="GP23" s="9" t="n">
        <v>27.78</v>
      </c>
      <c r="GQ23" s="9" t="n">
        <v>2.45</v>
      </c>
      <c r="GR23" s="9" t="n">
        <v>0.39</v>
      </c>
      <c r="GS23" s="9" t="n">
        <v>15.79</v>
      </c>
      <c r="GT23" s="9" t="n">
        <v>0.13</v>
      </c>
      <c r="GU23" s="9" t="n">
        <v>0.13</v>
      </c>
      <c r="GV23" s="9" t="n">
        <v>100</v>
      </c>
      <c r="GW23" s="9" t="n">
        <v>11.74</v>
      </c>
      <c r="GX23" s="9" t="n">
        <v>3.74</v>
      </c>
      <c r="GY23" s="9" t="n">
        <v>31.87</v>
      </c>
      <c r="GZ23" s="9" t="n">
        <v>3.42</v>
      </c>
      <c r="HA23" s="9" t="n">
        <v>5.16</v>
      </c>
      <c r="HB23" s="9" t="n">
        <v>20.77</v>
      </c>
      <c r="HC23" s="9" t="n">
        <v>2.61</v>
      </c>
      <c r="HD23" s="9" t="n">
        <v>7.39</v>
      </c>
      <c r="HE23" s="9" t="n">
        <v>11.23</v>
      </c>
      <c r="HF23" s="9" t="n">
        <v>60.19</v>
      </c>
      <c r="HG23" s="9" t="n">
        <v>23.94</v>
      </c>
      <c r="HH23" s="9" t="n">
        <v>39.76</v>
      </c>
      <c r="HI23" s="9" t="n">
        <v>2.13</v>
      </c>
      <c r="HJ23" s="9" t="n">
        <v>1.42</v>
      </c>
      <c r="HK23" s="9" t="n">
        <v>10.77</v>
      </c>
      <c r="HL23" s="9" t="n">
        <v>3.87</v>
      </c>
      <c r="HM23" s="9" t="n">
        <v>35.93</v>
      </c>
      <c r="HN23" s="9" t="n">
        <v>57.03</v>
      </c>
      <c r="HO23" s="9" t="n">
        <v>34.06</v>
      </c>
      <c r="HP23" s="9" t="n">
        <v>59.73</v>
      </c>
      <c r="HQ23" s="9" t="n">
        <v>42.32</v>
      </c>
      <c r="HR23" s="9" t="n">
        <v>17.65</v>
      </c>
      <c r="HS23" s="9" t="n">
        <v>41.69</v>
      </c>
      <c r="HT23" s="9" t="n">
        <v>2.39</v>
      </c>
      <c r="HU23" s="9" t="n">
        <v>1.03</v>
      </c>
      <c r="HV23" s="9" t="n">
        <v>43.24</v>
      </c>
      <c r="HW23" s="9" t="n">
        <v>33.94</v>
      </c>
      <c r="HX23" s="9" t="n">
        <v>15.87</v>
      </c>
      <c r="HY23" s="9" t="n">
        <v>14.19</v>
      </c>
      <c r="HZ23" s="9" t="n">
        <v>2.29</v>
      </c>
      <c r="IA23" s="9" t="n">
        <v>0.13</v>
      </c>
      <c r="IB23" s="9" t="n">
        <v>144.23</v>
      </c>
      <c r="IC23" s="9" t="n">
        <v>102.39</v>
      </c>
      <c r="ID23" s="9" t="n">
        <v>70.98999999999999</v>
      </c>
      <c r="IE23" s="9" t="n">
        <v>60.65</v>
      </c>
      <c r="IF23" s="9" t="n">
        <v>57.1</v>
      </c>
      <c r="IG23" s="9" t="n">
        <v>94.15000000000001</v>
      </c>
      <c r="IH23" s="9" t="n">
        <v>162.68</v>
      </c>
      <c r="II23" s="9" t="n">
        <v>148.42</v>
      </c>
      <c r="IJ23" s="9" t="n">
        <v>91.23999999999999</v>
      </c>
      <c r="IK23" s="9" t="n">
        <v>51.1</v>
      </c>
      <c r="IL23" s="9" t="n">
        <v>26.1</v>
      </c>
      <c r="IM23" s="9" t="n">
        <v>51.07</v>
      </c>
      <c r="IN23" s="9" t="n">
        <v>53.74</v>
      </c>
      <c r="IO23" s="9" t="n">
        <v>34.61</v>
      </c>
      <c r="IP23" s="9" t="n">
        <v>64.41</v>
      </c>
      <c r="IQ23" s="9" t="n">
        <v>71.29000000000001</v>
      </c>
      <c r="IR23" s="9" t="n">
        <v>49.1</v>
      </c>
      <c r="IS23" s="9" t="n">
        <v>68.87</v>
      </c>
      <c r="IT23" s="33">
        <f>PERCENTRANK(IS$2:INDEX($IS:$IS,LOOKUP(2,1/(ISNUMBER($A$2:$A$1048576)),ROW($A$2:$A$1048576))),IS23)</f>
        <v/>
      </c>
      <c r="IU23" s="39">
        <f>1-(IS23-IS$106)/IS$107</f>
        <v/>
      </c>
      <c r="IV23" s="9" t="n">
        <v>0.84</v>
      </c>
      <c r="IW23" s="9" t="n">
        <v>0.26</v>
      </c>
      <c r="IX23" s="9" t="n">
        <v>30.77</v>
      </c>
      <c r="IY23" s="9" t="n">
        <v>20.16</v>
      </c>
      <c r="IZ23" s="9" t="n">
        <v>18.19</v>
      </c>
      <c r="JA23" s="9" t="n">
        <v>90.23999999999999</v>
      </c>
      <c r="JB23" s="9" t="n">
        <v>8.42</v>
      </c>
      <c r="JC23" s="9" t="n">
        <v>15.52</v>
      </c>
      <c r="JD23" s="9" t="n">
        <v>4.34</v>
      </c>
      <c r="JE23" s="9" t="n">
        <v>13.03</v>
      </c>
      <c r="JF23" s="9" t="n">
        <v>20.09</v>
      </c>
      <c r="JG23" s="9" t="n">
        <v>20.76</v>
      </c>
      <c r="JH23" s="9" t="n">
        <v>11.39</v>
      </c>
    </row>
    <row r="24">
      <c r="A24" s="12" t="n">
        <v>2025</v>
      </c>
      <c r="B24" s="31" t="inlineStr">
        <is>
          <t>Indy Eleven</t>
        </is>
      </c>
      <c r="C24" s="12" t="n">
        <v>35</v>
      </c>
      <c r="D24" s="5">
        <f>(C24-AVERAGE($C$2:INDEX($C:$C,LOOKUP(2,1/(ISNUMBER($A$2:$A$1048576)),ROW($A$2:$A$1048576)))))/_xlfn.STDEV.P($C$2:INDEX($C:$C,LOOKUP(2,1/(ISNUMBER($A$2:$A$1048576)),ROW($A$2:$A$1048576))))</f>
        <v/>
      </c>
      <c r="E24" s="12" t="n">
        <v>9</v>
      </c>
      <c r="F24" s="6">
        <f>-E24</f>
        <v/>
      </c>
      <c r="G24" s="7">
        <f>(F24-AVERAGE($F$2:INDEX($F:$F,LOOKUP(2,1/(ISNUMBER($A$2:$A$1048576)),ROW($A$2:$A$1048576)))))/_xlfn.STDEV.P($F$2:INDEX($F:$F,LOOKUP(2,1/(ISNUMBER($A$2:$A$1048576)),ROW($A$2:$A$1048576))))</f>
        <v/>
      </c>
      <c r="H24" s="32">
        <f>sum(0.5*D24)+(0.5*G24)</f>
        <v/>
      </c>
      <c r="I24" s="12" t="inlineStr">
        <is>
          <t>East</t>
        </is>
      </c>
      <c r="J24" s="10">
        <f>sum(L24*L$105)+(N24*N$105)+(P24*P$105)+(T24*R$105)</f>
        <v/>
      </c>
      <c r="K24" s="33">
        <f>PERCENTRANK(J$2:INDEX($J:$J,LOOKUP(2,1/(ISNUMBER($A$2:$A$1048576)),ROW($A$2:$A$1048576))),J24)</f>
        <v/>
      </c>
      <c r="L24" s="10">
        <f>sum(AA24*0.66)+(AD24*0.55)+(AG24*0.59)+(CG24*0.51)+(CL24*0.6)+(EY24*0.31)</f>
        <v/>
      </c>
      <c r="M24" s="33">
        <f>PERCENTRANK(L$2:INDEX($L:$L,LOOKUP(2,1/(ISNUMBER($A$2:$A$1048576)),ROW($A$2:$A$1048576))),L24)</f>
        <v/>
      </c>
      <c r="N24" s="10">
        <f>sum(CT24*0.57)+(CW24*0.71)+(DJ24*0.08)+(FC24*0.33)+(FG24*0.69)+(FM24*0.26)+(IU24*0.54)+(AU24*0.4)</f>
        <v/>
      </c>
      <c r="O24" s="33">
        <f>PERCENTRANK(N$2:INDEX($N:$N,LOOKUP(2,1/(ISNUMBER($A$2:$A$1048576)),ROW($A$2:$A$1048576))),N24)</f>
        <v/>
      </c>
      <c r="P24" s="10">
        <f>sum(BG24*0.51)+(CD24*0.51)+(DR24*0.11)+(EF24*0.42)+(EK24*0.44)+(W24*0.6)</f>
        <v/>
      </c>
      <c r="Q24" s="33">
        <f>PERCENTRANK(P$2:INDEX($P:$P,LOOKUP(2,1/(ISNUMBER($A$2:$A$1048576)),ROW($A$2:$A$1048576))),P24)</f>
        <v/>
      </c>
      <c r="R24" s="10">
        <f>sum(Y24-FE24)</f>
        <v/>
      </c>
      <c r="S24" s="33">
        <f>PERCENTRANK(R$2:INDEX($R:$R,LOOKUP(2,1/(ISNUMBER($A$2:$A$1048576)),ROW($A$2:$A$1048576))),R24)</f>
        <v/>
      </c>
      <c r="T24" s="34">
        <f>sum(R24-R$106)/R$107</f>
        <v/>
      </c>
      <c r="U24" s="35">
        <f>sum(Y24/AI24)*100</f>
        <v/>
      </c>
      <c r="V24" s="33">
        <f>PERCENTRANK(U$2:INDEX($U:$U,LOOKUP(2,1/(ISNUMBER($A$2:$A$1048576)),ROW($A$2:$A$1048576))),U24)</f>
        <v/>
      </c>
      <c r="W24" s="36">
        <f>sum(U24-U$106)/U$107</f>
        <v/>
      </c>
      <c r="X24" s="9" t="n">
        <v>1.47</v>
      </c>
      <c r="Y24" s="9" t="n">
        <v>1.18</v>
      </c>
      <c r="Z24" s="33">
        <f>PERCENTRANK(Y$2:INDEX($Y:$Y,LOOKUP(2,1/(ISNUMBER($A$2:$A$1048576)),ROW($A$2:$A$1048576))),Y24)</f>
        <v/>
      </c>
      <c r="AA24" s="37">
        <f>sum(Y24-Y$106)/Y$107</f>
        <v/>
      </c>
      <c r="AB24" s="9" t="n">
        <v>9.869999999999999</v>
      </c>
      <c r="AC24" s="33">
        <f>PERCENTRANK(AB$2:INDEX($AB:$AB,LOOKUP(2,1/(ISNUMBER($A$2:$A$1048576)),ROW($A$2:$A$1048576))),AB24)</f>
        <v/>
      </c>
      <c r="AD24" s="38">
        <f>sum(AB24-AB$106)/AB$107</f>
        <v/>
      </c>
      <c r="AE24" s="9" t="n">
        <v>3.5</v>
      </c>
      <c r="AF24" s="33">
        <f>PERCENTRANK(AE$2:INDEX($AE:$AE,LOOKUP(2,1/(ISNUMBER($A$2:$A$1048576)),ROW($A$2:$A$1048576))),AE24)</f>
        <v/>
      </c>
      <c r="AG24" s="38">
        <f>sum(AE24-AE$106)/AE$107</f>
        <v/>
      </c>
      <c r="AH24" s="9" t="n">
        <v>35.47</v>
      </c>
      <c r="AI24" s="9" t="n">
        <v>322.9</v>
      </c>
      <c r="AJ24" s="9" t="n">
        <v>248</v>
      </c>
      <c r="AK24" s="9" t="n">
        <v>76.8</v>
      </c>
      <c r="AL24" s="9" t="n">
        <v>43</v>
      </c>
      <c r="AM24" s="9" t="n">
        <v>112.37</v>
      </c>
      <c r="AN24" s="9" t="n">
        <v>19.73</v>
      </c>
      <c r="AO24" s="9" t="n">
        <v>37.43</v>
      </c>
      <c r="AP24" s="9" t="n">
        <v>55.2</v>
      </c>
      <c r="AQ24" s="9" t="n">
        <v>80.2</v>
      </c>
      <c r="AR24" s="9" t="n">
        <v>38.13</v>
      </c>
      <c r="AS24" s="9" t="n">
        <v>29.3</v>
      </c>
      <c r="AT24" s="33">
        <f>PERCENTRANK(AS$2:INDEX($AS:$AS,LOOKUP(2,1/(ISNUMBER($A$2:$A$1048576)),ROW($A$2:$A$1048576))),AS24)</f>
        <v/>
      </c>
      <c r="AU24" s="39">
        <f>SUM(AS24-AS$106)/AS$107</f>
        <v/>
      </c>
      <c r="AV24" s="9" t="n">
        <v>12.77</v>
      </c>
      <c r="AW24" s="33">
        <f>PERCENTRANK(AV$2:INDEX($AV:$AV,LOOKUP(2,1/(ISNUMBER($A$2:$A$1048576)),ROW($A$2:$A$1048576))),AV24)</f>
        <v/>
      </c>
      <c r="AX24" s="9" t="n">
        <v>176.43</v>
      </c>
      <c r="AY24" s="9" t="n">
        <v>84.59999999999999</v>
      </c>
      <c r="AZ24" s="9" t="n">
        <v>47.95</v>
      </c>
      <c r="BA24" s="9" t="n">
        <v>3.83</v>
      </c>
      <c r="BB24" s="9" t="n">
        <v>0.97</v>
      </c>
      <c r="BC24" s="9" t="n">
        <v>25.22</v>
      </c>
      <c r="BD24" s="9" t="n">
        <v>26.47</v>
      </c>
      <c r="BE24" s="9" t="n">
        <v>5.13</v>
      </c>
      <c r="BF24" s="33">
        <f>PERCENTRANK(BE$2:INDEX($BE:$BE,LOOKUP(2,1/(ISNUMBER($A$2:$A$1048576)),ROW($A$2:$A$1048576))),BE24)</f>
        <v/>
      </c>
      <c r="BG24" s="40">
        <f>sum(BE24-BE$106)/BE$107</f>
        <v/>
      </c>
      <c r="BH24" s="9" t="n">
        <v>19.4</v>
      </c>
      <c r="BI24" s="9" t="n">
        <v>0.77</v>
      </c>
      <c r="BJ24" s="9" t="n">
        <v>0.4</v>
      </c>
      <c r="BK24" s="9" t="n">
        <v>52.17</v>
      </c>
      <c r="BL24" s="9" t="n">
        <v>24.63</v>
      </c>
      <c r="BM24" s="9" t="n">
        <v>3.5</v>
      </c>
      <c r="BN24" s="9" t="n">
        <v>14.21</v>
      </c>
      <c r="BO24" s="9" t="n">
        <v>4.7</v>
      </c>
      <c r="BP24" s="9" t="n">
        <v>1.57</v>
      </c>
      <c r="BQ24" s="9" t="n">
        <v>33.33</v>
      </c>
      <c r="BR24" s="9" t="n">
        <v>2.83</v>
      </c>
      <c r="BS24" s="9" t="n">
        <v>0.9</v>
      </c>
      <c r="BT24" s="9" t="n">
        <v>31.76</v>
      </c>
      <c r="BU24" s="9" t="n">
        <v>0.13</v>
      </c>
      <c r="BV24" s="9" t="n">
        <v>0.13</v>
      </c>
      <c r="BW24" s="9" t="n">
        <v>100</v>
      </c>
      <c r="BX24" s="9" t="n">
        <v>15.7</v>
      </c>
      <c r="BY24" s="9" t="n">
        <v>4.4</v>
      </c>
      <c r="BZ24" s="9" t="n">
        <v>28.03</v>
      </c>
      <c r="CA24" s="9" t="n">
        <v>4.27</v>
      </c>
      <c r="CB24" s="9" t="n">
        <v>6.33</v>
      </c>
      <c r="CC24" s="33">
        <f>PERCENTRANK(CD$2:INDEX($CD:$CD,LOOKUP(2,1/(ISNUMBER($A$2:$A$1048576)),ROW($A$2:$A$1048576))),CD24)</f>
        <v/>
      </c>
      <c r="CD24" s="40">
        <f>sum(CB24-CB$106)/CB$107</f>
        <v/>
      </c>
      <c r="CE24" s="9" t="n">
        <v>22.6</v>
      </c>
      <c r="CF24" s="33">
        <f>PERCENTRANK(CE$2:INDEX($CE:$CE,LOOKUP(2,1/(ISNUMBER($A$2:$A$1048576)),ROW($A$2:$A$1048576))),CE24)</f>
        <v/>
      </c>
      <c r="CG24" s="38">
        <f>sum(CE24-CE$106)/CE$107</f>
        <v/>
      </c>
      <c r="CH24" s="9" t="n">
        <v>2.27</v>
      </c>
      <c r="CI24" s="9" t="n">
        <v>10.23</v>
      </c>
      <c r="CJ24" s="9" t="n">
        <v>14.83</v>
      </c>
      <c r="CK24" s="33">
        <f>PERCENTRANK(CJ$2:INDEX($CJ:$CJ,LOOKUP(2,1/(ISNUMBER($A$2:$A$1048576)),ROW($A$2:$A$1048576))),CJ24)</f>
        <v/>
      </c>
      <c r="CL24" s="38">
        <f>sum(CJ24-CJ$106)/CJ$107</f>
        <v/>
      </c>
      <c r="CM24" s="9" t="n">
        <v>45.03</v>
      </c>
      <c r="CN24" s="9" t="n">
        <v>17.47</v>
      </c>
      <c r="CO24" s="9" t="n">
        <v>38.79</v>
      </c>
      <c r="CP24" s="9" t="n">
        <v>2.3</v>
      </c>
      <c r="CQ24" s="9" t="n">
        <v>1.73</v>
      </c>
      <c r="CR24" s="9" t="n">
        <v>12</v>
      </c>
      <c r="CS24" s="33">
        <f>PERCENTRANK(CR$2:INDEX($CR:$CR,LOOKUP(2,1/(ISNUMBER($A$2:$A$1048576)),ROW($A$2:$A$1048576))),CR24)</f>
        <v/>
      </c>
      <c r="CT24" s="39">
        <f>1-(CR24-CR$106)/CR$107</f>
        <v/>
      </c>
      <c r="CU24" s="9" t="n">
        <v>4.4</v>
      </c>
      <c r="CV24" s="33">
        <f>PERCENTRANK(CU$2:INDEX($CU:$CU,LOOKUP(2,1/(ISNUMBER($A$2:$A$1048576)),ROW($A$2:$A$1048576))),CU24)</f>
        <v/>
      </c>
      <c r="CW24" s="39">
        <f>1-(CU24-CU$106)/CU$107</f>
        <v/>
      </c>
      <c r="CX24" s="9" t="n">
        <v>36.67</v>
      </c>
      <c r="CY24" s="9" t="n">
        <v>57.6</v>
      </c>
      <c r="CZ24" s="9" t="n">
        <v>35.03</v>
      </c>
      <c r="DA24" s="9" t="n">
        <v>60.82</v>
      </c>
      <c r="DB24" s="9" t="n">
        <v>47.67</v>
      </c>
      <c r="DC24" s="9" t="n">
        <v>21.57</v>
      </c>
      <c r="DD24" s="9" t="n">
        <v>45.24</v>
      </c>
      <c r="DE24" s="9" t="n">
        <v>1.9</v>
      </c>
      <c r="DF24" s="9" t="n">
        <v>0.73</v>
      </c>
      <c r="DG24" s="9" t="n">
        <v>38.6</v>
      </c>
      <c r="DH24" s="9" t="n">
        <v>36.83</v>
      </c>
      <c r="DI24" s="33">
        <f>PERCENTRANK(DH$2:INDEX($DH:$DH,LOOKUP(2,1/(ISNUMBER($A$2:$A$1048576)),ROW($A$2:$A$1048576))),DH24)</f>
        <v/>
      </c>
      <c r="DJ24" s="39">
        <f>SUM(DH24-DH$106)/DH$107</f>
        <v/>
      </c>
      <c r="DK24" s="9" t="n">
        <v>19.33</v>
      </c>
      <c r="DL24" s="9" t="n">
        <v>14.37</v>
      </c>
      <c r="DM24" s="9" t="n">
        <v>1.93</v>
      </c>
      <c r="DN24" s="9" t="n">
        <v>0.1</v>
      </c>
      <c r="DO24" s="9" t="n">
        <v>124.8</v>
      </c>
      <c r="DP24" s="9" t="n">
        <v>82.56999999999999</v>
      </c>
      <c r="DQ24" s="33">
        <f>PERCENTRANK(DP$2:INDEX($DP:$DP,LOOKUP(2,1/(ISNUMBER($A$2:$A$1048576)),ROW($A$2:$A$1048576))),DP24)</f>
        <v/>
      </c>
      <c r="DR24" s="40">
        <f>sum(DP24-DP$106)/DP$107</f>
        <v/>
      </c>
      <c r="DS24" s="9" t="n">
        <v>66.16</v>
      </c>
      <c r="DT24" s="9" t="n">
        <v>47.87</v>
      </c>
      <c r="DU24" s="9" t="n">
        <v>44.03</v>
      </c>
      <c r="DV24" s="9" t="n">
        <v>91.98999999999999</v>
      </c>
      <c r="DW24" s="9" t="n">
        <v>105.8</v>
      </c>
      <c r="DX24" s="9" t="n">
        <v>88.63</v>
      </c>
      <c r="DY24" s="9" t="n">
        <v>83.77</v>
      </c>
      <c r="DZ24" s="9" t="n">
        <v>52.43</v>
      </c>
      <c r="EA24" s="9" t="n">
        <v>26.57</v>
      </c>
      <c r="EB24" s="9" t="n">
        <v>50.67</v>
      </c>
      <c r="EC24" s="9" t="n">
        <v>52.67</v>
      </c>
      <c r="ED24" s="9" t="n">
        <v>32.2</v>
      </c>
      <c r="EE24" s="33">
        <f>PERCENTRANK(ED$2:INDEX($ED:$ED,LOOKUP(2,1/(ISNUMBER($A$2:$A$1048576)),ROW($A$2:$A$1048576))),ED24)</f>
        <v/>
      </c>
      <c r="EF24" s="40">
        <f>sum(ED24-ED$106)/ED$107</f>
        <v/>
      </c>
      <c r="EG24" s="9" t="n">
        <v>61.14</v>
      </c>
      <c r="EH24" s="9" t="n">
        <v>68.37</v>
      </c>
      <c r="EI24" s="9" t="n">
        <v>47.8</v>
      </c>
      <c r="EJ24" s="33">
        <f>PERCENTRANK(EI$2:INDEX($EI:$EI,LOOKUP(2,1/(ISNUMBER($A$2:$A$1048576)),ROW($A$2:$A$1048576))),EI24)</f>
        <v/>
      </c>
      <c r="EK24" s="40">
        <f>sum(EI24-EI$106)/EI$107</f>
        <v/>
      </c>
      <c r="EL24" s="9" t="n">
        <v>69.92</v>
      </c>
      <c r="EM24" s="9" t="n">
        <v>0.47</v>
      </c>
      <c r="EN24" s="9" t="n">
        <v>0.23</v>
      </c>
      <c r="EO24" s="9" t="n">
        <v>50</v>
      </c>
      <c r="EP24" s="9" t="n">
        <v>20.23</v>
      </c>
      <c r="EQ24" s="9" t="n">
        <v>16.5</v>
      </c>
      <c r="ER24" s="9" t="n">
        <v>81.55</v>
      </c>
      <c r="ES24" s="9" t="n">
        <v>8.83</v>
      </c>
      <c r="ET24" s="9" t="n">
        <v>16.01</v>
      </c>
      <c r="EU24" s="9" t="n">
        <v>3.18</v>
      </c>
      <c r="EV24" s="9" t="n">
        <v>16.98</v>
      </c>
      <c r="EW24" s="9" t="n">
        <v>17.9</v>
      </c>
      <c r="EX24" s="33">
        <f>PERCENTRANK(EW$2:INDEX($EW:$EW,LOOKUP(2,1/(ISNUMBER($A$2:$A$1048576)),ROW($A$2:$A$1048576))),EW24)</f>
        <v/>
      </c>
      <c r="EY24" s="38">
        <f>1-(EW24-EW$106)/EW$107</f>
        <v/>
      </c>
      <c r="EZ24" s="9" t="n">
        <v>21.18</v>
      </c>
      <c r="FA24" s="9" t="n">
        <v>12.31</v>
      </c>
      <c r="FB24" s="33">
        <f>PERCENTRANK(FA$2:INDEX($FA:$FA,LOOKUP(2,1/(ISNUMBER($A$2:$A$1048576)),ROW($A$2:$A$1048576))),FA24)</f>
        <v/>
      </c>
      <c r="FC24" s="39">
        <f>1-(FA24-FA$106)/FA$107</f>
        <v/>
      </c>
      <c r="FD24" s="9" t="n">
        <v>1.73</v>
      </c>
      <c r="FE24" s="9" t="n">
        <v>1.33</v>
      </c>
      <c r="FF24" s="33">
        <f>PERCENTRANK(FE$2:INDEX($FE:$FE,LOOKUP(2,1/(ISNUMBER($A$2:$A$1048576)),ROW($A$2:$A$1048576))),FE24)</f>
        <v/>
      </c>
      <c r="FG24" s="39">
        <f>1-(FE24-FE$106)/FE$107</f>
        <v/>
      </c>
      <c r="FH24" s="9" t="n">
        <v>12</v>
      </c>
      <c r="FI24" s="9" t="n">
        <v>4.2</v>
      </c>
      <c r="FJ24" s="9" t="n">
        <v>35</v>
      </c>
      <c r="FK24" s="9" t="n">
        <v>431.3</v>
      </c>
      <c r="FL24" s="33">
        <f>PERCENTRANK(FK$2:INDEX($FK:$FK,LOOKUP(2,1/(ISNUMBER($A$2:$A$1048576)),ROW($A$2:$A$1048576))),FK24)</f>
        <v/>
      </c>
      <c r="FM24" s="39">
        <f>SWA23-(FK24-FK$106)/FK$107</f>
        <v/>
      </c>
      <c r="FN24" s="9" t="n">
        <v>353.7</v>
      </c>
      <c r="FO24" s="9" t="n">
        <v>82.01000000000001</v>
      </c>
      <c r="FP24" s="9" t="n">
        <v>57</v>
      </c>
      <c r="FQ24" s="9" t="n">
        <v>114.97</v>
      </c>
      <c r="FR24" s="9" t="n">
        <v>21.07</v>
      </c>
      <c r="FS24" s="9" t="n">
        <v>38.07</v>
      </c>
      <c r="FT24" s="9" t="n">
        <v>55.83</v>
      </c>
      <c r="FU24" s="9" t="n">
        <v>78.73</v>
      </c>
      <c r="FV24" s="9" t="n">
        <v>38.13</v>
      </c>
      <c r="FW24" s="9" t="n">
        <v>30.1</v>
      </c>
      <c r="FX24" s="9" t="n">
        <v>10.5</v>
      </c>
      <c r="FY24" s="9" t="n">
        <v>176.43</v>
      </c>
      <c r="FZ24" s="9" t="n">
        <v>84.17</v>
      </c>
      <c r="GA24" s="9" t="n">
        <v>47.7</v>
      </c>
      <c r="GB24" s="9" t="n">
        <v>5.5</v>
      </c>
      <c r="GC24" s="9" t="n">
        <v>1.57</v>
      </c>
      <c r="GD24" s="9" t="n">
        <v>28.48</v>
      </c>
      <c r="GE24" s="9" t="n">
        <v>28.37</v>
      </c>
      <c r="GF24" s="9" t="n">
        <v>7.6</v>
      </c>
      <c r="GG24" s="9" t="n">
        <v>26.79</v>
      </c>
      <c r="GH24" s="9" t="n">
        <v>0.57</v>
      </c>
      <c r="GI24" s="9" t="n">
        <v>0.4</v>
      </c>
      <c r="GJ24" s="9" t="n">
        <v>70.59</v>
      </c>
      <c r="GK24" s="9" t="n">
        <v>28.67</v>
      </c>
      <c r="GL24" s="9" t="n">
        <v>3.4</v>
      </c>
      <c r="GM24" s="9" t="n">
        <v>11.86</v>
      </c>
      <c r="GN24" s="9" t="n">
        <v>5.23</v>
      </c>
      <c r="GO24" s="9" t="n">
        <v>1.33</v>
      </c>
      <c r="GP24" s="9" t="n">
        <v>25.48</v>
      </c>
      <c r="GQ24" s="9" t="n">
        <v>2.73</v>
      </c>
      <c r="GR24" s="9" t="n">
        <v>0.4</v>
      </c>
      <c r="GS24" s="9" t="n">
        <v>14.63</v>
      </c>
      <c r="GT24" s="9" t="n">
        <v>0.13</v>
      </c>
      <c r="GU24" s="9" t="n">
        <v>0.1</v>
      </c>
      <c r="GV24" s="9" t="n">
        <v>75</v>
      </c>
      <c r="GW24" s="9" t="n">
        <v>14.37</v>
      </c>
      <c r="GX24" s="9" t="n">
        <v>4.6</v>
      </c>
      <c r="GY24" s="9" t="n">
        <v>32.02</v>
      </c>
      <c r="GZ24" s="9" t="n">
        <v>4.5</v>
      </c>
      <c r="HA24" s="9" t="n">
        <v>6.57</v>
      </c>
      <c r="HB24" s="9" t="n">
        <v>25.3</v>
      </c>
      <c r="HC24" s="9" t="n">
        <v>3.07</v>
      </c>
      <c r="HD24" s="9" t="n">
        <v>9.869999999999999</v>
      </c>
      <c r="HE24" s="9" t="n">
        <v>14.5</v>
      </c>
      <c r="HF24" s="9" t="n">
        <v>57.6</v>
      </c>
      <c r="HG24" s="9" t="n">
        <v>22.57</v>
      </c>
      <c r="HH24" s="9" t="n">
        <v>39.18</v>
      </c>
      <c r="HI24" s="9" t="n">
        <v>1.47</v>
      </c>
      <c r="HJ24" s="9" t="n">
        <v>1.47</v>
      </c>
      <c r="HK24" s="9" t="n">
        <v>9.869999999999999</v>
      </c>
      <c r="HL24" s="9" t="n">
        <v>3.83</v>
      </c>
      <c r="HM24" s="9" t="n">
        <v>38.85</v>
      </c>
      <c r="HN24" s="9" t="n">
        <v>45.07</v>
      </c>
      <c r="HO24" s="9" t="n">
        <v>27.57</v>
      </c>
      <c r="HP24" s="9" t="n">
        <v>61.17</v>
      </c>
      <c r="HQ24" s="9" t="n">
        <v>47.67</v>
      </c>
      <c r="HR24" s="9" t="n">
        <v>22.2</v>
      </c>
      <c r="HS24" s="9" t="n">
        <v>46.57</v>
      </c>
      <c r="HT24" s="9" t="n">
        <v>1.97</v>
      </c>
      <c r="HU24" s="9" t="n">
        <v>1.07</v>
      </c>
      <c r="HV24" s="9" t="n">
        <v>54.24</v>
      </c>
      <c r="HW24" s="9" t="n">
        <v>34.23</v>
      </c>
      <c r="HX24" s="9" t="n">
        <v>16.43</v>
      </c>
      <c r="HY24" s="9" t="n">
        <v>12.17</v>
      </c>
      <c r="HZ24" s="9" t="n">
        <v>2.07</v>
      </c>
      <c r="IA24" s="9" t="n">
        <v>0.07000000000000001</v>
      </c>
      <c r="IB24" s="9" t="n">
        <v>154.37</v>
      </c>
      <c r="IC24" s="9" t="n">
        <v>109.07</v>
      </c>
      <c r="ID24" s="9" t="n">
        <v>70.65000000000001</v>
      </c>
      <c r="IE24" s="9" t="n">
        <v>63.73</v>
      </c>
      <c r="IF24" s="9" t="n">
        <v>60.37</v>
      </c>
      <c r="IG24" s="9" t="n">
        <v>94.72</v>
      </c>
      <c r="IH24" s="9" t="n">
        <v>148.93</v>
      </c>
      <c r="II24" s="9" t="n">
        <v>130.43</v>
      </c>
      <c r="IJ24" s="9" t="n">
        <v>87.58</v>
      </c>
      <c r="IK24" s="9" t="n">
        <v>51.7</v>
      </c>
      <c r="IL24" s="9" t="n">
        <v>24.8</v>
      </c>
      <c r="IM24" s="9" t="n">
        <v>47.97</v>
      </c>
      <c r="IN24" s="9" t="n">
        <v>59.9</v>
      </c>
      <c r="IO24" s="9" t="n">
        <v>38.37</v>
      </c>
      <c r="IP24" s="9" t="n">
        <v>64.05</v>
      </c>
      <c r="IQ24" s="9" t="n">
        <v>74.43000000000001</v>
      </c>
      <c r="IR24" s="9" t="n">
        <v>53.3</v>
      </c>
      <c r="IS24" s="9" t="n">
        <v>71.61</v>
      </c>
      <c r="IT24" s="33">
        <f>PERCENTRANK(IS$2:INDEX($IS:$IS,LOOKUP(2,1/(ISNUMBER($A$2:$A$1048576)),ROW($A$2:$A$1048576))),IS24)</f>
        <v/>
      </c>
      <c r="IU24" s="39">
        <f>1-(IS24-IS$106)/IS$107</f>
        <v/>
      </c>
      <c r="IV24" s="9" t="n">
        <v>0.93</v>
      </c>
      <c r="IW24" s="9" t="n">
        <v>0.43</v>
      </c>
      <c r="IX24" s="9" t="n">
        <v>46.43</v>
      </c>
      <c r="IY24" s="9" t="n">
        <v>20.9</v>
      </c>
      <c r="IZ24" s="9" t="n">
        <v>18.83</v>
      </c>
      <c r="JA24" s="9" t="n">
        <v>90.11</v>
      </c>
      <c r="JB24" s="9" t="n">
        <v>7.83</v>
      </c>
      <c r="JC24" s="9" t="n">
        <v>15.96</v>
      </c>
      <c r="JD24" s="9" t="n">
        <v>4.2</v>
      </c>
      <c r="JE24" s="9" t="n">
        <v>12.76</v>
      </c>
      <c r="JF24" s="9" t="n">
        <v>18.74</v>
      </c>
      <c r="JG24" s="9" t="n">
        <v>19.74</v>
      </c>
      <c r="JH24" s="9" t="n">
        <v>10.38</v>
      </c>
    </row>
    <row r="25">
      <c r="A25" s="12" t="n">
        <v>2022</v>
      </c>
      <c r="B25" s="31" t="inlineStr">
        <is>
          <t>Pittsburgh Riverhounds</t>
        </is>
      </c>
      <c r="C25" s="12" t="n">
        <v>57</v>
      </c>
      <c r="D25" s="5">
        <f>(C25-AVERAGE($C$2:INDEX($C:$C,LOOKUP(2,1/(ISNUMBER($A$2:$A$1048576)),ROW($A$2:$A$1048576)))))/_xlfn.STDEV.P($C$2:INDEX($C:$C,LOOKUP(2,1/(ISNUMBER($A$2:$A$1048576)),ROW($A$2:$A$1048576))))</f>
        <v/>
      </c>
      <c r="E25" s="12" t="n">
        <v>5</v>
      </c>
      <c r="F25" s="6">
        <f>-E25</f>
        <v/>
      </c>
      <c r="G25" s="7">
        <f>(F25-AVERAGE($F$2:INDEX($F:$F,LOOKUP(2,1/(ISNUMBER($A$2:$A$1048576)),ROW($A$2:$A$1048576)))))/_xlfn.STDEV.P($F$2:INDEX($F:$F,LOOKUP(2,1/(ISNUMBER($A$2:$A$1048576)),ROW($A$2:$A$1048576))))</f>
        <v/>
      </c>
      <c r="H25" s="32">
        <f>sum(0.5*D25)+(0.5*G25)</f>
        <v/>
      </c>
      <c r="I25" s="12" t="inlineStr">
        <is>
          <t>East</t>
        </is>
      </c>
      <c r="J25" s="10">
        <f>sum(L25*L$105)+(N25*N$105)+(P25*P$105)+(T25*R$105)</f>
        <v/>
      </c>
      <c r="K25" s="33">
        <f>PERCENTRANK(J$2:INDEX($J:$J,LOOKUP(2,1/(ISNUMBER($A$2:$A$1048576)),ROW($A$2:$A$1048576))),J25)</f>
        <v/>
      </c>
      <c r="L25" s="10">
        <f>sum(AA25*0.66)+(AD25*0.55)+(AG25*0.59)+(CG25*0.51)+(CL25*0.6)+(EY25*0.31)</f>
        <v/>
      </c>
      <c r="M25" s="33">
        <f>PERCENTRANK(L$2:INDEX($L:$L,LOOKUP(2,1/(ISNUMBER($A$2:$A$1048576)),ROW($A$2:$A$1048576))),L25)</f>
        <v/>
      </c>
      <c r="N25" s="10">
        <f>sum(CT25*0.57)+(CW25*0.71)+(DJ25*0.08)+(FC25*0.33)+(FG25*0.69)+(FM25*0.26)+(IU25*0.54)+(AU25*0.4)</f>
        <v/>
      </c>
      <c r="O25" s="33">
        <f>PERCENTRANK(N$2:INDEX($N:$N,LOOKUP(2,1/(ISNUMBER($A$2:$A$1048576)),ROW($A$2:$A$1048576))),N25)</f>
        <v/>
      </c>
      <c r="P25" s="10">
        <f>sum(BG25*0.51)+(CD25*0.51)+(DR25*0.11)+(EF25*0.42)+(EK25*0.44)+(W25*0.6)</f>
        <v/>
      </c>
      <c r="Q25" s="33">
        <f>PERCENTRANK(P$2:INDEX($P:$P,LOOKUP(2,1/(ISNUMBER($A$2:$A$1048576)),ROW($A$2:$A$1048576))),P25)</f>
        <v/>
      </c>
      <c r="R25" s="10">
        <f>sum(Y25-FE25)</f>
        <v/>
      </c>
      <c r="S25" s="33">
        <f>PERCENTRANK(R$2:INDEX($R:$R,LOOKUP(2,1/(ISNUMBER($A$2:$A$1048576)),ROW($A$2:$A$1048576))),R25)</f>
        <v/>
      </c>
      <c r="T25" s="34">
        <f>sum(R25-R$106)/R$107</f>
        <v/>
      </c>
      <c r="U25" s="35">
        <f>sum(Y25/AI25)*100</f>
        <v/>
      </c>
      <c r="V25" s="33">
        <f>PERCENTRANK(U$2:INDEX($U:$U,LOOKUP(2,1/(ISNUMBER($A$2:$A$1048576)),ROW($A$2:$A$1048576))),U25)</f>
        <v/>
      </c>
      <c r="W25" s="36">
        <f>sum(U25-U$106)/U$107</f>
        <v/>
      </c>
      <c r="X25" s="9" t="n">
        <v>1.5</v>
      </c>
      <c r="Y25" s="9" t="n">
        <v>1.55</v>
      </c>
      <c r="Z25" s="33">
        <f>PERCENTRANK(Y$2:INDEX($Y:$Y,LOOKUP(2,1/(ISNUMBER($A$2:$A$1048576)),ROW($A$2:$A$1048576))),Y25)</f>
        <v/>
      </c>
      <c r="AA25" s="37">
        <f>sum(Y25-Y$106)/Y$107</f>
        <v/>
      </c>
      <c r="AB25" s="9" t="n">
        <v>10.92</v>
      </c>
      <c r="AC25" s="33">
        <f>PERCENTRANK(AB$2:INDEX($AB:$AB,LOOKUP(2,1/(ISNUMBER($A$2:$A$1048576)),ROW($A$2:$A$1048576))),AB25)</f>
        <v/>
      </c>
      <c r="AD25" s="38">
        <f>sum(AB25-AB$106)/AB$107</f>
        <v/>
      </c>
      <c r="AE25" s="9" t="n">
        <v>4.36</v>
      </c>
      <c r="AF25" s="33">
        <f>PERCENTRANK(AE$2:INDEX($AE:$AE,LOOKUP(2,1/(ISNUMBER($A$2:$A$1048576)),ROW($A$2:$A$1048576))),AE25)</f>
        <v/>
      </c>
      <c r="AG25" s="38">
        <f>sum(AE25-AE$106)/AE$107</f>
        <v/>
      </c>
      <c r="AH25" s="9" t="n">
        <v>39.95</v>
      </c>
      <c r="AI25" s="9" t="n">
        <v>427.5</v>
      </c>
      <c r="AJ25" s="9" t="n">
        <v>340.56</v>
      </c>
      <c r="AK25" s="9" t="n">
        <v>79.66</v>
      </c>
      <c r="AL25" s="9" t="n">
        <v>50.52</v>
      </c>
      <c r="AM25" s="9" t="n">
        <v>117</v>
      </c>
      <c r="AN25" s="9" t="n">
        <v>17.31</v>
      </c>
      <c r="AO25" s="9" t="n">
        <v>45.89</v>
      </c>
      <c r="AP25" s="9" t="n">
        <v>53.81</v>
      </c>
      <c r="AQ25" s="9" t="n">
        <v>96.39</v>
      </c>
      <c r="AR25" s="9" t="n">
        <v>43.19</v>
      </c>
      <c r="AS25" s="9" t="n">
        <v>40.5</v>
      </c>
      <c r="AT25" s="33">
        <f>PERCENTRANK(AS$2:INDEX($AS:$AS,LOOKUP(2,1/(ISNUMBER($A$2:$A$1048576)),ROW($A$2:$A$1048576))),AS25)</f>
        <v/>
      </c>
      <c r="AU25" s="39">
        <f>SUM(AS25-AS$106)/AS$107</f>
        <v/>
      </c>
      <c r="AV25" s="9" t="n">
        <v>12.69</v>
      </c>
      <c r="AW25" s="33">
        <f>PERCENTRANK(AV$2:INDEX($AV:$AV,LOOKUP(2,1/(ISNUMBER($A$2:$A$1048576)),ROW($A$2:$A$1048576))),AV25)</f>
        <v/>
      </c>
      <c r="AX25" s="9" t="n">
        <v>210.06</v>
      </c>
      <c r="AY25" s="9" t="n">
        <v>102.86</v>
      </c>
      <c r="AZ25" s="9" t="n">
        <v>48.97</v>
      </c>
      <c r="BA25" s="9" t="n">
        <v>3.22</v>
      </c>
      <c r="BB25" s="9" t="n">
        <v>0.89</v>
      </c>
      <c r="BC25" s="9" t="n">
        <v>27.59</v>
      </c>
      <c r="BD25" s="9" t="n">
        <v>31.33</v>
      </c>
      <c r="BE25" s="9" t="n">
        <v>6.92</v>
      </c>
      <c r="BF25" s="33">
        <f>PERCENTRANK(BE$2:INDEX($BE:$BE,LOOKUP(2,1/(ISNUMBER($A$2:$A$1048576)),ROW($A$2:$A$1048576))),BE25)</f>
        <v/>
      </c>
      <c r="BG25" s="40">
        <f>sum(BE25-BE$106)/BE$107</f>
        <v/>
      </c>
      <c r="BH25" s="9" t="n">
        <v>22.07</v>
      </c>
      <c r="BI25" s="9" t="n">
        <v>1.67</v>
      </c>
      <c r="BJ25" s="9" t="n">
        <v>0.67</v>
      </c>
      <c r="BK25" s="9" t="n">
        <v>40</v>
      </c>
      <c r="BL25" s="9" t="n">
        <v>21.83</v>
      </c>
      <c r="BM25" s="9" t="n">
        <v>2.97</v>
      </c>
      <c r="BN25" s="9" t="n">
        <v>13.61</v>
      </c>
      <c r="BO25" s="9" t="n">
        <v>4.83</v>
      </c>
      <c r="BP25" s="9" t="n">
        <v>1.44</v>
      </c>
      <c r="BQ25" s="9" t="n">
        <v>29.89</v>
      </c>
      <c r="BR25" s="9" t="n">
        <v>1.92</v>
      </c>
      <c r="BS25" s="9" t="n">
        <v>0.44</v>
      </c>
      <c r="BT25" s="9" t="n">
        <v>23.19</v>
      </c>
      <c r="BU25" s="9" t="n">
        <v>0.03</v>
      </c>
      <c r="BV25" s="9" t="n">
        <v>0</v>
      </c>
      <c r="BW25" s="9" t="n">
        <v>0</v>
      </c>
      <c r="BX25" s="9" t="n">
        <v>15.67</v>
      </c>
      <c r="BY25" s="9" t="n">
        <v>5.36</v>
      </c>
      <c r="BZ25" s="9" t="n">
        <v>34.22</v>
      </c>
      <c r="CA25" s="9" t="n">
        <v>5.14</v>
      </c>
      <c r="CB25" s="9" t="n">
        <v>8.279999999999999</v>
      </c>
      <c r="CC25" s="33">
        <f>PERCENTRANK(CD$2:INDEX($CD:$CD,LOOKUP(2,1/(ISNUMBER($A$2:$A$1048576)),ROW($A$2:$A$1048576))),CD25)</f>
        <v/>
      </c>
      <c r="CD25" s="40">
        <f>sum(CB25-CB$106)/CB$107</f>
        <v/>
      </c>
      <c r="CE25" s="9" t="n">
        <v>28.19</v>
      </c>
      <c r="CF25" s="33">
        <f>PERCENTRANK(CE$2:INDEX($CE:$CE,LOOKUP(2,1/(ISNUMBER($A$2:$A$1048576)),ROW($A$2:$A$1048576))),CE25)</f>
        <v/>
      </c>
      <c r="CG25" s="38">
        <f>sum(CE25-CE$106)/CE$107</f>
        <v/>
      </c>
      <c r="CH25" s="9" t="n">
        <v>4.92</v>
      </c>
      <c r="CI25" s="9" t="n">
        <v>8.359999999999999</v>
      </c>
      <c r="CJ25" s="9" t="n">
        <v>20.47</v>
      </c>
      <c r="CK25" s="33">
        <f>PERCENTRANK(CJ$2:INDEX($CJ:$CJ,LOOKUP(2,1/(ISNUMBER($A$2:$A$1048576)),ROW($A$2:$A$1048576))),CJ25)</f>
        <v/>
      </c>
      <c r="CL25" s="38">
        <f>sum(CJ25-CJ$106)/CJ$107</f>
        <v/>
      </c>
      <c r="CM25" s="9" t="n">
        <v>59.19</v>
      </c>
      <c r="CN25" s="9" t="n">
        <v>22.94</v>
      </c>
      <c r="CO25" s="9" t="n">
        <v>38.76</v>
      </c>
      <c r="CP25" s="9" t="n">
        <v>2.86</v>
      </c>
      <c r="CQ25" s="9" t="n">
        <v>1.17</v>
      </c>
      <c r="CR25" s="9" t="n">
        <v>8.359999999999999</v>
      </c>
      <c r="CS25" s="33">
        <f>PERCENTRANK(CR$2:INDEX($CR:$CR,LOOKUP(2,1/(ISNUMBER($A$2:$A$1048576)),ROW($A$2:$A$1048576))),CR25)</f>
        <v/>
      </c>
      <c r="CT25" s="39">
        <f>1-(CR25-CR$106)/CR$107</f>
        <v/>
      </c>
      <c r="CU25" s="9" t="n">
        <v>3.28</v>
      </c>
      <c r="CV25" s="33">
        <f>PERCENTRANK(CU$2:INDEX($CU:$CU,LOOKUP(2,1/(ISNUMBER($A$2:$A$1048576)),ROW($A$2:$A$1048576))),CU25)</f>
        <v/>
      </c>
      <c r="CW25" s="39">
        <f>1-(CU25-CU$106)/CU$107</f>
        <v/>
      </c>
      <c r="CX25" s="9" t="n">
        <v>39.2</v>
      </c>
      <c r="CY25" s="9" t="n">
        <v>64.92</v>
      </c>
      <c r="CZ25" s="9" t="n">
        <v>40.44</v>
      </c>
      <c r="DA25" s="9" t="n">
        <v>62.3</v>
      </c>
      <c r="DB25" s="9" t="n">
        <v>47.06</v>
      </c>
      <c r="DC25" s="9" t="n">
        <v>23.75</v>
      </c>
      <c r="DD25" s="9" t="n">
        <v>50.47</v>
      </c>
      <c r="DE25" s="9" t="n">
        <v>3.81</v>
      </c>
      <c r="DF25" s="9" t="n">
        <v>1.81</v>
      </c>
      <c r="DG25" s="9" t="n">
        <v>47.45</v>
      </c>
      <c r="DH25" s="9" t="n">
        <v>43.78</v>
      </c>
      <c r="DI25" s="33">
        <f>PERCENTRANK(DH$2:INDEX($DH:$DH,LOOKUP(2,1/(ISNUMBER($A$2:$A$1048576)),ROW($A$2:$A$1048576))),DH25)</f>
        <v/>
      </c>
      <c r="DJ25" s="39">
        <f>SUM(DH25-DH$106)/DH$107</f>
        <v/>
      </c>
      <c r="DK25" s="9" t="n">
        <v>18</v>
      </c>
      <c r="DL25" s="9" t="n">
        <v>14.86</v>
      </c>
      <c r="DM25" s="9" t="n">
        <v>2.08</v>
      </c>
      <c r="DN25" s="9" t="n">
        <v>0.11</v>
      </c>
      <c r="DO25" s="9" t="n">
        <v>150.08</v>
      </c>
      <c r="DP25" s="9" t="n">
        <v>101.42</v>
      </c>
      <c r="DQ25" s="33">
        <f>PERCENTRANK(DP$2:INDEX($DP:$DP,LOOKUP(2,1/(ISNUMBER($A$2:$A$1048576)),ROW($A$2:$A$1048576))),DP25)</f>
        <v/>
      </c>
      <c r="DR25" s="40">
        <f>sum(DP25-DP$106)/DP$107</f>
        <v/>
      </c>
      <c r="DS25" s="9" t="n">
        <v>67.56999999999999</v>
      </c>
      <c r="DT25" s="9" t="n">
        <v>60.86</v>
      </c>
      <c r="DU25" s="9" t="n">
        <v>56.78</v>
      </c>
      <c r="DV25" s="9" t="n">
        <v>93.29000000000001</v>
      </c>
      <c r="DW25" s="9" t="n">
        <v>159.17</v>
      </c>
      <c r="DX25" s="9" t="n">
        <v>137.56</v>
      </c>
      <c r="DY25" s="9" t="n">
        <v>86.42</v>
      </c>
      <c r="DZ25" s="9" t="n">
        <v>56.72</v>
      </c>
      <c r="EA25" s="9" t="n">
        <v>29.28</v>
      </c>
      <c r="EB25" s="9" t="n">
        <v>51.62</v>
      </c>
      <c r="EC25" s="9" t="n">
        <v>59.06</v>
      </c>
      <c r="ED25" s="9" t="n">
        <v>37.44</v>
      </c>
      <c r="EE25" s="33">
        <f>PERCENTRANK(ED$2:INDEX($ED:$ED,LOOKUP(2,1/(ISNUMBER($A$2:$A$1048576)),ROW($A$2:$A$1048576))),ED25)</f>
        <v/>
      </c>
      <c r="EF25" s="40">
        <f>sum(ED25-ED$106)/ED$107</f>
        <v/>
      </c>
      <c r="EG25" s="9" t="n">
        <v>63.41</v>
      </c>
      <c r="EH25" s="9" t="n">
        <v>80.47</v>
      </c>
      <c r="EI25" s="9" t="n">
        <v>57.81</v>
      </c>
      <c r="EJ25" s="33">
        <f>PERCENTRANK(EI$2:INDEX($EI:$EI,LOOKUP(2,1/(ISNUMBER($A$2:$A$1048576)),ROW($A$2:$A$1048576))),EI25)</f>
        <v/>
      </c>
      <c r="EK25" s="40">
        <f>sum(EI25-EI$106)/EI$107</f>
        <v/>
      </c>
      <c r="EL25" s="9" t="n">
        <v>71.83</v>
      </c>
      <c r="EM25" s="9" t="n">
        <v>4.53</v>
      </c>
      <c r="EN25" s="9" t="n">
        <v>1.89</v>
      </c>
      <c r="EO25" s="9" t="n">
        <v>41.72</v>
      </c>
      <c r="EP25" s="9" t="n">
        <v>23.97</v>
      </c>
      <c r="EQ25" s="9" t="n">
        <v>20.36</v>
      </c>
      <c r="ER25" s="9" t="n">
        <v>84.94</v>
      </c>
      <c r="ES25" s="9" t="n">
        <v>6.94</v>
      </c>
      <c r="ET25" s="9" t="n">
        <v>16.59</v>
      </c>
      <c r="EU25" s="9" t="n">
        <v>3.82</v>
      </c>
      <c r="EV25" s="9" t="n">
        <v>13.56</v>
      </c>
      <c r="EW25" s="9" t="n">
        <v>16.24</v>
      </c>
      <c r="EX25" s="33">
        <f>PERCENTRANK(EW$2:INDEX($EW:$EW,LOOKUP(2,1/(ISNUMBER($A$2:$A$1048576)),ROW($A$2:$A$1048576))),EW25)</f>
        <v/>
      </c>
      <c r="EY25" s="38">
        <f>1-(EW25-EW$106)/EW$107</f>
        <v/>
      </c>
      <c r="EZ25" s="9" t="n">
        <v>20.59</v>
      </c>
      <c r="FA25" s="9" t="n">
        <v>10.13</v>
      </c>
      <c r="FB25" s="33">
        <f>PERCENTRANK(FA$2:INDEX($FA:$FA,LOOKUP(2,1/(ISNUMBER($A$2:$A$1048576)),ROW($A$2:$A$1048576))),FA25)</f>
        <v/>
      </c>
      <c r="FC25" s="39">
        <f>1-(FA25-FA$106)/FA$107</f>
        <v/>
      </c>
      <c r="FD25" s="9" t="n">
        <v>1.17</v>
      </c>
      <c r="FE25" s="9" t="n">
        <v>1.06</v>
      </c>
      <c r="FF25" s="33">
        <f>PERCENTRANK(FE$2:INDEX($FE:$FE,LOOKUP(2,1/(ISNUMBER($A$2:$A$1048576)),ROW($A$2:$A$1048576))),FE25)</f>
        <v/>
      </c>
      <c r="FG25" s="39">
        <f>1-(FE25-FE$106)/FE$107</f>
        <v/>
      </c>
      <c r="FH25" s="9" t="n">
        <v>8.359999999999999</v>
      </c>
      <c r="FI25" s="9" t="n">
        <v>3.14</v>
      </c>
      <c r="FJ25" s="9" t="n">
        <v>37.54</v>
      </c>
      <c r="FK25" s="9" t="n">
        <v>423.08</v>
      </c>
      <c r="FL25" s="33">
        <f>PERCENTRANK(FK$2:INDEX($FK:$FK,LOOKUP(2,1/(ISNUMBER($A$2:$A$1048576)),ROW($A$2:$A$1048576))),FK25)</f>
        <v/>
      </c>
      <c r="FM25" s="39">
        <f>SWA24-(FK25-FK$106)/FK$107</f>
        <v/>
      </c>
      <c r="FN25" s="9" t="n">
        <v>340.14</v>
      </c>
      <c r="FO25" s="9" t="n">
        <v>80.40000000000001</v>
      </c>
      <c r="FP25" s="9" t="n">
        <v>49.48</v>
      </c>
      <c r="FQ25" s="9" t="n">
        <v>125.53</v>
      </c>
      <c r="FR25" s="9" t="n">
        <v>20.94</v>
      </c>
      <c r="FS25" s="9" t="n">
        <v>48.28</v>
      </c>
      <c r="FT25" s="9" t="n">
        <v>56.31</v>
      </c>
      <c r="FU25" s="9" t="n">
        <v>92.25</v>
      </c>
      <c r="FV25" s="9" t="n">
        <v>40.31</v>
      </c>
      <c r="FW25" s="9" t="n">
        <v>40.92</v>
      </c>
      <c r="FX25" s="9" t="n">
        <v>11.03</v>
      </c>
      <c r="FY25" s="9" t="n">
        <v>210.06</v>
      </c>
      <c r="FZ25" s="9" t="n">
        <v>97.89</v>
      </c>
      <c r="GA25" s="9" t="n">
        <v>46.6</v>
      </c>
      <c r="GB25" s="9" t="n">
        <v>3.28</v>
      </c>
      <c r="GC25" s="9" t="n">
        <v>0.97</v>
      </c>
      <c r="GD25" s="9" t="n">
        <v>29.66</v>
      </c>
      <c r="GE25" s="9" t="n">
        <v>25.17</v>
      </c>
      <c r="GF25" s="9" t="n">
        <v>4.86</v>
      </c>
      <c r="GG25" s="9" t="n">
        <v>19.32</v>
      </c>
      <c r="GH25" s="9" t="n">
        <v>1.03</v>
      </c>
      <c r="GI25" s="9" t="n">
        <v>0.44</v>
      </c>
      <c r="GJ25" s="9" t="n">
        <v>43.24</v>
      </c>
      <c r="GK25" s="9" t="n">
        <v>29.44</v>
      </c>
      <c r="GL25" s="9" t="n">
        <v>2.39</v>
      </c>
      <c r="GM25" s="9" t="n">
        <v>8.109999999999999</v>
      </c>
      <c r="GN25" s="9" t="n">
        <v>4.14</v>
      </c>
      <c r="GO25" s="9" t="n">
        <v>0.75</v>
      </c>
      <c r="GP25" s="9" t="n">
        <v>18.12</v>
      </c>
      <c r="GQ25" s="9" t="n">
        <v>3.22</v>
      </c>
      <c r="GR25" s="9" t="n">
        <v>0.83</v>
      </c>
      <c r="GS25" s="9" t="n">
        <v>25.86</v>
      </c>
      <c r="GT25" s="9" t="n">
        <v>0.17</v>
      </c>
      <c r="GU25" s="9" t="n">
        <v>0.11</v>
      </c>
      <c r="GV25" s="9" t="n">
        <v>66.67</v>
      </c>
      <c r="GW25" s="9" t="n">
        <v>10.53</v>
      </c>
      <c r="GX25" s="9" t="n">
        <v>3</v>
      </c>
      <c r="GY25" s="9" t="n">
        <v>28.5</v>
      </c>
      <c r="GZ25" s="9" t="n">
        <v>3.03</v>
      </c>
      <c r="HA25" s="9" t="n">
        <v>5.03</v>
      </c>
      <c r="HB25" s="9" t="n">
        <v>19.44</v>
      </c>
      <c r="HC25" s="9" t="n">
        <v>2.61</v>
      </c>
      <c r="HD25" s="9" t="n">
        <v>6.67</v>
      </c>
      <c r="HE25" s="9" t="n">
        <v>11.56</v>
      </c>
      <c r="HF25" s="9" t="n">
        <v>64.92</v>
      </c>
      <c r="HG25" s="9" t="n">
        <v>24.47</v>
      </c>
      <c r="HH25" s="9" t="n">
        <v>37.7</v>
      </c>
      <c r="HI25" s="9" t="n">
        <v>1.28</v>
      </c>
      <c r="HJ25" s="9" t="n">
        <v>1.5</v>
      </c>
      <c r="HK25" s="9" t="n">
        <v>10.92</v>
      </c>
      <c r="HL25" s="9" t="n">
        <v>4.44</v>
      </c>
      <c r="HM25" s="9" t="n">
        <v>40.71</v>
      </c>
      <c r="HN25" s="9" t="n">
        <v>59.19</v>
      </c>
      <c r="HO25" s="9" t="n">
        <v>36.25</v>
      </c>
      <c r="HP25" s="9" t="n">
        <v>61.24</v>
      </c>
      <c r="HQ25" s="9" t="n">
        <v>47.06</v>
      </c>
      <c r="HR25" s="9" t="n">
        <v>20.83</v>
      </c>
      <c r="HS25" s="9" t="n">
        <v>44.27</v>
      </c>
      <c r="HT25" s="9" t="n">
        <v>3.22</v>
      </c>
      <c r="HU25" s="9" t="n">
        <v>1.5</v>
      </c>
      <c r="HV25" s="9" t="n">
        <v>46.55</v>
      </c>
      <c r="HW25" s="9" t="n">
        <v>44.03</v>
      </c>
      <c r="HX25" s="9" t="n">
        <v>17.44</v>
      </c>
      <c r="HY25" s="9" t="n">
        <v>11.31</v>
      </c>
      <c r="HZ25" s="9" t="n">
        <v>1.64</v>
      </c>
      <c r="IA25" s="9" t="n">
        <v>0.06</v>
      </c>
      <c r="IB25" s="9" t="n">
        <v>150.08</v>
      </c>
      <c r="IC25" s="9" t="n">
        <v>98.69</v>
      </c>
      <c r="ID25" s="9" t="n">
        <v>65.76000000000001</v>
      </c>
      <c r="IE25" s="9" t="n">
        <v>61.11</v>
      </c>
      <c r="IF25" s="9" t="n">
        <v>57.11</v>
      </c>
      <c r="IG25" s="9" t="n">
        <v>93.45</v>
      </c>
      <c r="IH25" s="9" t="n">
        <v>156.03</v>
      </c>
      <c r="II25" s="9" t="n">
        <v>139.64</v>
      </c>
      <c r="IJ25" s="9" t="n">
        <v>89.5</v>
      </c>
      <c r="IK25" s="9" t="n">
        <v>57.56</v>
      </c>
      <c r="IL25" s="9" t="n">
        <v>28.72</v>
      </c>
      <c r="IM25" s="9" t="n">
        <v>49.9</v>
      </c>
      <c r="IN25" s="9" t="n">
        <v>58</v>
      </c>
      <c r="IO25" s="9" t="n">
        <v>32.86</v>
      </c>
      <c r="IP25" s="9" t="n">
        <v>56.66</v>
      </c>
      <c r="IQ25" s="9" t="n">
        <v>72.11</v>
      </c>
      <c r="IR25" s="9" t="n">
        <v>48.42</v>
      </c>
      <c r="IS25" s="9" t="n">
        <v>67.14</v>
      </c>
      <c r="IT25" s="33">
        <f>PERCENTRANK(IS$2:INDEX($IS:$IS,LOOKUP(2,1/(ISNUMBER($A$2:$A$1048576)),ROW($A$2:$A$1048576))),IS25)</f>
        <v/>
      </c>
      <c r="IU25" s="39">
        <f>1-(IS25-IS$106)/IS$107</f>
        <v/>
      </c>
      <c r="IV25" s="9" t="n">
        <v>2.69</v>
      </c>
      <c r="IW25" s="9" t="n">
        <v>1.06</v>
      </c>
      <c r="IX25" s="9" t="n">
        <v>39.18</v>
      </c>
      <c r="IY25" s="9" t="n">
        <v>26.28</v>
      </c>
      <c r="IZ25" s="9" t="n">
        <v>22.89</v>
      </c>
      <c r="JA25" s="9" t="n">
        <v>87.09999999999999</v>
      </c>
      <c r="JB25" s="9" t="n">
        <v>9.19</v>
      </c>
      <c r="JC25" s="9" t="n">
        <v>16.59</v>
      </c>
      <c r="JD25" s="9" t="n">
        <v>3.64</v>
      </c>
      <c r="JE25" s="9" t="n">
        <v>14.4</v>
      </c>
      <c r="JF25" s="9" t="n">
        <v>18.59</v>
      </c>
      <c r="JG25" s="9" t="n">
        <v>20.83</v>
      </c>
      <c r="JH25" s="9" t="n">
        <v>11.95</v>
      </c>
    </row>
    <row r="26">
      <c r="A26" s="12" t="n">
        <v>2023</v>
      </c>
      <c r="B26" s="31" t="inlineStr">
        <is>
          <t>Las Vegas Lights</t>
        </is>
      </c>
      <c r="C26" s="12" t="n">
        <v>19</v>
      </c>
      <c r="D26" s="5">
        <f>(C26-AVERAGE($C$2:INDEX($C:$C,LOOKUP(2,1/(ISNUMBER($A$2:$A$1048576)),ROW($A$2:$A$1048576)))))/_xlfn.STDEV.P($C$2:INDEX($C:$C,LOOKUP(2,1/(ISNUMBER($A$2:$A$1048576)),ROW($A$2:$A$1048576))))</f>
        <v/>
      </c>
      <c r="E26" s="12" t="n">
        <v>12</v>
      </c>
      <c r="F26" s="6">
        <f>-E26</f>
        <v/>
      </c>
      <c r="G26" s="7">
        <f>(F26-AVERAGE($F$2:INDEX($F:$F,LOOKUP(2,1/(ISNUMBER($A$2:$A$1048576)),ROW($A$2:$A$1048576)))))/_xlfn.STDEV.P($F$2:INDEX($F:$F,LOOKUP(2,1/(ISNUMBER($A$2:$A$1048576)),ROW($A$2:$A$1048576))))</f>
        <v/>
      </c>
      <c r="H26" s="32">
        <f>sum(0.5*D26)+(0.5*G26)</f>
        <v/>
      </c>
      <c r="I26" s="12" t="inlineStr">
        <is>
          <t>West</t>
        </is>
      </c>
      <c r="J26" s="10">
        <f>sum(L26*L$105)+(N26*N$105)+(P26*P$105)+(T26*R$105)</f>
        <v/>
      </c>
      <c r="K26" s="33">
        <f>PERCENTRANK(J$2:INDEX($J:$J,LOOKUP(2,1/(ISNUMBER($A$2:$A$1048576)),ROW($A$2:$A$1048576))),J26)</f>
        <v/>
      </c>
      <c r="L26" s="10">
        <f>sum(AA26*0.66)+(AD26*0.55)+(AG26*0.59)+(CG26*0.51)+(CL26*0.6)+(EY26*0.31)</f>
        <v/>
      </c>
      <c r="M26" s="33">
        <f>PERCENTRANK(L$2:INDEX($L:$L,LOOKUP(2,1/(ISNUMBER($A$2:$A$1048576)),ROW($A$2:$A$1048576))),L26)</f>
        <v/>
      </c>
      <c r="N26" s="10">
        <f>sum(CT26*0.57)+(CW26*0.71)+(DJ26*0.08)+(FC26*0.33)+(FG26*0.69)+(FM26*0.26)+(IU26*0.54)+(AU26*0.4)</f>
        <v/>
      </c>
      <c r="O26" s="33">
        <f>PERCENTRANK(N$2:INDEX($N:$N,LOOKUP(2,1/(ISNUMBER($A$2:$A$1048576)),ROW($A$2:$A$1048576))),N26)</f>
        <v/>
      </c>
      <c r="P26" s="10">
        <f>sum(BG26*0.51)+(CD26*0.51)+(DR26*0.11)+(EF26*0.42)+(EK26*0.44)+(W26*0.6)</f>
        <v/>
      </c>
      <c r="Q26" s="33">
        <f>PERCENTRANK(P$2:INDEX($P:$P,LOOKUP(2,1/(ISNUMBER($A$2:$A$1048576)),ROW($A$2:$A$1048576))),P26)</f>
        <v/>
      </c>
      <c r="R26" s="10">
        <f>sum(Y26-FE26)</f>
        <v/>
      </c>
      <c r="S26" s="33">
        <f>PERCENTRANK(R$2:INDEX($R:$R,LOOKUP(2,1/(ISNUMBER($A$2:$A$1048576)),ROW($A$2:$A$1048576))),R26)</f>
        <v/>
      </c>
      <c r="T26" s="34">
        <f>sum(R26-R$106)/R$107</f>
        <v/>
      </c>
      <c r="U26" s="35">
        <f>sum(Y26/AI26)*100</f>
        <v/>
      </c>
      <c r="V26" s="33">
        <f>PERCENTRANK(U$2:INDEX($U:$U,LOOKUP(2,1/(ISNUMBER($A$2:$A$1048576)),ROW($A$2:$A$1048576))),U26)</f>
        <v/>
      </c>
      <c r="W26" s="36">
        <f>sum(U26-U$106)/U$107</f>
        <v/>
      </c>
      <c r="X26" s="9" t="n">
        <v>1.06</v>
      </c>
      <c r="Y26" s="9" t="n">
        <v>1.29</v>
      </c>
      <c r="Z26" s="33">
        <f>PERCENTRANK(Y$2:INDEX($Y:$Y,LOOKUP(2,1/(ISNUMBER($A$2:$A$1048576)),ROW($A$2:$A$1048576))),Y26)</f>
        <v/>
      </c>
      <c r="AA26" s="37">
        <f>sum(Y26-Y$106)/Y$107</f>
        <v/>
      </c>
      <c r="AB26" s="9" t="n">
        <v>12.7</v>
      </c>
      <c r="AC26" s="33">
        <f>PERCENTRANK(AB$2:INDEX($AB:$AB,LOOKUP(2,1/(ISNUMBER($A$2:$A$1048576)),ROW($A$2:$A$1048576))),AB26)</f>
        <v/>
      </c>
      <c r="AD26" s="38">
        <f>sum(AB26-AB$106)/AB$107</f>
        <v/>
      </c>
      <c r="AE26" s="9" t="n">
        <v>4.27</v>
      </c>
      <c r="AF26" s="33">
        <f>PERCENTRANK(AE$2:INDEX($AE:$AE,LOOKUP(2,1/(ISNUMBER($A$2:$A$1048576)),ROW($A$2:$A$1048576))),AE26)</f>
        <v/>
      </c>
      <c r="AG26" s="38">
        <f>sum(AE26-AE$106)/AE$107</f>
        <v/>
      </c>
      <c r="AH26" s="9" t="n">
        <v>33.65</v>
      </c>
      <c r="AI26" s="9" t="n">
        <v>340</v>
      </c>
      <c r="AJ26" s="9" t="n">
        <v>266.06</v>
      </c>
      <c r="AK26" s="9" t="n">
        <v>78.25</v>
      </c>
      <c r="AL26" s="9" t="n">
        <v>47.21</v>
      </c>
      <c r="AM26" s="9" t="n">
        <v>109.27</v>
      </c>
      <c r="AN26" s="9" t="n">
        <v>18.03</v>
      </c>
      <c r="AO26" s="9" t="n">
        <v>37.91</v>
      </c>
      <c r="AP26" s="9" t="n">
        <v>53.33</v>
      </c>
      <c r="AQ26" s="9" t="n">
        <v>84.33</v>
      </c>
      <c r="AR26" s="9" t="n">
        <v>36.33</v>
      </c>
      <c r="AS26" s="9" t="n">
        <v>35.36</v>
      </c>
      <c r="AT26" s="33">
        <f>PERCENTRANK(AS$2:INDEX($AS:$AS,LOOKUP(2,1/(ISNUMBER($A$2:$A$1048576)),ROW($A$2:$A$1048576))),AS26)</f>
        <v/>
      </c>
      <c r="AU26" s="39">
        <f>SUM(AS26-AS$106)/AS$107</f>
        <v/>
      </c>
      <c r="AV26" s="9" t="n">
        <v>12.64</v>
      </c>
      <c r="AW26" s="33">
        <f>PERCENTRANK(AV$2:INDEX($AV:$AV,LOOKUP(2,1/(ISNUMBER($A$2:$A$1048576)),ROW($A$2:$A$1048576))),AV26)</f>
        <v/>
      </c>
      <c r="AX26" s="9" t="n">
        <v>209.21</v>
      </c>
      <c r="AY26" s="9" t="n">
        <v>101.88</v>
      </c>
      <c r="AZ26" s="9" t="n">
        <v>48.7</v>
      </c>
      <c r="BA26" s="9" t="n">
        <v>6.58</v>
      </c>
      <c r="BB26" s="9" t="n">
        <v>1.88</v>
      </c>
      <c r="BC26" s="9" t="n">
        <v>28.57</v>
      </c>
      <c r="BD26" s="9" t="n">
        <v>28.52</v>
      </c>
      <c r="BE26" s="9" t="n">
        <v>7.85</v>
      </c>
      <c r="BF26" s="33">
        <f>PERCENTRANK(BE$2:INDEX($BE:$BE,LOOKUP(2,1/(ISNUMBER($A$2:$A$1048576)),ROW($A$2:$A$1048576))),BE26)</f>
        <v/>
      </c>
      <c r="BG26" s="40">
        <f>sum(BE26-BE$106)/BE$107</f>
        <v/>
      </c>
      <c r="BH26" s="9" t="n">
        <v>27.52</v>
      </c>
      <c r="BI26" s="9" t="n">
        <v>1.58</v>
      </c>
      <c r="BJ26" s="9" t="n">
        <v>0.61</v>
      </c>
      <c r="BK26" s="9" t="n">
        <v>38.46</v>
      </c>
      <c r="BL26" s="9" t="n">
        <v>23.94</v>
      </c>
      <c r="BM26" s="9" t="n">
        <v>3.48</v>
      </c>
      <c r="BN26" s="9" t="n">
        <v>14.56</v>
      </c>
      <c r="BO26" s="9" t="n">
        <v>4.94</v>
      </c>
      <c r="BP26" s="9" t="n">
        <v>1.82</v>
      </c>
      <c r="BQ26" s="9" t="n">
        <v>36.81</v>
      </c>
      <c r="BR26" s="9" t="n">
        <v>3</v>
      </c>
      <c r="BS26" s="9" t="n">
        <v>0.61</v>
      </c>
      <c r="BT26" s="9" t="n">
        <v>20.2</v>
      </c>
      <c r="BU26" s="9" t="n">
        <v>0.12</v>
      </c>
      <c r="BV26" s="9" t="n">
        <v>0.06</v>
      </c>
      <c r="BW26" s="9" t="n">
        <v>50</v>
      </c>
      <c r="BX26" s="9" t="n">
        <v>15.52</v>
      </c>
      <c r="BY26" s="9" t="n">
        <v>5</v>
      </c>
      <c r="BZ26" s="9" t="n">
        <v>32.23</v>
      </c>
      <c r="CA26" s="9" t="n">
        <v>5.21</v>
      </c>
      <c r="CB26" s="9" t="n">
        <v>4.45</v>
      </c>
      <c r="CC26" s="33">
        <f>PERCENTRANK(CD$2:INDEX($CD:$CD,LOOKUP(2,1/(ISNUMBER($A$2:$A$1048576)),ROW($A$2:$A$1048576))),CD26)</f>
        <v/>
      </c>
      <c r="CD26" s="40">
        <f>sum(CB26-CB$106)/CB$107</f>
        <v/>
      </c>
      <c r="CE26" s="9" t="n">
        <v>22.85</v>
      </c>
      <c r="CF26" s="33">
        <f>PERCENTRANK(CE$2:INDEX($CE:$CE,LOOKUP(2,1/(ISNUMBER($A$2:$A$1048576)),ROW($A$2:$A$1048576))),CE26)</f>
        <v/>
      </c>
      <c r="CG26" s="38">
        <f>sum(CE26-CE$106)/CE$107</f>
        <v/>
      </c>
      <c r="CH26" s="9" t="n">
        <v>3.52</v>
      </c>
      <c r="CI26" s="9" t="n">
        <v>9.42</v>
      </c>
      <c r="CJ26" s="9" t="n">
        <v>14.82</v>
      </c>
      <c r="CK26" s="33">
        <f>PERCENTRANK(CJ$2:INDEX($CJ:$CJ,LOOKUP(2,1/(ISNUMBER($A$2:$A$1048576)),ROW($A$2:$A$1048576))),CJ26)</f>
        <v/>
      </c>
      <c r="CL26" s="38">
        <f>sum(CJ26-CJ$106)/CJ$107</f>
        <v/>
      </c>
      <c r="CM26" s="9" t="n">
        <v>59.39</v>
      </c>
      <c r="CN26" s="9" t="n">
        <v>24.88</v>
      </c>
      <c r="CO26" s="9" t="n">
        <v>41.89</v>
      </c>
      <c r="CP26" s="9" t="n">
        <v>2.06</v>
      </c>
      <c r="CQ26" s="9" t="n">
        <v>1.94</v>
      </c>
      <c r="CR26" s="9" t="n">
        <v>11.91</v>
      </c>
      <c r="CS26" s="33">
        <f>PERCENTRANK(CR$2:INDEX($CR:$CR,LOOKUP(2,1/(ISNUMBER($A$2:$A$1048576)),ROW($A$2:$A$1048576))),CR26)</f>
        <v/>
      </c>
      <c r="CT26" s="39">
        <f>1-(CR26-CR$106)/CR$107</f>
        <v/>
      </c>
      <c r="CU26" s="9" t="n">
        <v>4.7</v>
      </c>
      <c r="CV26" s="33">
        <f>PERCENTRANK(CU$2:INDEX($CU:$CU,LOOKUP(2,1/(ISNUMBER($A$2:$A$1048576)),ROW($A$2:$A$1048576))),CU26)</f>
        <v/>
      </c>
      <c r="CW26" s="39">
        <f>1-(CU26-CU$106)/CU$107</f>
        <v/>
      </c>
      <c r="CX26" s="9" t="n">
        <v>39.44</v>
      </c>
      <c r="CY26" s="9" t="n">
        <v>72.84999999999999</v>
      </c>
      <c r="CZ26" s="9" t="n">
        <v>44.03</v>
      </c>
      <c r="DA26" s="9" t="n">
        <v>60.44</v>
      </c>
      <c r="DB26" s="9" t="n">
        <v>42.58</v>
      </c>
      <c r="DC26" s="9" t="n">
        <v>18.7</v>
      </c>
      <c r="DD26" s="9" t="n">
        <v>43.91</v>
      </c>
      <c r="DE26" s="9" t="n">
        <v>3.64</v>
      </c>
      <c r="DF26" s="9" t="n">
        <v>1.48</v>
      </c>
      <c r="DG26" s="9" t="n">
        <v>40.83</v>
      </c>
      <c r="DH26" s="9" t="n">
        <v>40.82</v>
      </c>
      <c r="DI26" s="33">
        <f>PERCENTRANK(DH$2:INDEX($DH:$DH,LOOKUP(2,1/(ISNUMBER($A$2:$A$1048576)),ROW($A$2:$A$1048576))),DH26)</f>
        <v/>
      </c>
      <c r="DJ26" s="39">
        <f>SUM(DH26-DH$106)/DH$107</f>
        <v/>
      </c>
      <c r="DK26" s="9" t="n">
        <v>16.15</v>
      </c>
      <c r="DL26" s="9" t="n">
        <v>13.85</v>
      </c>
      <c r="DM26" s="9" t="n">
        <v>2.36</v>
      </c>
      <c r="DN26" s="9" t="n">
        <v>0.03</v>
      </c>
      <c r="DO26" s="9" t="n">
        <v>123.97</v>
      </c>
      <c r="DP26" s="9" t="n">
        <v>83.61</v>
      </c>
      <c r="DQ26" s="33">
        <f>PERCENTRANK(DP$2:INDEX($DP:$DP,LOOKUP(2,1/(ISNUMBER($A$2:$A$1048576)),ROW($A$2:$A$1048576))),DP26)</f>
        <v/>
      </c>
      <c r="DR26" s="40">
        <f>sum(DP26-DP$106)/DP$107</f>
        <v/>
      </c>
      <c r="DS26" s="9" t="n">
        <v>67.44</v>
      </c>
      <c r="DT26" s="9" t="n">
        <v>47.94</v>
      </c>
      <c r="DU26" s="9" t="n">
        <v>44.55</v>
      </c>
      <c r="DV26" s="9" t="n">
        <v>92.92</v>
      </c>
      <c r="DW26" s="9" t="n">
        <v>126.3</v>
      </c>
      <c r="DX26" s="9" t="n">
        <v>106.52</v>
      </c>
      <c r="DY26" s="9" t="n">
        <v>84.33</v>
      </c>
      <c r="DZ26" s="9" t="n">
        <v>52.45</v>
      </c>
      <c r="EA26" s="9" t="n">
        <v>27.73</v>
      </c>
      <c r="EB26" s="9" t="n">
        <v>52.86</v>
      </c>
      <c r="EC26" s="9" t="n">
        <v>49.82</v>
      </c>
      <c r="ED26" s="9" t="n">
        <v>30</v>
      </c>
      <c r="EE26" s="33">
        <f>PERCENTRANK(ED$2:INDEX($ED:$ED,LOOKUP(2,1/(ISNUMBER($A$2:$A$1048576)),ROW($A$2:$A$1048576))),ED26)</f>
        <v/>
      </c>
      <c r="EF26" s="40">
        <f>sum(ED26-ED$106)/ED$107</f>
        <v/>
      </c>
      <c r="EG26" s="9" t="n">
        <v>60.22</v>
      </c>
      <c r="EH26" s="9" t="n">
        <v>69.48</v>
      </c>
      <c r="EI26" s="9" t="n">
        <v>49.09</v>
      </c>
      <c r="EJ26" s="33">
        <f>PERCENTRANK(EI$2:INDEX($EI:$EI,LOOKUP(2,1/(ISNUMBER($A$2:$A$1048576)),ROW($A$2:$A$1048576))),EI26)</f>
        <v/>
      </c>
      <c r="EK26" s="40">
        <f>sum(EI26-EI$106)/EI$107</f>
        <v/>
      </c>
      <c r="EL26" s="9" t="n">
        <v>70.65000000000001</v>
      </c>
      <c r="EM26" s="9" t="n">
        <v>2.39</v>
      </c>
      <c r="EN26" s="9" t="n">
        <v>0.79</v>
      </c>
      <c r="EO26" s="9" t="n">
        <v>32.91</v>
      </c>
      <c r="EP26" s="9" t="n">
        <v>24.36</v>
      </c>
      <c r="EQ26" s="9" t="n">
        <v>19.39</v>
      </c>
      <c r="ER26" s="9" t="n">
        <v>79.59999999999999</v>
      </c>
      <c r="ES26" s="9" t="n">
        <v>8.210000000000001</v>
      </c>
      <c r="ET26" s="9" t="n">
        <v>15.02</v>
      </c>
      <c r="EU26" s="9" t="n">
        <v>3.14</v>
      </c>
      <c r="EV26" s="9" t="n">
        <v>16.37</v>
      </c>
      <c r="EW26" s="9" t="n">
        <v>20.94</v>
      </c>
      <c r="EX26" s="33">
        <f>PERCENTRANK(EW$2:INDEX($EW:$EW,LOOKUP(2,1/(ISNUMBER($A$2:$A$1048576)),ROW($A$2:$A$1048576))),EW26)</f>
        <v/>
      </c>
      <c r="EY26" s="38">
        <f>1-(EW26-EW$106)/EW$107</f>
        <v/>
      </c>
      <c r="EZ26" s="9" t="n">
        <v>22.2</v>
      </c>
      <c r="FA26" s="9" t="n">
        <v>10.19</v>
      </c>
      <c r="FB26" s="33">
        <f>PERCENTRANK(FA$2:INDEX($FA:$FA,LOOKUP(2,1/(ISNUMBER($A$2:$A$1048576)),ROW($A$2:$A$1048576))),FA26)</f>
        <v/>
      </c>
      <c r="FC26" s="39">
        <f>1-(FA26-FA$106)/FA$107</f>
        <v/>
      </c>
      <c r="FD26" s="9" t="n">
        <v>1.94</v>
      </c>
      <c r="FE26" s="9" t="n">
        <v>1.64</v>
      </c>
      <c r="FF26" s="33">
        <f>PERCENTRANK(FE$2:INDEX($FE:$FE,LOOKUP(2,1/(ISNUMBER($A$2:$A$1048576)),ROW($A$2:$A$1048576))),FE26)</f>
        <v/>
      </c>
      <c r="FG26" s="39">
        <f>1-(FE26-FE$106)/FE$107</f>
        <v/>
      </c>
      <c r="FH26" s="9" t="n">
        <v>11.91</v>
      </c>
      <c r="FI26" s="9" t="n">
        <v>4.58</v>
      </c>
      <c r="FJ26" s="9" t="n">
        <v>38.42</v>
      </c>
      <c r="FK26" s="9" t="n">
        <v>398.33</v>
      </c>
      <c r="FL26" s="33">
        <f>PERCENTRANK(FK$2:INDEX($FK:$FK,LOOKUP(2,1/(ISNUMBER($A$2:$A$1048576)),ROW($A$2:$A$1048576))),FK26)</f>
        <v/>
      </c>
      <c r="FM26" s="39">
        <f>SWA25-(FK26-FK$106)/FK$107</f>
        <v/>
      </c>
      <c r="FN26" s="9" t="n">
        <v>325.24</v>
      </c>
      <c r="FO26" s="9" t="n">
        <v>81.65000000000001</v>
      </c>
      <c r="FP26" s="9" t="n">
        <v>52.79</v>
      </c>
      <c r="FQ26" s="9" t="n">
        <v>111.06</v>
      </c>
      <c r="FR26" s="9" t="n">
        <v>21.7</v>
      </c>
      <c r="FS26" s="9" t="n">
        <v>40.06</v>
      </c>
      <c r="FT26" s="9" t="n">
        <v>49.3</v>
      </c>
      <c r="FU26" s="9" t="n">
        <v>82.88</v>
      </c>
      <c r="FV26" s="9" t="n">
        <v>39.76</v>
      </c>
      <c r="FW26" s="9" t="n">
        <v>32.33</v>
      </c>
      <c r="FX26" s="9" t="n">
        <v>10.79</v>
      </c>
      <c r="FY26" s="9" t="n">
        <v>209.21</v>
      </c>
      <c r="FZ26" s="9" t="n">
        <v>97.81999999999999</v>
      </c>
      <c r="GA26" s="9" t="n">
        <v>46.76</v>
      </c>
      <c r="GB26" s="9" t="n">
        <v>4.24</v>
      </c>
      <c r="GC26" s="9" t="n">
        <v>1</v>
      </c>
      <c r="GD26" s="9" t="n">
        <v>23.57</v>
      </c>
      <c r="GE26" s="9" t="n">
        <v>27.03</v>
      </c>
      <c r="GF26" s="9" t="n">
        <v>7.03</v>
      </c>
      <c r="GG26" s="9" t="n">
        <v>26.01</v>
      </c>
      <c r="GH26" s="9" t="n">
        <v>1.24</v>
      </c>
      <c r="GI26" s="9" t="n">
        <v>0.58</v>
      </c>
      <c r="GJ26" s="9" t="n">
        <v>46.34</v>
      </c>
      <c r="GK26" s="9" t="n">
        <v>29.27</v>
      </c>
      <c r="GL26" s="9" t="n">
        <v>3.48</v>
      </c>
      <c r="GM26" s="9" t="n">
        <v>11.9</v>
      </c>
      <c r="GN26" s="9" t="n">
        <v>5</v>
      </c>
      <c r="GO26" s="9" t="n">
        <v>1.61</v>
      </c>
      <c r="GP26" s="9" t="n">
        <v>32.12</v>
      </c>
      <c r="GQ26" s="9" t="n">
        <v>3.03</v>
      </c>
      <c r="GR26" s="9" t="n">
        <v>0.61</v>
      </c>
      <c r="GS26" s="9" t="n">
        <v>20</v>
      </c>
      <c r="GT26" s="9" t="n">
        <v>0.27</v>
      </c>
      <c r="GU26" s="9" t="n">
        <v>0.15</v>
      </c>
      <c r="GV26" s="9" t="n">
        <v>55.56</v>
      </c>
      <c r="GW26" s="9" t="n">
        <v>12.09</v>
      </c>
      <c r="GX26" s="9" t="n">
        <v>3.97</v>
      </c>
      <c r="GY26" s="9" t="n">
        <v>32.83</v>
      </c>
      <c r="GZ26" s="9" t="n">
        <v>3.82</v>
      </c>
      <c r="HA26" s="9" t="n">
        <v>6.94</v>
      </c>
      <c r="HB26" s="9" t="n">
        <v>22.24</v>
      </c>
      <c r="HC26" s="9" t="n">
        <v>3.45</v>
      </c>
      <c r="HD26" s="9" t="n">
        <v>7.12</v>
      </c>
      <c r="HE26" s="9" t="n">
        <v>17.27</v>
      </c>
      <c r="HF26" s="9" t="n">
        <v>72.84999999999999</v>
      </c>
      <c r="HG26" s="9" t="n">
        <v>28.82</v>
      </c>
      <c r="HH26" s="9" t="n">
        <v>39.56</v>
      </c>
      <c r="HI26" s="9" t="n">
        <v>1.82</v>
      </c>
      <c r="HJ26" s="9" t="n">
        <v>1.06</v>
      </c>
      <c r="HK26" s="9" t="n">
        <v>12.7</v>
      </c>
      <c r="HL26" s="9" t="n">
        <v>4.45</v>
      </c>
      <c r="HM26" s="9" t="n">
        <v>35.08</v>
      </c>
      <c r="HN26" s="9" t="n">
        <v>59.39</v>
      </c>
      <c r="HO26" s="9" t="n">
        <v>34.52</v>
      </c>
      <c r="HP26" s="9" t="n">
        <v>58.11</v>
      </c>
      <c r="HQ26" s="9" t="n">
        <v>42.58</v>
      </c>
      <c r="HR26" s="9" t="n">
        <v>20.21</v>
      </c>
      <c r="HS26" s="9" t="n">
        <v>47.47</v>
      </c>
      <c r="HT26" s="9" t="n">
        <v>3.64</v>
      </c>
      <c r="HU26" s="9" t="n">
        <v>1.7</v>
      </c>
      <c r="HV26" s="9" t="n">
        <v>46.67</v>
      </c>
      <c r="HW26" s="9" t="n">
        <v>42.33</v>
      </c>
      <c r="HX26" s="9" t="n">
        <v>18.73</v>
      </c>
      <c r="HY26" s="9" t="n">
        <v>11.36</v>
      </c>
      <c r="HZ26" s="9" t="n">
        <v>2.03</v>
      </c>
      <c r="IA26" s="9" t="n">
        <v>0.03</v>
      </c>
      <c r="IB26" s="9" t="n">
        <v>142</v>
      </c>
      <c r="IC26" s="9" t="n">
        <v>100.97</v>
      </c>
      <c r="ID26" s="9" t="n">
        <v>71.11</v>
      </c>
      <c r="IE26" s="9" t="n">
        <v>59.06</v>
      </c>
      <c r="IF26" s="9" t="n">
        <v>55.09</v>
      </c>
      <c r="IG26" s="9" t="n">
        <v>93.28</v>
      </c>
      <c r="IH26" s="9" t="n">
        <v>141.82</v>
      </c>
      <c r="II26" s="9" t="n">
        <v>124.21</v>
      </c>
      <c r="IJ26" s="9" t="n">
        <v>87.59</v>
      </c>
      <c r="IK26" s="9" t="n">
        <v>47.09</v>
      </c>
      <c r="IL26" s="9" t="n">
        <v>24.94</v>
      </c>
      <c r="IM26" s="9" t="n">
        <v>52.96</v>
      </c>
      <c r="IN26" s="9" t="n">
        <v>51.52</v>
      </c>
      <c r="IO26" s="9" t="n">
        <v>33.12</v>
      </c>
      <c r="IP26" s="9" t="n">
        <v>64.29000000000001</v>
      </c>
      <c r="IQ26" s="9" t="n">
        <v>72.67</v>
      </c>
      <c r="IR26" s="9" t="n">
        <v>51.39</v>
      </c>
      <c r="IS26" s="9" t="n">
        <v>70.73</v>
      </c>
      <c r="IT26" s="33">
        <f>PERCENTRANK(IS$2:INDEX($IS:$IS,LOOKUP(2,1/(ISNUMBER($A$2:$A$1048576)),ROW($A$2:$A$1048576))),IS26)</f>
        <v/>
      </c>
      <c r="IU26" s="39">
        <f>1-(IS26-IS$106)/IS$107</f>
        <v/>
      </c>
      <c r="IV26" s="9" t="n">
        <v>3.18</v>
      </c>
      <c r="IW26" s="9" t="n">
        <v>0.91</v>
      </c>
      <c r="IX26" s="9" t="n">
        <v>28.57</v>
      </c>
      <c r="IY26" s="9" t="n">
        <v>23.36</v>
      </c>
      <c r="IZ26" s="9" t="n">
        <v>20.42</v>
      </c>
      <c r="JA26" s="9" t="n">
        <v>87.42</v>
      </c>
      <c r="JB26" s="9" t="n">
        <v>10.03</v>
      </c>
      <c r="JC26" s="9" t="n">
        <v>15.88</v>
      </c>
      <c r="JD26" s="9" t="n">
        <v>3.58</v>
      </c>
      <c r="JE26" s="9" t="n">
        <v>12.5</v>
      </c>
      <c r="JF26" s="9" t="n">
        <v>17.6</v>
      </c>
      <c r="JG26" s="9" t="n">
        <v>20.21</v>
      </c>
      <c r="JH26" s="9" t="n">
        <v>11.38</v>
      </c>
    </row>
    <row r="27">
      <c r="A27" s="12" t="n">
        <v>2022</v>
      </c>
      <c r="B27" s="31" t="inlineStr">
        <is>
          <t>Oakland Roots</t>
        </is>
      </c>
      <c r="C27" s="12" t="n">
        <v>46</v>
      </c>
      <c r="D27" s="5">
        <f>(C27-AVERAGE($C$2:INDEX($C:$C,LOOKUP(2,1/(ISNUMBER($A$2:$A$1048576)),ROW($A$2:$A$1048576)))))/_xlfn.STDEV.P($C$2:INDEX($C:$C,LOOKUP(2,1/(ISNUMBER($A$2:$A$1048576)),ROW($A$2:$A$1048576))))</f>
        <v/>
      </c>
      <c r="E27" s="12" t="n">
        <v>7</v>
      </c>
      <c r="F27" s="6">
        <f>-E27</f>
        <v/>
      </c>
      <c r="G27" s="7">
        <f>(F27-AVERAGE($F$2:INDEX($F:$F,LOOKUP(2,1/(ISNUMBER($A$2:$A$1048576)),ROW($A$2:$A$1048576)))))/_xlfn.STDEV.P($F$2:INDEX($F:$F,LOOKUP(2,1/(ISNUMBER($A$2:$A$1048576)),ROW($A$2:$A$1048576))))</f>
        <v/>
      </c>
      <c r="H27" s="32">
        <f>sum(0.5*D27)+(0.5*G27)</f>
        <v/>
      </c>
      <c r="I27" s="12" t="inlineStr">
        <is>
          <t>West</t>
        </is>
      </c>
      <c r="J27" s="10">
        <f>sum(L27*L$105)+(N27*N$105)+(P27*P$105)+(T27*R$105)</f>
        <v/>
      </c>
      <c r="K27" s="33">
        <f>PERCENTRANK(J$2:INDEX($J:$J,LOOKUP(2,1/(ISNUMBER($A$2:$A$1048576)),ROW($A$2:$A$1048576))),J27)</f>
        <v/>
      </c>
      <c r="L27" s="10">
        <f>sum(AA27*0.66)+(AD27*0.55)+(AG27*0.59)+(CG27*0.51)+(CL27*0.6)+(EY27*0.31)</f>
        <v/>
      </c>
      <c r="M27" s="33">
        <f>PERCENTRANK(L$2:INDEX($L:$L,LOOKUP(2,1/(ISNUMBER($A$2:$A$1048576)),ROW($A$2:$A$1048576))),L27)</f>
        <v/>
      </c>
      <c r="N27" s="10">
        <f>sum(CT27*0.57)+(CW27*0.71)+(DJ27*0.08)+(FC27*0.33)+(FG27*0.69)+(FM27*0.26)+(IU27*0.54)+(AU27*0.4)</f>
        <v/>
      </c>
      <c r="O27" s="33">
        <f>PERCENTRANK(N$2:INDEX($N:$N,LOOKUP(2,1/(ISNUMBER($A$2:$A$1048576)),ROW($A$2:$A$1048576))),N27)</f>
        <v/>
      </c>
      <c r="P27" s="10">
        <f>sum(BG27*0.51)+(CD27*0.51)+(DR27*0.11)+(EF27*0.42)+(EK27*0.44)+(W27*0.6)</f>
        <v/>
      </c>
      <c r="Q27" s="33">
        <f>PERCENTRANK(P$2:INDEX($P:$P,LOOKUP(2,1/(ISNUMBER($A$2:$A$1048576)),ROW($A$2:$A$1048576))),P27)</f>
        <v/>
      </c>
      <c r="R27" s="10">
        <f>sum(Y27-FE27)</f>
        <v/>
      </c>
      <c r="S27" s="33">
        <f>PERCENTRANK(R$2:INDEX($R:$R,LOOKUP(2,1/(ISNUMBER($A$2:$A$1048576)),ROW($A$2:$A$1048576))),R27)</f>
        <v/>
      </c>
      <c r="T27" s="34">
        <f>sum(R27-R$106)/R$107</f>
        <v/>
      </c>
      <c r="U27" s="35">
        <f>sum(Y27/AI27)*100</f>
        <v/>
      </c>
      <c r="V27" s="33">
        <f>PERCENTRANK(U$2:INDEX($U:$U,LOOKUP(2,1/(ISNUMBER($A$2:$A$1048576)),ROW($A$2:$A$1048576))),U27)</f>
        <v/>
      </c>
      <c r="W27" s="36">
        <f>sum(U27-U$106)/U$107</f>
        <v/>
      </c>
      <c r="X27" s="9" t="n">
        <v>1.5</v>
      </c>
      <c r="Y27" s="9" t="n">
        <v>1.5</v>
      </c>
      <c r="Z27" s="33">
        <f>PERCENTRANK(Y$2:INDEX($Y:$Y,LOOKUP(2,1/(ISNUMBER($A$2:$A$1048576)),ROW($A$2:$A$1048576))),Y27)</f>
        <v/>
      </c>
      <c r="AA27" s="37">
        <f>sum(Y27-Y$106)/Y$107</f>
        <v/>
      </c>
      <c r="AB27" s="9" t="n">
        <v>10.89</v>
      </c>
      <c r="AC27" s="33">
        <f>PERCENTRANK(AB$2:INDEX($AB:$AB,LOOKUP(2,1/(ISNUMBER($A$2:$A$1048576)),ROW($A$2:$A$1048576))),AB27)</f>
        <v/>
      </c>
      <c r="AD27" s="38">
        <f>sum(AB27-AB$106)/AB$107</f>
        <v/>
      </c>
      <c r="AE27" s="9" t="n">
        <v>4.42</v>
      </c>
      <c r="AF27" s="33">
        <f>PERCENTRANK(AE$2:INDEX($AE:$AE,LOOKUP(2,1/(ISNUMBER($A$2:$A$1048576)),ROW($A$2:$A$1048576))),AE27)</f>
        <v/>
      </c>
      <c r="AG27" s="38">
        <f>sum(AE27-AE$106)/AE$107</f>
        <v/>
      </c>
      <c r="AH27" s="9" t="n">
        <v>40.56</v>
      </c>
      <c r="AI27" s="9" t="n">
        <v>443.28</v>
      </c>
      <c r="AJ27" s="9" t="n">
        <v>363.69</v>
      </c>
      <c r="AK27" s="9" t="n">
        <v>82.05</v>
      </c>
      <c r="AL27" s="9" t="n">
        <v>52.67</v>
      </c>
      <c r="AM27" s="9" t="n">
        <v>110.72</v>
      </c>
      <c r="AN27" s="9" t="n">
        <v>21.39</v>
      </c>
      <c r="AO27" s="9" t="n">
        <v>40.39</v>
      </c>
      <c r="AP27" s="9" t="n">
        <v>48.94</v>
      </c>
      <c r="AQ27" s="9" t="n">
        <v>86.28</v>
      </c>
      <c r="AR27" s="9" t="n">
        <v>40.19</v>
      </c>
      <c r="AS27" s="9" t="n">
        <v>33.5</v>
      </c>
      <c r="AT27" s="33">
        <f>PERCENTRANK(AS$2:INDEX($AS:$AS,LOOKUP(2,1/(ISNUMBER($A$2:$A$1048576)),ROW($A$2:$A$1048576))),AS27)</f>
        <v/>
      </c>
      <c r="AU27" s="39">
        <f>SUM(AS27-AS$106)/AS$107</f>
        <v/>
      </c>
      <c r="AV27" s="9" t="n">
        <v>12.58</v>
      </c>
      <c r="AW27" s="33">
        <f>PERCENTRANK(AV$2:INDEX($AV:$AV,LOOKUP(2,1/(ISNUMBER($A$2:$A$1048576)),ROW($A$2:$A$1048576))),AV27)</f>
        <v/>
      </c>
      <c r="AX27" s="9" t="n">
        <v>210.44</v>
      </c>
      <c r="AY27" s="9" t="n">
        <v>98.69</v>
      </c>
      <c r="AZ27" s="9" t="n">
        <v>46.9</v>
      </c>
      <c r="BA27" s="9" t="n">
        <v>3.83</v>
      </c>
      <c r="BB27" s="9" t="n">
        <v>1.19</v>
      </c>
      <c r="BC27" s="9" t="n">
        <v>31.16</v>
      </c>
      <c r="BD27" s="9" t="n">
        <v>28.97</v>
      </c>
      <c r="BE27" s="9" t="n">
        <v>6.83</v>
      </c>
      <c r="BF27" s="33">
        <f>PERCENTRANK(BE$2:INDEX($BE:$BE,LOOKUP(2,1/(ISNUMBER($A$2:$A$1048576)),ROW($A$2:$A$1048576))),BE27)</f>
        <v/>
      </c>
      <c r="BG27" s="40">
        <f>sum(BE27-BE$106)/BE$107</f>
        <v/>
      </c>
      <c r="BH27" s="9" t="n">
        <v>23.59</v>
      </c>
      <c r="BI27" s="9" t="n">
        <v>1.61</v>
      </c>
      <c r="BJ27" s="9" t="n">
        <v>0.53</v>
      </c>
      <c r="BK27" s="9" t="n">
        <v>32.76</v>
      </c>
      <c r="BL27" s="9" t="n">
        <v>26.39</v>
      </c>
      <c r="BM27" s="9" t="n">
        <v>2.94</v>
      </c>
      <c r="BN27" s="9" t="n">
        <v>11.16</v>
      </c>
      <c r="BO27" s="9" t="n">
        <v>4.92</v>
      </c>
      <c r="BP27" s="9" t="n">
        <v>1.61</v>
      </c>
      <c r="BQ27" s="9" t="n">
        <v>32.77</v>
      </c>
      <c r="BR27" s="9" t="n">
        <v>2.25</v>
      </c>
      <c r="BS27" s="9" t="n">
        <v>0.5</v>
      </c>
      <c r="BT27" s="9" t="n">
        <v>22.22</v>
      </c>
      <c r="BU27" s="9" t="n">
        <v>0.22</v>
      </c>
      <c r="BV27" s="9" t="n">
        <v>0.19</v>
      </c>
      <c r="BW27" s="9" t="n">
        <v>87.5</v>
      </c>
      <c r="BX27" s="9" t="n">
        <v>15</v>
      </c>
      <c r="BY27" s="9" t="n">
        <v>4.19</v>
      </c>
      <c r="BZ27" s="9" t="n">
        <v>27.96</v>
      </c>
      <c r="CA27" s="9" t="n">
        <v>4.19</v>
      </c>
      <c r="CB27" s="9" t="n">
        <v>8.640000000000001</v>
      </c>
      <c r="CC27" s="33">
        <f>PERCENTRANK(CD$2:INDEX($CD:$CD,LOOKUP(2,1/(ISNUMBER($A$2:$A$1048576)),ROW($A$2:$A$1048576))),CD27)</f>
        <v/>
      </c>
      <c r="CD27" s="40">
        <f>sum(CB27-CB$106)/CB$107</f>
        <v/>
      </c>
      <c r="CE27" s="9" t="n">
        <v>25.19</v>
      </c>
      <c r="CF27" s="33">
        <f>PERCENTRANK(CE$2:INDEX($CE:$CE,LOOKUP(2,1/(ISNUMBER($A$2:$A$1048576)),ROW($A$2:$A$1048576))),CE27)</f>
        <v/>
      </c>
      <c r="CG27" s="38">
        <f>sum(CE27-CE$106)/CE$107</f>
        <v/>
      </c>
      <c r="CH27" s="9" t="n">
        <v>3.69</v>
      </c>
      <c r="CI27" s="9" t="n">
        <v>8.06</v>
      </c>
      <c r="CJ27" s="9" t="n">
        <v>18.67</v>
      </c>
      <c r="CK27" s="33">
        <f>PERCENTRANK(CJ$2:INDEX($CJ:$CJ,LOOKUP(2,1/(ISNUMBER($A$2:$A$1048576)),ROW($A$2:$A$1048576))),CJ27)</f>
        <v/>
      </c>
      <c r="CL27" s="38">
        <f>sum(CJ27-CJ$106)/CJ$107</f>
        <v/>
      </c>
      <c r="CM27" s="9" t="n">
        <v>74.44</v>
      </c>
      <c r="CN27" s="9" t="n">
        <v>28.39</v>
      </c>
      <c r="CO27" s="9" t="n">
        <v>38.13</v>
      </c>
      <c r="CP27" s="9" t="n">
        <v>1.53</v>
      </c>
      <c r="CQ27" s="9" t="n">
        <v>1.36</v>
      </c>
      <c r="CR27" s="9" t="n">
        <v>11.11</v>
      </c>
      <c r="CS27" s="33">
        <f>PERCENTRANK(CR$2:INDEX($CR:$CR,LOOKUP(2,1/(ISNUMBER($A$2:$A$1048576)),ROW($A$2:$A$1048576))),CR27)</f>
        <v/>
      </c>
      <c r="CT27" s="39">
        <f>1-(CR27-CR$106)/CR$107</f>
        <v/>
      </c>
      <c r="CU27" s="9" t="n">
        <v>4.33</v>
      </c>
      <c r="CV27" s="33">
        <f>PERCENTRANK(CU$2:INDEX($CU:$CU,LOOKUP(2,1/(ISNUMBER($A$2:$A$1048576)),ROW($A$2:$A$1048576))),CU27)</f>
        <v/>
      </c>
      <c r="CW27" s="39">
        <f>1-(CU27-CU$106)/CU$107</f>
        <v/>
      </c>
      <c r="CX27" s="9" t="n">
        <v>39</v>
      </c>
      <c r="CY27" s="9" t="n">
        <v>66.56</v>
      </c>
      <c r="CZ27" s="9" t="n">
        <v>38.53</v>
      </c>
      <c r="DA27" s="9" t="n">
        <v>57.89</v>
      </c>
      <c r="DB27" s="9" t="n">
        <v>34.11</v>
      </c>
      <c r="DC27" s="9" t="n">
        <v>17.72</v>
      </c>
      <c r="DD27" s="9" t="n">
        <v>51.95</v>
      </c>
      <c r="DE27" s="9" t="n">
        <v>2.44</v>
      </c>
      <c r="DF27" s="9" t="n">
        <v>1.06</v>
      </c>
      <c r="DG27" s="9" t="n">
        <v>43.18</v>
      </c>
      <c r="DH27" s="9" t="n">
        <v>40.86</v>
      </c>
      <c r="DI27" s="33">
        <f>PERCENTRANK(DH$2:INDEX($DH:$DH,LOOKUP(2,1/(ISNUMBER($A$2:$A$1048576)),ROW($A$2:$A$1048576))),DH27)</f>
        <v/>
      </c>
      <c r="DJ27" s="39">
        <f>SUM(DH27-DH$106)/DH$107</f>
        <v/>
      </c>
      <c r="DK27" s="9" t="n">
        <v>13.25</v>
      </c>
      <c r="DL27" s="9" t="n">
        <v>13.36</v>
      </c>
      <c r="DM27" s="9" t="n">
        <v>2.56</v>
      </c>
      <c r="DN27" s="9" t="n">
        <v>0.11</v>
      </c>
      <c r="DO27" s="9" t="n">
        <v>152.39</v>
      </c>
      <c r="DP27" s="9" t="n">
        <v>107.97</v>
      </c>
      <c r="DQ27" s="33">
        <f>PERCENTRANK(DP$2:INDEX($DP:$DP,LOOKUP(2,1/(ISNUMBER($A$2:$A$1048576)),ROW($A$2:$A$1048576))),DP27)</f>
        <v/>
      </c>
      <c r="DR27" s="40">
        <f>sum(DP27-DP$106)/DP$107</f>
        <v/>
      </c>
      <c r="DS27" s="9" t="n">
        <v>70.84999999999999</v>
      </c>
      <c r="DT27" s="9" t="n">
        <v>68.39</v>
      </c>
      <c r="DU27" s="9" t="n">
        <v>64.22</v>
      </c>
      <c r="DV27" s="9" t="n">
        <v>93.91</v>
      </c>
      <c r="DW27" s="9" t="n">
        <v>162.69</v>
      </c>
      <c r="DX27" s="9" t="n">
        <v>144.19</v>
      </c>
      <c r="DY27" s="9" t="n">
        <v>88.63</v>
      </c>
      <c r="DZ27" s="9" t="n">
        <v>54.75</v>
      </c>
      <c r="EA27" s="9" t="n">
        <v>29.28</v>
      </c>
      <c r="EB27" s="9" t="n">
        <v>53.48</v>
      </c>
      <c r="EC27" s="9" t="n">
        <v>52.61</v>
      </c>
      <c r="ED27" s="9" t="n">
        <v>32.58</v>
      </c>
      <c r="EE27" s="33">
        <f>PERCENTRANK(ED$2:INDEX($ED:$ED,LOOKUP(2,1/(ISNUMBER($A$2:$A$1048576)),ROW($A$2:$A$1048576))),ED27)</f>
        <v/>
      </c>
      <c r="EF27" s="40">
        <f>sum(ED27-ED$106)/ED$107</f>
        <v/>
      </c>
      <c r="EG27" s="9" t="n">
        <v>61.93</v>
      </c>
      <c r="EH27" s="9" t="n">
        <v>76.53</v>
      </c>
      <c r="EI27" s="9" t="n">
        <v>52.39</v>
      </c>
      <c r="EJ27" s="33">
        <f>PERCENTRANK(EI$2:INDEX($EI:$EI,LOOKUP(2,1/(ISNUMBER($A$2:$A$1048576)),ROW($A$2:$A$1048576))),EI27)</f>
        <v/>
      </c>
      <c r="EK27" s="40">
        <f>sum(EI27-EI$106)/EI$107</f>
        <v/>
      </c>
      <c r="EL27" s="9" t="n">
        <v>68.45999999999999</v>
      </c>
      <c r="EM27" s="9" t="n">
        <v>4.42</v>
      </c>
      <c r="EN27" s="9" t="n">
        <v>2.14</v>
      </c>
      <c r="EO27" s="9" t="n">
        <v>48.43</v>
      </c>
      <c r="EP27" s="9" t="n">
        <v>23</v>
      </c>
      <c r="EQ27" s="9" t="n">
        <v>20.94</v>
      </c>
      <c r="ER27" s="9" t="n">
        <v>91.06</v>
      </c>
      <c r="ES27" s="9" t="n">
        <v>8</v>
      </c>
      <c r="ET27" s="9" t="n">
        <v>16.49</v>
      </c>
      <c r="EU27" s="9" t="n">
        <v>3.92</v>
      </c>
      <c r="EV27" s="9" t="n">
        <v>12.68</v>
      </c>
      <c r="EW27" s="9" t="n">
        <v>17.09</v>
      </c>
      <c r="EX27" s="33">
        <f>PERCENTRANK(EW$2:INDEX($EW:$EW,LOOKUP(2,1/(ISNUMBER($A$2:$A$1048576)),ROW($A$2:$A$1048576))),EW27)</f>
        <v/>
      </c>
      <c r="EY27" s="38">
        <f>1-(EW27-EW$106)/EW$107</f>
        <v/>
      </c>
      <c r="EZ27" s="9" t="n">
        <v>20.72</v>
      </c>
      <c r="FA27" s="9" t="n">
        <v>10.59</v>
      </c>
      <c r="FB27" s="33">
        <f>PERCENTRANK(FA$2:INDEX($FA:$FA,LOOKUP(2,1/(ISNUMBER($A$2:$A$1048576)),ROW($A$2:$A$1048576))),FA27)</f>
        <v/>
      </c>
      <c r="FC27" s="39">
        <f>1-(FA27-FA$106)/FA$107</f>
        <v/>
      </c>
      <c r="FD27" s="9" t="n">
        <v>1.36</v>
      </c>
      <c r="FE27" s="9" t="n">
        <v>1.33</v>
      </c>
      <c r="FF27" s="33">
        <f>PERCENTRANK(FE$2:INDEX($FE:$FE,LOOKUP(2,1/(ISNUMBER($A$2:$A$1048576)),ROW($A$2:$A$1048576))),FE27)</f>
        <v/>
      </c>
      <c r="FG27" s="39">
        <f>1-(FE27-FE$106)/FE$107</f>
        <v/>
      </c>
      <c r="FH27" s="9" t="n">
        <v>11.11</v>
      </c>
      <c r="FI27" s="9" t="n">
        <v>4.14</v>
      </c>
      <c r="FJ27" s="9" t="n">
        <v>37.25</v>
      </c>
      <c r="FK27" s="9" t="n">
        <v>384.44</v>
      </c>
      <c r="FL27" s="33">
        <f>PERCENTRANK(FK$2:INDEX($FK:$FK,LOOKUP(2,1/(ISNUMBER($A$2:$A$1048576)),ROW($A$2:$A$1048576))),FK27)</f>
        <v/>
      </c>
      <c r="FM27" s="39">
        <f>SWA26-(FK27-FK$106)/FK$107</f>
        <v/>
      </c>
      <c r="FN27" s="9" t="n">
        <v>309.11</v>
      </c>
      <c r="FO27" s="9" t="n">
        <v>80.40000000000001</v>
      </c>
      <c r="FP27" s="9" t="n">
        <v>47.33</v>
      </c>
      <c r="FQ27" s="9" t="n">
        <v>107.17</v>
      </c>
      <c r="FR27" s="9" t="n">
        <v>18.69</v>
      </c>
      <c r="FS27" s="9" t="n">
        <v>37.06</v>
      </c>
      <c r="FT27" s="9" t="n">
        <v>51.42</v>
      </c>
      <c r="FU27" s="9" t="n">
        <v>86.72</v>
      </c>
      <c r="FV27" s="9" t="n">
        <v>36.89</v>
      </c>
      <c r="FW27" s="9" t="n">
        <v>35.44</v>
      </c>
      <c r="FX27" s="9" t="n">
        <v>14.39</v>
      </c>
      <c r="FY27" s="9" t="n">
        <v>210.44</v>
      </c>
      <c r="FZ27" s="9" t="n">
        <v>104.31</v>
      </c>
      <c r="GA27" s="9" t="n">
        <v>49.56</v>
      </c>
      <c r="GB27" s="9" t="n">
        <v>4.28</v>
      </c>
      <c r="GC27" s="9" t="n">
        <v>1.17</v>
      </c>
      <c r="GD27" s="9" t="n">
        <v>27.27</v>
      </c>
      <c r="GE27" s="9" t="n">
        <v>28.75</v>
      </c>
      <c r="GF27" s="9" t="n">
        <v>6.67</v>
      </c>
      <c r="GG27" s="9" t="n">
        <v>23.19</v>
      </c>
      <c r="GH27" s="9" t="n">
        <v>1.64</v>
      </c>
      <c r="GI27" s="9" t="n">
        <v>0.92</v>
      </c>
      <c r="GJ27" s="9" t="n">
        <v>55.93</v>
      </c>
      <c r="GK27" s="9" t="n">
        <v>25.42</v>
      </c>
      <c r="GL27" s="9" t="n">
        <v>2.97</v>
      </c>
      <c r="GM27" s="9" t="n">
        <v>11.69</v>
      </c>
      <c r="GN27" s="9" t="n">
        <v>4.58</v>
      </c>
      <c r="GO27" s="9" t="n">
        <v>1.22</v>
      </c>
      <c r="GP27" s="9" t="n">
        <v>26.67</v>
      </c>
      <c r="GQ27" s="9" t="n">
        <v>2.86</v>
      </c>
      <c r="GR27" s="9" t="n">
        <v>0.61</v>
      </c>
      <c r="GS27" s="9" t="n">
        <v>21.36</v>
      </c>
      <c r="GT27" s="9" t="n">
        <v>0.06</v>
      </c>
      <c r="GU27" s="9" t="n">
        <v>0.03</v>
      </c>
      <c r="GV27" s="9" t="n">
        <v>50</v>
      </c>
      <c r="GW27" s="9" t="n">
        <v>13.03</v>
      </c>
      <c r="GX27" s="9" t="n">
        <v>3.89</v>
      </c>
      <c r="GY27" s="9" t="n">
        <v>29.85</v>
      </c>
      <c r="GZ27" s="9" t="n">
        <v>4.22</v>
      </c>
      <c r="HA27" s="9" t="n">
        <v>6.81</v>
      </c>
      <c r="HB27" s="9" t="n">
        <v>23.78</v>
      </c>
      <c r="HC27" s="9" t="n">
        <v>4</v>
      </c>
      <c r="HD27" s="9" t="n">
        <v>7.72</v>
      </c>
      <c r="HE27" s="9" t="n">
        <v>16.36</v>
      </c>
      <c r="HF27" s="9" t="n">
        <v>66.58</v>
      </c>
      <c r="HG27" s="9" t="n">
        <v>28.03</v>
      </c>
      <c r="HH27" s="9" t="n">
        <v>42.09</v>
      </c>
      <c r="HI27" s="9" t="n">
        <v>1.83</v>
      </c>
      <c r="HJ27" s="9" t="n">
        <v>1.5</v>
      </c>
      <c r="HK27" s="9" t="n">
        <v>10.89</v>
      </c>
      <c r="HL27" s="9" t="n">
        <v>4.64</v>
      </c>
      <c r="HM27" s="9" t="n">
        <v>42.6</v>
      </c>
      <c r="HN27" s="9" t="n">
        <v>74.42</v>
      </c>
      <c r="HO27" s="9" t="n">
        <v>46.03</v>
      </c>
      <c r="HP27" s="9" t="n">
        <v>61.85</v>
      </c>
      <c r="HQ27" s="9" t="n">
        <v>34.11</v>
      </c>
      <c r="HR27" s="9" t="n">
        <v>14.53</v>
      </c>
      <c r="HS27" s="9" t="n">
        <v>42.59</v>
      </c>
      <c r="HT27" s="9" t="n">
        <v>4.17</v>
      </c>
      <c r="HU27" s="9" t="n">
        <v>1.94</v>
      </c>
      <c r="HV27" s="9" t="n">
        <v>46.67</v>
      </c>
      <c r="HW27" s="9" t="n">
        <v>44.61</v>
      </c>
      <c r="HX27" s="9" t="n">
        <v>17.47</v>
      </c>
      <c r="HY27" s="9" t="n">
        <v>13.11</v>
      </c>
      <c r="HZ27" s="9" t="n">
        <v>2.44</v>
      </c>
      <c r="IA27" s="9" t="n">
        <v>0.17</v>
      </c>
      <c r="IB27" s="9" t="n">
        <v>137.78</v>
      </c>
      <c r="IC27" s="9" t="n">
        <v>94.42</v>
      </c>
      <c r="ID27" s="9" t="n">
        <v>68.53</v>
      </c>
      <c r="IE27" s="9" t="n">
        <v>56.03</v>
      </c>
      <c r="IF27" s="9" t="n">
        <v>52.72</v>
      </c>
      <c r="IG27" s="9" t="n">
        <v>94.09999999999999</v>
      </c>
      <c r="IH27" s="9" t="n">
        <v>132.89</v>
      </c>
      <c r="II27" s="9" t="n">
        <v>115.44</v>
      </c>
      <c r="IJ27" s="9" t="n">
        <v>86.87</v>
      </c>
      <c r="IK27" s="9" t="n">
        <v>47.75</v>
      </c>
      <c r="IL27" s="9" t="n">
        <v>23.44</v>
      </c>
      <c r="IM27" s="9" t="n">
        <v>49.1</v>
      </c>
      <c r="IN27" s="9" t="n">
        <v>51.72</v>
      </c>
      <c r="IO27" s="9" t="n">
        <v>32.72</v>
      </c>
      <c r="IP27" s="9" t="n">
        <v>63.27</v>
      </c>
      <c r="IQ27" s="9" t="n">
        <v>68.97</v>
      </c>
      <c r="IR27" s="9" t="n">
        <v>48.97</v>
      </c>
      <c r="IS27" s="9" t="n">
        <v>71</v>
      </c>
      <c r="IT27" s="33">
        <f>PERCENTRANK(IS$2:INDEX($IS:$IS,LOOKUP(2,1/(ISNUMBER($A$2:$A$1048576)),ROW($A$2:$A$1048576))),IS27)</f>
        <v/>
      </c>
      <c r="IU27" s="39">
        <f>1-(IS27-IS$106)/IS$107</f>
        <v/>
      </c>
      <c r="IV27" s="9" t="n">
        <v>3.64</v>
      </c>
      <c r="IW27" s="9" t="n">
        <v>1.69</v>
      </c>
      <c r="IX27" s="9" t="n">
        <v>46.56</v>
      </c>
      <c r="IY27" s="9" t="n">
        <v>19.47</v>
      </c>
      <c r="IZ27" s="9" t="n">
        <v>16.81</v>
      </c>
      <c r="JA27" s="9" t="n">
        <v>86.31</v>
      </c>
      <c r="JB27" s="9" t="n">
        <v>7.89</v>
      </c>
      <c r="JC27" s="9" t="n">
        <v>15.78</v>
      </c>
      <c r="JD27" s="9" t="n">
        <v>3.54</v>
      </c>
      <c r="JE27" s="9" t="n">
        <v>13.42</v>
      </c>
      <c r="JF27" s="9" t="n">
        <v>18.26</v>
      </c>
      <c r="JG27" s="9" t="n">
        <v>20.17</v>
      </c>
      <c r="JH27" s="9" t="n">
        <v>10.12</v>
      </c>
    </row>
    <row r="28">
      <c r="A28" s="12" t="n">
        <v>2022</v>
      </c>
      <c r="B28" s="31" t="inlineStr">
        <is>
          <t>Charleston Battery</t>
        </is>
      </c>
      <c r="C28" s="12" t="n">
        <v>25</v>
      </c>
      <c r="D28" s="5">
        <f>(C28-AVERAGE($C$2:INDEX($C:$C,LOOKUP(2,1/(ISNUMBER($A$2:$A$1048576)),ROW($A$2:$A$1048576)))))/_xlfn.STDEV.P($C$2:INDEX($C:$C,LOOKUP(2,1/(ISNUMBER($A$2:$A$1048576)),ROW($A$2:$A$1048576))))</f>
        <v/>
      </c>
      <c r="E28" s="12" t="n">
        <v>12</v>
      </c>
      <c r="F28" s="6">
        <f>-E28</f>
        <v/>
      </c>
      <c r="G28" s="7">
        <f>(F28-AVERAGE($F$2:INDEX($F:$F,LOOKUP(2,1/(ISNUMBER($A$2:$A$1048576)),ROW($A$2:$A$1048576)))))/_xlfn.STDEV.P($F$2:INDEX($F:$F,LOOKUP(2,1/(ISNUMBER($A$2:$A$1048576)),ROW($A$2:$A$1048576))))</f>
        <v/>
      </c>
      <c r="H28" s="32">
        <f>sum(0.5*D28)+(0.5*G28)</f>
        <v/>
      </c>
      <c r="I28" s="12" t="inlineStr">
        <is>
          <t>East</t>
        </is>
      </c>
      <c r="J28" s="10">
        <f>sum(L28*L$105)+(N28*N$105)+(P28*P$105)+(T28*R$105)</f>
        <v/>
      </c>
      <c r="K28" s="33">
        <f>PERCENTRANK(J$2:INDEX($J:$J,LOOKUP(2,1/(ISNUMBER($A$2:$A$1048576)),ROW($A$2:$A$1048576))),J28)</f>
        <v/>
      </c>
      <c r="L28" s="10">
        <f>sum(AA28*0.66)+(AD28*0.55)+(AG28*0.59)+(CG28*0.51)+(CL28*0.6)+(EY28*0.31)</f>
        <v/>
      </c>
      <c r="M28" s="33">
        <f>PERCENTRANK(L$2:INDEX($L:$L,LOOKUP(2,1/(ISNUMBER($A$2:$A$1048576)),ROW($A$2:$A$1048576))),L28)</f>
        <v/>
      </c>
      <c r="N28" s="10">
        <f>sum(CT28*0.57)+(CW28*0.71)+(DJ28*0.08)+(FC28*0.33)+(FG28*0.69)+(FM28*0.26)+(IU28*0.54)+(AU28*0.4)</f>
        <v/>
      </c>
      <c r="O28" s="33">
        <f>PERCENTRANK(N$2:INDEX($N:$N,LOOKUP(2,1/(ISNUMBER($A$2:$A$1048576)),ROW($A$2:$A$1048576))),N28)</f>
        <v/>
      </c>
      <c r="P28" s="10">
        <f>sum(BG28*0.51)+(CD28*0.51)+(DR28*0.11)+(EF28*0.42)+(EK28*0.44)+(W28*0.6)</f>
        <v/>
      </c>
      <c r="Q28" s="33">
        <f>PERCENTRANK(P$2:INDEX($P:$P,LOOKUP(2,1/(ISNUMBER($A$2:$A$1048576)),ROW($A$2:$A$1048576))),P28)</f>
        <v/>
      </c>
      <c r="R28" s="10">
        <f>sum(Y28-FE28)</f>
        <v/>
      </c>
      <c r="S28" s="33">
        <f>PERCENTRANK(R$2:INDEX($R:$R,LOOKUP(2,1/(ISNUMBER($A$2:$A$1048576)),ROW($A$2:$A$1048576))),R28)</f>
        <v/>
      </c>
      <c r="T28" s="34">
        <f>sum(R28-R$106)/R$107</f>
        <v/>
      </c>
      <c r="U28" s="35">
        <f>sum(Y28/AI28)*100</f>
        <v/>
      </c>
      <c r="V28" s="33">
        <f>PERCENTRANK(U$2:INDEX($U:$U,LOOKUP(2,1/(ISNUMBER($A$2:$A$1048576)),ROW($A$2:$A$1048576))),U28)</f>
        <v/>
      </c>
      <c r="W28" s="36">
        <f>sum(U28-U$106)/U$107</f>
        <v/>
      </c>
      <c r="X28" s="9" t="n">
        <v>1.21</v>
      </c>
      <c r="Y28" s="9" t="n">
        <v>1.35</v>
      </c>
      <c r="Z28" s="33">
        <f>PERCENTRANK(Y$2:INDEX($Y:$Y,LOOKUP(2,1/(ISNUMBER($A$2:$A$1048576)),ROW($A$2:$A$1048576))),Y28)</f>
        <v/>
      </c>
      <c r="AA28" s="37">
        <f>sum(Y28-Y$106)/Y$107</f>
        <v/>
      </c>
      <c r="AB28" s="9" t="n">
        <v>11.82</v>
      </c>
      <c r="AC28" s="33">
        <f>PERCENTRANK(AB$2:INDEX($AB:$AB,LOOKUP(2,1/(ISNUMBER($A$2:$A$1048576)),ROW($A$2:$A$1048576))),AB28)</f>
        <v/>
      </c>
      <c r="AD28" s="38">
        <f>sum(AB28-AB$106)/AB$107</f>
        <v/>
      </c>
      <c r="AE28" s="9" t="n">
        <v>3.74</v>
      </c>
      <c r="AF28" s="33">
        <f>PERCENTRANK(AE$2:INDEX($AE:$AE,LOOKUP(2,1/(ISNUMBER($A$2:$A$1048576)),ROW($A$2:$A$1048576))),AE28)</f>
        <v/>
      </c>
      <c r="AG28" s="38">
        <f>sum(AE28-AE$106)/AE$107</f>
        <v/>
      </c>
      <c r="AH28" s="9" t="n">
        <v>31.59</v>
      </c>
      <c r="AI28" s="9" t="n">
        <v>380.24</v>
      </c>
      <c r="AJ28" s="9" t="n">
        <v>304.79</v>
      </c>
      <c r="AK28" s="9" t="n">
        <v>80.16</v>
      </c>
      <c r="AL28" s="9" t="n">
        <v>50.29</v>
      </c>
      <c r="AM28" s="9" t="n">
        <v>109.09</v>
      </c>
      <c r="AN28" s="9" t="n">
        <v>18.38</v>
      </c>
      <c r="AO28" s="9" t="n">
        <v>38.35</v>
      </c>
      <c r="AP28" s="9" t="n">
        <v>52.35</v>
      </c>
      <c r="AQ28" s="9" t="n">
        <v>78.79000000000001</v>
      </c>
      <c r="AR28" s="9" t="n">
        <v>34.21</v>
      </c>
      <c r="AS28" s="9" t="n">
        <v>32.06</v>
      </c>
      <c r="AT28" s="33">
        <f>PERCENTRANK(AS$2:INDEX($AS:$AS,LOOKUP(2,1/(ISNUMBER($A$2:$A$1048576)),ROW($A$2:$A$1048576))),AS28)</f>
        <v/>
      </c>
      <c r="AU28" s="39">
        <f>SUM(AS28-AS$106)/AS$107</f>
        <v/>
      </c>
      <c r="AV28" s="9" t="n">
        <v>12.53</v>
      </c>
      <c r="AW28" s="33">
        <f>PERCENTRANK(AV$2:INDEX($AV:$AV,LOOKUP(2,1/(ISNUMBER($A$2:$A$1048576)),ROW($A$2:$A$1048576))),AV28)</f>
        <v/>
      </c>
      <c r="AX28" s="9" t="n">
        <v>200.15</v>
      </c>
      <c r="AY28" s="9" t="n">
        <v>93.84999999999999</v>
      </c>
      <c r="AZ28" s="9" t="n">
        <v>46.89</v>
      </c>
      <c r="BA28" s="9" t="n">
        <v>5.06</v>
      </c>
      <c r="BB28" s="9" t="n">
        <v>1.15</v>
      </c>
      <c r="BC28" s="9" t="n">
        <v>22.67</v>
      </c>
      <c r="BD28" s="9" t="n">
        <v>28</v>
      </c>
      <c r="BE28" s="9" t="n">
        <v>7.21</v>
      </c>
      <c r="BF28" s="33">
        <f>PERCENTRANK(BE$2:INDEX($BE:$BE,LOOKUP(2,1/(ISNUMBER($A$2:$A$1048576)),ROW($A$2:$A$1048576))),BE28)</f>
        <v/>
      </c>
      <c r="BG28" s="40">
        <f>sum(BE28-BE$106)/BE$107</f>
        <v/>
      </c>
      <c r="BH28" s="9" t="n">
        <v>25.74</v>
      </c>
      <c r="BI28" s="9" t="n">
        <v>1.09</v>
      </c>
      <c r="BJ28" s="9" t="n">
        <v>0.44</v>
      </c>
      <c r="BK28" s="9" t="n">
        <v>40.54</v>
      </c>
      <c r="BL28" s="9" t="n">
        <v>28.03</v>
      </c>
      <c r="BM28" s="9" t="n">
        <v>3.79</v>
      </c>
      <c r="BN28" s="9" t="n">
        <v>13.54</v>
      </c>
      <c r="BO28" s="9" t="n">
        <v>4.62</v>
      </c>
      <c r="BP28" s="9" t="n">
        <v>1.38</v>
      </c>
      <c r="BQ28" s="9" t="n">
        <v>29.94</v>
      </c>
      <c r="BR28" s="9" t="n">
        <v>3.18</v>
      </c>
      <c r="BS28" s="9" t="n">
        <v>0.74</v>
      </c>
      <c r="BT28" s="9" t="n">
        <v>23.15</v>
      </c>
      <c r="BU28" s="9" t="n">
        <v>0.12</v>
      </c>
      <c r="BV28" s="9" t="n">
        <v>0.09</v>
      </c>
      <c r="BW28" s="9" t="n">
        <v>75</v>
      </c>
      <c r="BX28" s="9" t="n">
        <v>14.94</v>
      </c>
      <c r="BY28" s="9" t="n">
        <v>4.91</v>
      </c>
      <c r="BZ28" s="9" t="n">
        <v>32.87</v>
      </c>
      <c r="CA28" s="9" t="n">
        <v>4.97</v>
      </c>
      <c r="CB28" s="9" t="n">
        <v>5.5</v>
      </c>
      <c r="CC28" s="33">
        <f>PERCENTRANK(CD$2:INDEX($CD:$CD,LOOKUP(2,1/(ISNUMBER($A$2:$A$1048576)),ROW($A$2:$A$1048576))),CD28)</f>
        <v/>
      </c>
      <c r="CD28" s="40">
        <f>sum(CB28-CB$106)/CB$107</f>
        <v/>
      </c>
      <c r="CE28" s="9" t="n">
        <v>23.76</v>
      </c>
      <c r="CF28" s="33">
        <f>PERCENTRANK(CE$2:INDEX($CE:$CE,LOOKUP(2,1/(ISNUMBER($A$2:$A$1048576)),ROW($A$2:$A$1048576))),CE28)</f>
        <v/>
      </c>
      <c r="CG28" s="38">
        <f>sum(CE28-CE$106)/CE$107</f>
        <v/>
      </c>
      <c r="CH28" s="9" t="n">
        <v>3.85</v>
      </c>
      <c r="CI28" s="9" t="n">
        <v>9.5</v>
      </c>
      <c r="CJ28" s="9" t="n">
        <v>15.18</v>
      </c>
      <c r="CK28" s="33">
        <f>PERCENTRANK(CJ$2:INDEX($CJ:$CJ,LOOKUP(2,1/(ISNUMBER($A$2:$A$1048576)),ROW($A$2:$A$1048576))),CJ28)</f>
        <v/>
      </c>
      <c r="CL28" s="38">
        <f>sum(CJ28-CJ$106)/CJ$107</f>
        <v/>
      </c>
      <c r="CM28" s="9" t="n">
        <v>65.59</v>
      </c>
      <c r="CN28" s="9" t="n">
        <v>26.35</v>
      </c>
      <c r="CO28" s="9" t="n">
        <v>40.18</v>
      </c>
      <c r="CP28" s="9" t="n">
        <v>1.71</v>
      </c>
      <c r="CQ28" s="9" t="n">
        <v>2.26</v>
      </c>
      <c r="CR28" s="9" t="n">
        <v>13.35</v>
      </c>
      <c r="CS28" s="33">
        <f>PERCENTRANK(CR$2:INDEX($CR:$CR,LOOKUP(2,1/(ISNUMBER($A$2:$A$1048576)),ROW($A$2:$A$1048576))),CR28)</f>
        <v/>
      </c>
      <c r="CT28" s="39">
        <f>1-(CR28-CR$106)/CR$107</f>
        <v/>
      </c>
      <c r="CU28" s="9" t="n">
        <v>5.91</v>
      </c>
      <c r="CV28" s="33">
        <f>PERCENTRANK(CU$2:INDEX($CU:$CU,LOOKUP(2,1/(ISNUMBER($A$2:$A$1048576)),ROW($A$2:$A$1048576))),CU28)</f>
        <v/>
      </c>
      <c r="CW28" s="39">
        <f>1-(CU28-CU$106)/CU$107</f>
        <v/>
      </c>
      <c r="CX28" s="9" t="n">
        <v>44.27</v>
      </c>
      <c r="CY28" s="9" t="n">
        <v>65.38</v>
      </c>
      <c r="CZ28" s="9" t="n">
        <v>36.68</v>
      </c>
      <c r="DA28" s="9" t="n">
        <v>56.1</v>
      </c>
      <c r="DB28" s="9" t="n">
        <v>35.15</v>
      </c>
      <c r="DC28" s="9" t="n">
        <v>16.97</v>
      </c>
      <c r="DD28" s="9" t="n">
        <v>48.28</v>
      </c>
      <c r="DE28" s="9" t="n">
        <v>4.09</v>
      </c>
      <c r="DF28" s="9" t="n">
        <v>1.5</v>
      </c>
      <c r="DG28" s="9" t="n">
        <v>36.69</v>
      </c>
      <c r="DH28" s="9" t="n">
        <v>37.32</v>
      </c>
      <c r="DI28" s="33">
        <f>PERCENTRANK(DH$2:INDEX($DH:$DH,LOOKUP(2,1/(ISNUMBER($A$2:$A$1048576)),ROW($A$2:$A$1048576))),DH28)</f>
        <v/>
      </c>
      <c r="DJ28" s="39">
        <f>SUM(DH28-DH$106)/DH$107</f>
        <v/>
      </c>
      <c r="DK28" s="9" t="n">
        <v>14.62</v>
      </c>
      <c r="DL28" s="9" t="n">
        <v>14.88</v>
      </c>
      <c r="DM28" s="9" t="n">
        <v>3.24</v>
      </c>
      <c r="DN28" s="9" t="n">
        <v>0.21</v>
      </c>
      <c r="DO28" s="9" t="n">
        <v>133.44</v>
      </c>
      <c r="DP28" s="9" t="n">
        <v>93.70999999999999</v>
      </c>
      <c r="DQ28" s="33">
        <f>PERCENTRANK(DP$2:INDEX($DP:$DP,LOOKUP(2,1/(ISNUMBER($A$2:$A$1048576)),ROW($A$2:$A$1048576))),DP28)</f>
        <v/>
      </c>
      <c r="DR28" s="40">
        <f>sum(DP28-DP$106)/DP$107</f>
        <v/>
      </c>
      <c r="DS28" s="9" t="n">
        <v>70.22</v>
      </c>
      <c r="DT28" s="9" t="n">
        <v>59.29</v>
      </c>
      <c r="DU28" s="9" t="n">
        <v>54.82</v>
      </c>
      <c r="DV28" s="9" t="n">
        <v>92.45999999999999</v>
      </c>
      <c r="DW28" s="9" t="n">
        <v>136.35</v>
      </c>
      <c r="DX28" s="9" t="n">
        <v>115.76</v>
      </c>
      <c r="DY28" s="9" t="n">
        <v>84.90000000000001</v>
      </c>
      <c r="DZ28" s="9" t="n">
        <v>48.97</v>
      </c>
      <c r="EA28" s="9" t="n">
        <v>25.29</v>
      </c>
      <c r="EB28" s="9" t="n">
        <v>51.65</v>
      </c>
      <c r="EC28" s="9" t="n">
        <v>53.24</v>
      </c>
      <c r="ED28" s="9" t="n">
        <v>32.68</v>
      </c>
      <c r="EE28" s="33">
        <f>PERCENTRANK(ED$2:INDEX($ED:$ED,LOOKUP(2,1/(ISNUMBER($A$2:$A$1048576)),ROW($A$2:$A$1048576))),ED28)</f>
        <v/>
      </c>
      <c r="EF28" s="40">
        <f>sum(ED28-ED$106)/ED$107</f>
        <v/>
      </c>
      <c r="EG28" s="9" t="n">
        <v>61.38</v>
      </c>
      <c r="EH28" s="9" t="n">
        <v>69.06</v>
      </c>
      <c r="EI28" s="9" t="n">
        <v>50.09</v>
      </c>
      <c r="EJ28" s="33">
        <f>PERCENTRANK(EI$2:INDEX($EI:$EI,LOOKUP(2,1/(ISNUMBER($A$2:$A$1048576)),ROW($A$2:$A$1048576))),EI28)</f>
        <v/>
      </c>
      <c r="EK28" s="40">
        <f>sum(EI28-EI$106)/EI$107</f>
        <v/>
      </c>
      <c r="EL28" s="9" t="n">
        <v>72.53</v>
      </c>
      <c r="EM28" s="9" t="n">
        <v>4.29</v>
      </c>
      <c r="EN28" s="9" t="n">
        <v>1.79</v>
      </c>
      <c r="EO28" s="9" t="n">
        <v>41.78</v>
      </c>
      <c r="EP28" s="9" t="n">
        <v>23.24</v>
      </c>
      <c r="EQ28" s="9" t="n">
        <v>19.94</v>
      </c>
      <c r="ER28" s="9" t="n">
        <v>85.81999999999999</v>
      </c>
      <c r="ES28" s="9" t="n">
        <v>8.09</v>
      </c>
      <c r="ET28" s="9" t="n">
        <v>15.86</v>
      </c>
      <c r="EU28" s="9" t="n">
        <v>3.54</v>
      </c>
      <c r="EV28" s="9" t="n">
        <v>14.13</v>
      </c>
      <c r="EW28" s="9" t="n">
        <v>18.68</v>
      </c>
      <c r="EX28" s="33">
        <f>PERCENTRANK(EW$2:INDEX($EW:$EW,LOOKUP(2,1/(ISNUMBER($A$2:$A$1048576)),ROW($A$2:$A$1048576))),EW28)</f>
        <v/>
      </c>
      <c r="EY28" s="38">
        <f>1-(EW28-EW$106)/EW$107</f>
        <v/>
      </c>
      <c r="EZ28" s="9" t="n">
        <v>20.36</v>
      </c>
      <c r="FA28" s="9" t="n">
        <v>9.859999999999999</v>
      </c>
      <c r="FB28" s="33">
        <f>PERCENTRANK(FA$2:INDEX($FA:$FA,LOOKUP(2,1/(ISNUMBER($A$2:$A$1048576)),ROW($A$2:$A$1048576))),FA28)</f>
        <v/>
      </c>
      <c r="FC28" s="39">
        <f>1-(FA28-FA$106)/FA$107</f>
        <v/>
      </c>
      <c r="FD28" s="9" t="n">
        <v>2.26</v>
      </c>
      <c r="FE28" s="9" t="n">
        <v>1.62</v>
      </c>
      <c r="FF28" s="33">
        <f>PERCENTRANK(FE$2:INDEX($FE:$FE,LOOKUP(2,1/(ISNUMBER($A$2:$A$1048576)),ROW($A$2:$A$1048576))),FE28)</f>
        <v/>
      </c>
      <c r="FG28" s="39">
        <f>1-(FE28-FE$106)/FE$107</f>
        <v/>
      </c>
      <c r="FH28" s="9" t="n">
        <v>13.35</v>
      </c>
      <c r="FI28" s="9" t="n">
        <v>5.76</v>
      </c>
      <c r="FJ28" s="9" t="n">
        <v>43.17</v>
      </c>
      <c r="FK28" s="9" t="n">
        <v>375.97</v>
      </c>
      <c r="FL28" s="33">
        <f>PERCENTRANK(FK$2:INDEX($FK:$FK,LOOKUP(2,1/(ISNUMBER($A$2:$A$1048576)),ROW($A$2:$A$1048576))),FK28)</f>
        <v/>
      </c>
      <c r="FM28" s="39">
        <f>SWA27-(FK28-FK$106)/FK$107</f>
        <v/>
      </c>
      <c r="FN28" s="9" t="n">
        <v>301.12</v>
      </c>
      <c r="FO28" s="9" t="n">
        <v>80.09</v>
      </c>
      <c r="FP28" s="9" t="n">
        <v>49.71</v>
      </c>
      <c r="FQ28" s="9" t="n">
        <v>105.41</v>
      </c>
      <c r="FR28" s="9" t="n">
        <v>20.91</v>
      </c>
      <c r="FS28" s="9" t="n">
        <v>38.68</v>
      </c>
      <c r="FT28" s="9" t="n">
        <v>45.82</v>
      </c>
      <c r="FU28" s="9" t="n">
        <v>82.76000000000001</v>
      </c>
      <c r="FV28" s="9" t="n">
        <v>40.94</v>
      </c>
      <c r="FW28" s="9" t="n">
        <v>30.62</v>
      </c>
      <c r="FX28" s="9" t="n">
        <v>11.21</v>
      </c>
      <c r="FY28" s="9" t="n">
        <v>200.15</v>
      </c>
      <c r="FZ28" s="9" t="n">
        <v>97.62</v>
      </c>
      <c r="GA28" s="9" t="n">
        <v>48.77</v>
      </c>
      <c r="GB28" s="9" t="n">
        <v>4.74</v>
      </c>
      <c r="GC28" s="9" t="n">
        <v>1.44</v>
      </c>
      <c r="GD28" s="9" t="n">
        <v>30.43</v>
      </c>
      <c r="GE28" s="9" t="n">
        <v>27.06</v>
      </c>
      <c r="GF28" s="9" t="n">
        <v>7.24</v>
      </c>
      <c r="GG28" s="9" t="n">
        <v>26.74</v>
      </c>
      <c r="GH28" s="9" t="n">
        <v>2.5</v>
      </c>
      <c r="GI28" s="9" t="n">
        <v>1.26</v>
      </c>
      <c r="GJ28" s="9" t="n">
        <v>50.59</v>
      </c>
      <c r="GK28" s="9" t="n">
        <v>28.41</v>
      </c>
      <c r="GL28" s="9" t="n">
        <v>4.26</v>
      </c>
      <c r="GM28" s="9" t="n">
        <v>15.01</v>
      </c>
      <c r="GN28" s="9" t="n">
        <v>4.82</v>
      </c>
      <c r="GO28" s="9" t="n">
        <v>1.71</v>
      </c>
      <c r="GP28" s="9" t="n">
        <v>35.37</v>
      </c>
      <c r="GQ28" s="9" t="n">
        <v>2.85</v>
      </c>
      <c r="GR28" s="9" t="n">
        <v>0.82</v>
      </c>
      <c r="GS28" s="9" t="n">
        <v>28.87</v>
      </c>
      <c r="GT28" s="9" t="n">
        <v>0.06</v>
      </c>
      <c r="GU28" s="9" t="n">
        <v>0.06</v>
      </c>
      <c r="GV28" s="9" t="n">
        <v>100</v>
      </c>
      <c r="GW28" s="9" t="n">
        <v>13.26</v>
      </c>
      <c r="GX28" s="9" t="n">
        <v>4.53</v>
      </c>
      <c r="GY28" s="9" t="n">
        <v>34.15</v>
      </c>
      <c r="GZ28" s="9" t="n">
        <v>4.53</v>
      </c>
      <c r="HA28" s="9" t="n">
        <v>7.53</v>
      </c>
      <c r="HB28" s="9" t="n">
        <v>24.44</v>
      </c>
      <c r="HC28" s="9" t="n">
        <v>5.5</v>
      </c>
      <c r="HD28" s="9" t="n">
        <v>7.5</v>
      </c>
      <c r="HE28" s="9" t="n">
        <v>19.94</v>
      </c>
      <c r="HF28" s="9" t="n">
        <v>65.38</v>
      </c>
      <c r="HG28" s="9" t="n">
        <v>28.71</v>
      </c>
      <c r="HH28" s="9" t="n">
        <v>43.9</v>
      </c>
      <c r="HI28" s="9" t="n">
        <v>3.24</v>
      </c>
      <c r="HJ28" s="9" t="n">
        <v>1.21</v>
      </c>
      <c r="HK28" s="9" t="n">
        <v>11.82</v>
      </c>
      <c r="HL28" s="9" t="n">
        <v>3.91</v>
      </c>
      <c r="HM28" s="9" t="n">
        <v>33.08</v>
      </c>
      <c r="HN28" s="9" t="n">
        <v>65.59</v>
      </c>
      <c r="HO28" s="9" t="n">
        <v>39.24</v>
      </c>
      <c r="HP28" s="9" t="n">
        <v>59.82</v>
      </c>
      <c r="HQ28" s="9" t="n">
        <v>35.15</v>
      </c>
      <c r="HR28" s="9" t="n">
        <v>15.47</v>
      </c>
      <c r="HS28" s="9" t="n">
        <v>44.02</v>
      </c>
      <c r="HT28" s="9" t="n">
        <v>3.35</v>
      </c>
      <c r="HU28" s="9" t="n">
        <v>1.65</v>
      </c>
      <c r="HV28" s="9" t="n">
        <v>49.12</v>
      </c>
      <c r="HW28" s="9" t="n">
        <v>45.5</v>
      </c>
      <c r="HX28" s="9" t="n">
        <v>17.5</v>
      </c>
      <c r="HY28" s="9" t="n">
        <v>13.68</v>
      </c>
      <c r="HZ28" s="9" t="n">
        <v>2.21</v>
      </c>
      <c r="IA28" s="9" t="n">
        <v>0.12</v>
      </c>
      <c r="IB28" s="9" t="n">
        <v>137.5</v>
      </c>
      <c r="IC28" s="9" t="n">
        <v>95.53</v>
      </c>
      <c r="ID28" s="9" t="n">
        <v>69.48</v>
      </c>
      <c r="IE28" s="9" t="n">
        <v>59.35</v>
      </c>
      <c r="IF28" s="9" t="n">
        <v>55.18</v>
      </c>
      <c r="IG28" s="9" t="n">
        <v>92.95999999999999</v>
      </c>
      <c r="IH28" s="9" t="n">
        <v>124.5</v>
      </c>
      <c r="II28" s="9" t="n">
        <v>106.09</v>
      </c>
      <c r="IJ28" s="9" t="n">
        <v>85.20999999999999</v>
      </c>
      <c r="IK28" s="9" t="n">
        <v>47.44</v>
      </c>
      <c r="IL28" s="9" t="n">
        <v>25.79</v>
      </c>
      <c r="IM28" s="9" t="n">
        <v>54.37</v>
      </c>
      <c r="IN28" s="9" t="n">
        <v>48.74</v>
      </c>
      <c r="IO28" s="9" t="n">
        <v>31.68</v>
      </c>
      <c r="IP28" s="9" t="n">
        <v>65</v>
      </c>
      <c r="IQ28" s="9" t="n">
        <v>73.44</v>
      </c>
      <c r="IR28" s="9" t="n">
        <v>50.88</v>
      </c>
      <c r="IS28" s="9" t="n">
        <v>69.28</v>
      </c>
      <c r="IT28" s="33">
        <f>PERCENTRANK(IS$2:INDEX($IS:$IS,LOOKUP(2,1/(ISNUMBER($A$2:$A$1048576)),ROW($A$2:$A$1048576))),IS28)</f>
        <v/>
      </c>
      <c r="IU28" s="39">
        <f>1-(IS28-IS$106)/IS$107</f>
        <v/>
      </c>
      <c r="IV28" s="9" t="n">
        <v>5.24</v>
      </c>
      <c r="IW28" s="9" t="n">
        <v>1.91</v>
      </c>
      <c r="IX28" s="9" t="n">
        <v>36.52</v>
      </c>
      <c r="IY28" s="9" t="n">
        <v>21</v>
      </c>
      <c r="IZ28" s="9" t="n">
        <v>18.56</v>
      </c>
      <c r="JA28" s="9" t="n">
        <v>88.38</v>
      </c>
      <c r="JB28" s="9" t="n">
        <v>9.18</v>
      </c>
      <c r="JC28" s="9" t="n">
        <v>16.2</v>
      </c>
      <c r="JD28" s="9" t="n">
        <v>3.4</v>
      </c>
      <c r="JE28" s="9" t="n">
        <v>12.92</v>
      </c>
      <c r="JF28" s="9" t="n">
        <v>17.56</v>
      </c>
      <c r="JG28" s="9" t="n">
        <v>20.01</v>
      </c>
      <c r="JH28" s="9" t="n">
        <v>9.56</v>
      </c>
    </row>
    <row r="29">
      <c r="A29" s="12" t="n">
        <v>2025</v>
      </c>
      <c r="B29" s="31" t="inlineStr">
        <is>
          <t>Loudoun United</t>
        </is>
      </c>
      <c r="C29" s="12" t="n">
        <v>42</v>
      </c>
      <c r="D29" s="5">
        <f>(C29-AVERAGE($C$2:INDEX($C:$C,LOOKUP(2,1/(ISNUMBER($A$2:$A$1048576)),ROW($A$2:$A$1048576)))))/_xlfn.STDEV.P($C$2:INDEX($C:$C,LOOKUP(2,1/(ISNUMBER($A$2:$A$1048576)),ROW($A$2:$A$1048576))))</f>
        <v/>
      </c>
      <c r="E29" s="12" t="n">
        <v>6</v>
      </c>
      <c r="F29" s="6">
        <f>-E29</f>
        <v/>
      </c>
      <c r="G29" s="7">
        <f>(F29-AVERAGE($F$2:INDEX($F:$F,LOOKUP(2,1/(ISNUMBER($A$2:$A$1048576)),ROW($A$2:$A$1048576)))))/_xlfn.STDEV.P($F$2:INDEX($F:$F,LOOKUP(2,1/(ISNUMBER($A$2:$A$1048576)),ROW($A$2:$A$1048576))))</f>
        <v/>
      </c>
      <c r="H29" s="32">
        <f>sum(0.5*D29)+(0.5*G29)</f>
        <v/>
      </c>
      <c r="I29" s="12" t="inlineStr">
        <is>
          <t>East</t>
        </is>
      </c>
      <c r="J29" s="10">
        <f>sum(L29*L$105)+(N29*N$105)+(P29*P$105)+(T29*R$105)</f>
        <v/>
      </c>
      <c r="K29" s="33">
        <f>PERCENTRANK(J$2:INDEX($J:$J,LOOKUP(2,1/(ISNUMBER($A$2:$A$1048576)),ROW($A$2:$A$1048576))),J29)</f>
        <v/>
      </c>
      <c r="L29" s="10">
        <f>sum(AA29*0.66)+(AD29*0.55)+(AG29*0.59)+(CG29*0.51)+(CL29*0.6)+(EY29*0.31)</f>
        <v/>
      </c>
      <c r="M29" s="33">
        <f>PERCENTRANK(L$2:INDEX($L:$L,LOOKUP(2,1/(ISNUMBER($A$2:$A$1048576)),ROW($A$2:$A$1048576))),L29)</f>
        <v/>
      </c>
      <c r="N29" s="10">
        <f>sum(CT29*0.57)+(CW29*0.71)+(DJ29*0.08)+(FC29*0.33)+(FG29*0.69)+(FM29*0.26)+(IU29*0.54)+(AU29*0.4)</f>
        <v/>
      </c>
      <c r="O29" s="33">
        <f>PERCENTRANK(N$2:INDEX($N:$N,LOOKUP(2,1/(ISNUMBER($A$2:$A$1048576)),ROW($A$2:$A$1048576))),N29)</f>
        <v/>
      </c>
      <c r="P29" s="10">
        <f>sum(BG29*0.51)+(CD29*0.51)+(DR29*0.11)+(EF29*0.42)+(EK29*0.44)+(W29*0.6)</f>
        <v/>
      </c>
      <c r="Q29" s="33">
        <f>PERCENTRANK(P$2:INDEX($P:$P,LOOKUP(2,1/(ISNUMBER($A$2:$A$1048576)),ROW($A$2:$A$1048576))),P29)</f>
        <v/>
      </c>
      <c r="R29" s="10">
        <f>sum(Y29-FE29)</f>
        <v/>
      </c>
      <c r="S29" s="33">
        <f>PERCENTRANK(R$2:INDEX($R:$R,LOOKUP(2,1/(ISNUMBER($A$2:$A$1048576)),ROW($A$2:$A$1048576))),R29)</f>
        <v/>
      </c>
      <c r="T29" s="34">
        <f>sum(R29-R$106)/R$107</f>
        <v/>
      </c>
      <c r="U29" s="35">
        <f>sum(Y29/AI29)*100</f>
        <v/>
      </c>
      <c r="V29" s="33">
        <f>PERCENTRANK(U$2:INDEX($U:$U,LOOKUP(2,1/(ISNUMBER($A$2:$A$1048576)),ROW($A$2:$A$1048576))),U29)</f>
        <v/>
      </c>
      <c r="W29" s="36">
        <f>sum(U29-U$106)/U$107</f>
        <v/>
      </c>
      <c r="X29" s="9" t="n">
        <v>1.45</v>
      </c>
      <c r="Y29" s="9" t="n">
        <v>1.47</v>
      </c>
      <c r="Z29" s="33">
        <f>PERCENTRANK(Y$2:INDEX($Y:$Y,LOOKUP(2,1/(ISNUMBER($A$2:$A$1048576)),ROW($A$2:$A$1048576))),Y29)</f>
        <v/>
      </c>
      <c r="AA29" s="37">
        <f>sum(Y29-Y$106)/Y$107</f>
        <v/>
      </c>
      <c r="AB29" s="9" t="n">
        <v>12.42</v>
      </c>
      <c r="AC29" s="33">
        <f>PERCENTRANK(AB$2:INDEX($AB:$AB,LOOKUP(2,1/(ISNUMBER($A$2:$A$1048576)),ROW($A$2:$A$1048576))),AB29)</f>
        <v/>
      </c>
      <c r="AD29" s="38">
        <f>sum(AB29-AB$106)/AB$107</f>
        <v/>
      </c>
      <c r="AE29" s="9" t="n">
        <v>4.71</v>
      </c>
      <c r="AF29" s="33">
        <f>PERCENTRANK(AE$2:INDEX($AE:$AE,LOOKUP(2,1/(ISNUMBER($A$2:$A$1048576)),ROW($A$2:$A$1048576))),AE29)</f>
        <v/>
      </c>
      <c r="AG29" s="38">
        <f>sum(AE29-AE$106)/AE$107</f>
        <v/>
      </c>
      <c r="AH29" s="9" t="n">
        <v>37.92</v>
      </c>
      <c r="AI29" s="9" t="n">
        <v>447.55</v>
      </c>
      <c r="AJ29" s="9" t="n">
        <v>374.29</v>
      </c>
      <c r="AK29" s="9" t="n">
        <v>83.63</v>
      </c>
      <c r="AL29" s="9" t="n">
        <v>52.9</v>
      </c>
      <c r="AM29" s="9" t="n">
        <v>106.65</v>
      </c>
      <c r="AN29" s="9" t="n">
        <v>19.61</v>
      </c>
      <c r="AO29" s="9" t="n">
        <v>35.58</v>
      </c>
      <c r="AP29" s="9" t="n">
        <v>51.45</v>
      </c>
      <c r="AQ29" s="9" t="n">
        <v>75</v>
      </c>
      <c r="AR29" s="9" t="n">
        <v>33.81</v>
      </c>
      <c r="AS29" s="9" t="n">
        <v>28.68</v>
      </c>
      <c r="AT29" s="33">
        <f>PERCENTRANK(AS$2:INDEX($AS:$AS,LOOKUP(2,1/(ISNUMBER($A$2:$A$1048576)),ROW($A$2:$A$1048576))),AS29)</f>
        <v/>
      </c>
      <c r="AU29" s="39">
        <f>SUM(AS29-AS$106)/AS$107</f>
        <v/>
      </c>
      <c r="AV29" s="9" t="n">
        <v>12.52</v>
      </c>
      <c r="AW29" s="33">
        <f>PERCENTRANK(AV$2:INDEX($AV:$AV,LOOKUP(2,1/(ISNUMBER($A$2:$A$1048576)),ROW($A$2:$A$1048576))),AV29)</f>
        <v/>
      </c>
      <c r="AX29" s="9" t="n">
        <v>181.23</v>
      </c>
      <c r="AY29" s="9" t="n">
        <v>86</v>
      </c>
      <c r="AZ29" s="9" t="n">
        <v>47.45</v>
      </c>
      <c r="BA29" s="9" t="n">
        <v>5.35</v>
      </c>
      <c r="BB29" s="9" t="n">
        <v>1.84</v>
      </c>
      <c r="BC29" s="9" t="n">
        <v>34.34</v>
      </c>
      <c r="BD29" s="9" t="n">
        <v>27.06</v>
      </c>
      <c r="BE29" s="9" t="n">
        <v>7.32</v>
      </c>
      <c r="BF29" s="33">
        <f>PERCENTRANK(BE$2:INDEX($BE:$BE,LOOKUP(2,1/(ISNUMBER($A$2:$A$1048576)),ROW($A$2:$A$1048576))),BE29)</f>
        <v/>
      </c>
      <c r="BG29" s="40">
        <f>sum(BE29-BE$106)/BE$107</f>
        <v/>
      </c>
      <c r="BH29" s="9" t="n">
        <v>27.06</v>
      </c>
      <c r="BI29" s="9" t="n">
        <v>0.55</v>
      </c>
      <c r="BJ29" s="9" t="n">
        <v>0.35</v>
      </c>
      <c r="BK29" s="9" t="n">
        <v>64.70999999999999</v>
      </c>
      <c r="BL29" s="9" t="n">
        <v>28.16</v>
      </c>
      <c r="BM29" s="9" t="n">
        <v>4.03</v>
      </c>
      <c r="BN29" s="9" t="n">
        <v>14.32</v>
      </c>
      <c r="BO29" s="9" t="n">
        <v>5.84</v>
      </c>
      <c r="BP29" s="9" t="n">
        <v>1.65</v>
      </c>
      <c r="BQ29" s="9" t="n">
        <v>28.18</v>
      </c>
      <c r="BR29" s="9" t="n">
        <v>2.45</v>
      </c>
      <c r="BS29" s="9" t="n">
        <v>0.48</v>
      </c>
      <c r="BT29" s="9" t="n">
        <v>19.74</v>
      </c>
      <c r="BU29" s="9" t="n">
        <v>0.19</v>
      </c>
      <c r="BV29" s="9" t="n">
        <v>0.16</v>
      </c>
      <c r="BW29" s="9" t="n">
        <v>83.33</v>
      </c>
      <c r="BX29" s="9" t="n">
        <v>13.58</v>
      </c>
      <c r="BY29" s="9" t="n">
        <v>4.81</v>
      </c>
      <c r="BZ29" s="9" t="n">
        <v>35.39</v>
      </c>
      <c r="CA29" s="9" t="n">
        <v>4.35</v>
      </c>
      <c r="CB29" s="9" t="n">
        <v>8.550000000000001</v>
      </c>
      <c r="CC29" s="33">
        <f>PERCENTRANK(CD$2:INDEX($CD:$CD,LOOKUP(2,1/(ISNUMBER($A$2:$A$1048576)),ROW($A$2:$A$1048576))),CD29)</f>
        <v/>
      </c>
      <c r="CD29" s="40">
        <f>sum(CB29-CB$106)/CB$107</f>
        <v/>
      </c>
      <c r="CE29" s="9" t="n">
        <v>26.52</v>
      </c>
      <c r="CF29" s="33">
        <f>PERCENTRANK(CE$2:INDEX($CE:$CE,LOOKUP(2,1/(ISNUMBER($A$2:$A$1048576)),ROW($A$2:$A$1048576))),CE29)</f>
        <v/>
      </c>
      <c r="CG29" s="38">
        <f>sum(CE29-CE$106)/CE$107</f>
        <v/>
      </c>
      <c r="CH29" s="9" t="n">
        <v>3.35</v>
      </c>
      <c r="CI29" s="9" t="n">
        <v>8.449999999999999</v>
      </c>
      <c r="CJ29" s="9" t="n">
        <v>18.29</v>
      </c>
      <c r="CK29" s="33">
        <f>PERCENTRANK(CJ$2:INDEX($CJ:$CJ,LOOKUP(2,1/(ISNUMBER($A$2:$A$1048576)),ROW($A$2:$A$1048576))),CJ29)</f>
        <v/>
      </c>
      <c r="CL29" s="38">
        <f>sum(CJ29-CJ$106)/CJ$107</f>
        <v/>
      </c>
      <c r="CM29" s="9" t="n">
        <v>58.71</v>
      </c>
      <c r="CN29" s="9" t="n">
        <v>21.06</v>
      </c>
      <c r="CO29" s="9" t="n">
        <v>35.88</v>
      </c>
      <c r="CP29" s="9" t="n">
        <v>1.52</v>
      </c>
      <c r="CQ29" s="9" t="n">
        <v>1.58</v>
      </c>
      <c r="CR29" s="9" t="n">
        <v>11.71</v>
      </c>
      <c r="CS29" s="33">
        <f>PERCENTRANK(CR$2:INDEX($CR:$CR,LOOKUP(2,1/(ISNUMBER($A$2:$A$1048576)),ROW($A$2:$A$1048576))),CR29)</f>
        <v/>
      </c>
      <c r="CT29" s="39">
        <f>1-(CR29-CR$106)/CR$107</f>
        <v/>
      </c>
      <c r="CU29" s="9" t="n">
        <v>4.52</v>
      </c>
      <c r="CV29" s="33">
        <f>PERCENTRANK(CU$2:INDEX($CU:$CU,LOOKUP(2,1/(ISNUMBER($A$2:$A$1048576)),ROW($A$2:$A$1048576))),CU29)</f>
        <v/>
      </c>
      <c r="CW29" s="39">
        <f>1-(CU29-CU$106)/CU$107</f>
        <v/>
      </c>
      <c r="CX29" s="9" t="n">
        <v>38.57</v>
      </c>
      <c r="CY29" s="9" t="n">
        <v>60.03</v>
      </c>
      <c r="CZ29" s="9" t="n">
        <v>36.94</v>
      </c>
      <c r="DA29" s="9" t="n">
        <v>61.53</v>
      </c>
      <c r="DB29" s="9" t="n">
        <v>38.42</v>
      </c>
      <c r="DC29" s="9" t="n">
        <v>17.77</v>
      </c>
      <c r="DD29" s="9" t="n">
        <v>46.26</v>
      </c>
      <c r="DE29" s="9" t="n">
        <v>1.97</v>
      </c>
      <c r="DF29" s="9" t="n">
        <v>1.1</v>
      </c>
      <c r="DG29" s="9" t="n">
        <v>55.74</v>
      </c>
      <c r="DH29" s="9" t="n">
        <v>34.55</v>
      </c>
      <c r="DI29" s="33">
        <f>PERCENTRANK(DH$2:INDEX($DH:$DH,LOOKUP(2,1/(ISNUMBER($A$2:$A$1048576)),ROW($A$2:$A$1048576))),DH29)</f>
        <v/>
      </c>
      <c r="DJ29" s="39">
        <f>SUM(DH29-DH$106)/DH$107</f>
        <v/>
      </c>
      <c r="DK29" s="9" t="n">
        <v>12.03</v>
      </c>
      <c r="DL29" s="9" t="n">
        <v>12.81</v>
      </c>
      <c r="DM29" s="9" t="n">
        <v>2.55</v>
      </c>
      <c r="DN29" s="9" t="n">
        <v>0.16</v>
      </c>
      <c r="DO29" s="9" t="n">
        <v>154.23</v>
      </c>
      <c r="DP29" s="9" t="n">
        <v>112.87</v>
      </c>
      <c r="DQ29" s="33">
        <f>PERCENTRANK(DP$2:INDEX($DP:$DP,LOOKUP(2,1/(ISNUMBER($A$2:$A$1048576)),ROW($A$2:$A$1048576))),DP29)</f>
        <v/>
      </c>
      <c r="DR29" s="40">
        <f>sum(DP29-DP$106)/DP$107</f>
        <v/>
      </c>
      <c r="DS29" s="9" t="n">
        <v>73.19</v>
      </c>
      <c r="DT29" s="9" t="n">
        <v>69.39</v>
      </c>
      <c r="DU29" s="9" t="n">
        <v>65.31999999999999</v>
      </c>
      <c r="DV29" s="9" t="n">
        <v>94.14</v>
      </c>
      <c r="DW29" s="9" t="n">
        <v>158.68</v>
      </c>
      <c r="DX29" s="9" t="n">
        <v>141.81</v>
      </c>
      <c r="DY29" s="9" t="n">
        <v>89.37</v>
      </c>
      <c r="DZ29" s="9" t="n">
        <v>48.61</v>
      </c>
      <c r="EA29" s="9" t="n">
        <v>26.55</v>
      </c>
      <c r="EB29" s="9" t="n">
        <v>54.61</v>
      </c>
      <c r="EC29" s="9" t="n">
        <v>59.1</v>
      </c>
      <c r="ED29" s="9" t="n">
        <v>40.52</v>
      </c>
      <c r="EE29" s="33">
        <f>PERCENTRANK(ED$2:INDEX($ED:$ED,LOOKUP(2,1/(ISNUMBER($A$2:$A$1048576)),ROW($A$2:$A$1048576))),ED29)</f>
        <v/>
      </c>
      <c r="EF29" s="40">
        <f>sum(ED29-ED$106)/ED$107</f>
        <v/>
      </c>
      <c r="EG29" s="9" t="n">
        <v>68.56</v>
      </c>
      <c r="EH29" s="9" t="n">
        <v>78.70999999999999</v>
      </c>
      <c r="EI29" s="9" t="n">
        <v>56.97</v>
      </c>
      <c r="EJ29" s="33">
        <f>PERCENTRANK(EI$2:INDEX($EI:$EI,LOOKUP(2,1/(ISNUMBER($A$2:$A$1048576)),ROW($A$2:$A$1048576))),EI29)</f>
        <v/>
      </c>
      <c r="EK29" s="40">
        <f>sum(EI29-EI$106)/EI$107</f>
        <v/>
      </c>
      <c r="EL29" s="9" t="n">
        <v>72.38</v>
      </c>
      <c r="EM29" s="9" t="n">
        <v>0.9</v>
      </c>
      <c r="EN29" s="9" t="n">
        <v>0.35</v>
      </c>
      <c r="EO29" s="9" t="n">
        <v>39.29</v>
      </c>
      <c r="EP29" s="9" t="n">
        <v>18.68</v>
      </c>
      <c r="EQ29" s="9" t="n">
        <v>17.19</v>
      </c>
      <c r="ER29" s="9" t="n">
        <v>92.06</v>
      </c>
      <c r="ES29" s="9" t="n">
        <v>7.84</v>
      </c>
      <c r="ET29" s="9" t="n">
        <v>17.19</v>
      </c>
      <c r="EU29" s="9" t="n">
        <v>4.52</v>
      </c>
      <c r="EV29" s="9" t="n">
        <v>11.31</v>
      </c>
      <c r="EW29" s="9" t="n">
        <v>18.43</v>
      </c>
      <c r="EX29" s="33">
        <f>PERCENTRANK(EW$2:INDEX($EW:$EW,LOOKUP(2,1/(ISNUMBER($A$2:$A$1048576)),ROW($A$2:$A$1048576))),EW29)</f>
        <v/>
      </c>
      <c r="EY29" s="38">
        <f>1-(EW29-EW$106)/EW$107</f>
        <v/>
      </c>
      <c r="EZ29" s="9" t="n">
        <v>19.48</v>
      </c>
      <c r="FA29" s="9" t="n">
        <v>10.28</v>
      </c>
      <c r="FB29" s="33">
        <f>PERCENTRANK(FA$2:INDEX($FA:$FA,LOOKUP(2,1/(ISNUMBER($A$2:$A$1048576)),ROW($A$2:$A$1048576))),FA29)</f>
        <v/>
      </c>
      <c r="FC29" s="39">
        <f>1-(FA29-FA$106)/FA$107</f>
        <v/>
      </c>
      <c r="FD29" s="9" t="n">
        <v>1.58</v>
      </c>
      <c r="FE29" s="9" t="n">
        <v>1.61</v>
      </c>
      <c r="FF29" s="33">
        <f>PERCENTRANK(FE$2:INDEX($FE:$FE,LOOKUP(2,1/(ISNUMBER($A$2:$A$1048576)),ROW($A$2:$A$1048576))),FE29)</f>
        <v/>
      </c>
      <c r="FG29" s="39">
        <f>1-(FE29-FE$106)/FE$107</f>
        <v/>
      </c>
      <c r="FH29" s="9" t="n">
        <v>11.71</v>
      </c>
      <c r="FI29" s="9" t="n">
        <v>4.29</v>
      </c>
      <c r="FJ29" s="9" t="n">
        <v>36.64</v>
      </c>
      <c r="FK29" s="9" t="n">
        <v>368.06</v>
      </c>
      <c r="FL29" s="33">
        <f>PERCENTRANK(FK$2:INDEX($FK:$FK,LOOKUP(2,1/(ISNUMBER($A$2:$A$1048576)),ROW($A$2:$A$1048576))),FK29)</f>
        <v/>
      </c>
      <c r="FM29" s="39">
        <f>SWA28-(FK29-FK$106)/FK$107</f>
        <v/>
      </c>
      <c r="FN29" s="9" t="n">
        <v>300.55</v>
      </c>
      <c r="FO29" s="9" t="n">
        <v>81.66</v>
      </c>
      <c r="FP29" s="9" t="n">
        <v>47.1</v>
      </c>
      <c r="FQ29" s="9" t="n">
        <v>102.35</v>
      </c>
      <c r="FR29" s="9" t="n">
        <v>22.13</v>
      </c>
      <c r="FS29" s="9" t="n">
        <v>34.74</v>
      </c>
      <c r="FT29" s="9" t="n">
        <v>45.48</v>
      </c>
      <c r="FU29" s="9" t="n">
        <v>73.65000000000001</v>
      </c>
      <c r="FV29" s="9" t="n">
        <v>35.48</v>
      </c>
      <c r="FW29" s="9" t="n">
        <v>26.87</v>
      </c>
      <c r="FX29" s="9" t="n">
        <v>11.29</v>
      </c>
      <c r="FY29" s="9" t="n">
        <v>181.23</v>
      </c>
      <c r="FZ29" s="9" t="n">
        <v>87.34999999999999</v>
      </c>
      <c r="GA29" s="9" t="n">
        <v>48.2</v>
      </c>
      <c r="GB29" s="9" t="n">
        <v>4.26</v>
      </c>
      <c r="GC29" s="9" t="n">
        <v>1.23</v>
      </c>
      <c r="GD29" s="9" t="n">
        <v>28.79</v>
      </c>
      <c r="GE29" s="9" t="n">
        <v>24.84</v>
      </c>
      <c r="GF29" s="9" t="n">
        <v>7.32</v>
      </c>
      <c r="GG29" s="9" t="n">
        <v>29.48</v>
      </c>
      <c r="GH29" s="9" t="n">
        <v>1.13</v>
      </c>
      <c r="GI29" s="9" t="n">
        <v>0.68</v>
      </c>
      <c r="GJ29" s="9" t="n">
        <v>60</v>
      </c>
      <c r="GK29" s="9" t="n">
        <v>24.68</v>
      </c>
      <c r="GL29" s="9" t="n">
        <v>2.9</v>
      </c>
      <c r="GM29" s="9" t="n">
        <v>11.76</v>
      </c>
      <c r="GN29" s="9" t="n">
        <v>3.68</v>
      </c>
      <c r="GO29" s="9" t="n">
        <v>0.87</v>
      </c>
      <c r="GP29" s="9" t="n">
        <v>23.68</v>
      </c>
      <c r="GQ29" s="9" t="n">
        <v>2.42</v>
      </c>
      <c r="GR29" s="9" t="n">
        <v>0.71</v>
      </c>
      <c r="GS29" s="9" t="n">
        <v>29.33</v>
      </c>
      <c r="GT29" s="9" t="n">
        <v>0.26</v>
      </c>
      <c r="GU29" s="9" t="n">
        <v>0.16</v>
      </c>
      <c r="GV29" s="9" t="n">
        <v>62.5</v>
      </c>
      <c r="GW29" s="9" t="n">
        <v>14.52</v>
      </c>
      <c r="GX29" s="9" t="n">
        <v>4.97</v>
      </c>
      <c r="GY29" s="9" t="n">
        <v>34.22</v>
      </c>
      <c r="GZ29" s="9" t="n">
        <v>4.94</v>
      </c>
      <c r="HA29" s="9" t="n">
        <v>6.19</v>
      </c>
      <c r="HB29" s="9" t="n">
        <v>22.94</v>
      </c>
      <c r="HC29" s="9" t="n">
        <v>3.81</v>
      </c>
      <c r="HD29" s="9" t="n">
        <v>9.130000000000001</v>
      </c>
      <c r="HE29" s="9" t="n">
        <v>17.06</v>
      </c>
      <c r="HF29" s="9" t="n">
        <v>60.03</v>
      </c>
      <c r="HG29" s="9" t="n">
        <v>23.1</v>
      </c>
      <c r="HH29" s="9" t="n">
        <v>38.47</v>
      </c>
      <c r="HI29" s="9" t="n">
        <v>1.35</v>
      </c>
      <c r="HJ29" s="9" t="n">
        <v>1.45</v>
      </c>
      <c r="HK29" s="9" t="n">
        <v>12.42</v>
      </c>
      <c r="HL29" s="9" t="n">
        <v>4.94</v>
      </c>
      <c r="HM29" s="9" t="n">
        <v>39.74</v>
      </c>
      <c r="HN29" s="9" t="n">
        <v>58.71</v>
      </c>
      <c r="HO29" s="9" t="n">
        <v>37.65</v>
      </c>
      <c r="HP29" s="9" t="n">
        <v>64.12</v>
      </c>
      <c r="HQ29" s="9" t="n">
        <v>38.42</v>
      </c>
      <c r="HR29" s="9" t="n">
        <v>17.32</v>
      </c>
      <c r="HS29" s="9" t="n">
        <v>45.09</v>
      </c>
      <c r="HT29" s="9" t="n">
        <v>2.23</v>
      </c>
      <c r="HU29" s="9" t="n">
        <v>1.06</v>
      </c>
      <c r="HV29" s="9" t="n">
        <v>47.83</v>
      </c>
      <c r="HW29" s="9" t="n">
        <v>39.65</v>
      </c>
      <c r="HX29" s="9" t="n">
        <v>13.68</v>
      </c>
      <c r="HY29" s="9" t="n">
        <v>13.97</v>
      </c>
      <c r="HZ29" s="9" t="n">
        <v>3</v>
      </c>
      <c r="IA29" s="9" t="n">
        <v>0.23</v>
      </c>
      <c r="IB29" s="9" t="n">
        <v>127.29</v>
      </c>
      <c r="IC29" s="9" t="n">
        <v>89.65000000000001</v>
      </c>
      <c r="ID29" s="9" t="n">
        <v>70.43000000000001</v>
      </c>
      <c r="IE29" s="9" t="n">
        <v>58.1</v>
      </c>
      <c r="IF29" s="9" t="n">
        <v>54.1</v>
      </c>
      <c r="IG29" s="9" t="n">
        <v>93.11</v>
      </c>
      <c r="IH29" s="9" t="n">
        <v>135.35</v>
      </c>
      <c r="II29" s="9" t="n">
        <v>119.48</v>
      </c>
      <c r="IJ29" s="9" t="n">
        <v>88.27</v>
      </c>
      <c r="IK29" s="9" t="n">
        <v>47.81</v>
      </c>
      <c r="IL29" s="9" t="n">
        <v>25.84</v>
      </c>
      <c r="IM29" s="9" t="n">
        <v>54.05</v>
      </c>
      <c r="IN29" s="9" t="n">
        <v>47.19</v>
      </c>
      <c r="IO29" s="9" t="n">
        <v>31.48</v>
      </c>
      <c r="IP29" s="9" t="n">
        <v>66.70999999999999</v>
      </c>
      <c r="IQ29" s="9" t="n">
        <v>68.58</v>
      </c>
      <c r="IR29" s="9" t="n">
        <v>46.81</v>
      </c>
      <c r="IS29" s="9" t="n">
        <v>68.25</v>
      </c>
      <c r="IT29" s="33">
        <f>PERCENTRANK(IS$2:INDEX($IS:$IS,LOOKUP(2,1/(ISNUMBER($A$2:$A$1048576)),ROW($A$2:$A$1048576))),IS29)</f>
        <v/>
      </c>
      <c r="IU29" s="39">
        <f>1-(IS29-IS$106)/IS$107</f>
        <v/>
      </c>
      <c r="IV29" s="9" t="n">
        <v>0.19</v>
      </c>
      <c r="IW29" s="9" t="n">
        <v>0.06</v>
      </c>
      <c r="IX29" s="9" t="n">
        <v>33.33</v>
      </c>
      <c r="IY29" s="9" t="n">
        <v>18.13</v>
      </c>
      <c r="IZ29" s="9" t="n">
        <v>15.48</v>
      </c>
      <c r="JA29" s="9" t="n">
        <v>85.41</v>
      </c>
      <c r="JB29" s="9" t="n">
        <v>7.94</v>
      </c>
      <c r="JC29" s="9" t="n">
        <v>15.73</v>
      </c>
      <c r="JD29" s="9" t="n">
        <v>3.84</v>
      </c>
      <c r="JE29" s="9" t="n">
        <v>13.93</v>
      </c>
      <c r="JF29" s="9" t="n">
        <v>17.32</v>
      </c>
      <c r="JG29" s="9" t="n">
        <v>20.72</v>
      </c>
      <c r="JH29" s="9" t="n">
        <v>11.94</v>
      </c>
    </row>
    <row r="30">
      <c r="A30" s="12" t="n">
        <v>2023</v>
      </c>
      <c r="B30" s="31" t="inlineStr">
        <is>
          <t>Oakland Roots</t>
        </is>
      </c>
      <c r="C30" s="12" t="n">
        <v>42</v>
      </c>
      <c r="D30" s="5">
        <f>(C30-AVERAGE($C$2:INDEX($C:$C,LOOKUP(2,1/(ISNUMBER($A$2:$A$1048576)),ROW($A$2:$A$1048576)))))/_xlfn.STDEV.P($C$2:INDEX($C:$C,LOOKUP(2,1/(ISNUMBER($A$2:$A$1048576)),ROW($A$2:$A$1048576))))</f>
        <v/>
      </c>
      <c r="E30" s="12" t="n">
        <v>10</v>
      </c>
      <c r="F30" s="6">
        <f>-E30</f>
        <v/>
      </c>
      <c r="G30" s="7">
        <f>(F30-AVERAGE($F$2:INDEX($F:$F,LOOKUP(2,1/(ISNUMBER($A$2:$A$1048576)),ROW($A$2:$A$1048576)))))/_xlfn.STDEV.P($F$2:INDEX($F:$F,LOOKUP(2,1/(ISNUMBER($A$2:$A$1048576)),ROW($A$2:$A$1048576))))</f>
        <v/>
      </c>
      <c r="H30" s="32">
        <f>sum(0.5*D30)+(0.5*G30)</f>
        <v/>
      </c>
      <c r="I30" s="12" t="inlineStr">
        <is>
          <t>West</t>
        </is>
      </c>
      <c r="J30" s="10">
        <f>sum(L30*L$105)+(N30*N$105)+(P30*P$105)+(T30*R$105)</f>
        <v/>
      </c>
      <c r="K30" s="33">
        <f>PERCENTRANK(J$2:INDEX($J:$J,LOOKUP(2,1/(ISNUMBER($A$2:$A$1048576)),ROW($A$2:$A$1048576))),J30)</f>
        <v/>
      </c>
      <c r="L30" s="10">
        <f>sum(AA30*0.66)+(AD30*0.55)+(AG30*0.59)+(CG30*0.51)+(CL30*0.6)+(EY30*0.31)</f>
        <v/>
      </c>
      <c r="M30" s="33">
        <f>PERCENTRANK(L$2:INDEX($L:$L,LOOKUP(2,1/(ISNUMBER($A$2:$A$1048576)),ROW($A$2:$A$1048576))),L30)</f>
        <v/>
      </c>
      <c r="N30" s="10">
        <f>sum(CT30*0.57)+(CW30*0.71)+(DJ30*0.08)+(FC30*0.33)+(FG30*0.69)+(FM30*0.26)+(IU30*0.54)+(AU30*0.4)</f>
        <v/>
      </c>
      <c r="O30" s="33">
        <f>PERCENTRANK(N$2:INDEX($N:$N,LOOKUP(2,1/(ISNUMBER($A$2:$A$1048576)),ROW($A$2:$A$1048576))),N30)</f>
        <v/>
      </c>
      <c r="P30" s="10">
        <f>sum(BG30*0.51)+(CD30*0.51)+(DR30*0.11)+(EF30*0.42)+(EK30*0.44)+(W30*0.6)</f>
        <v/>
      </c>
      <c r="Q30" s="33">
        <f>PERCENTRANK(P$2:INDEX($P:$P,LOOKUP(2,1/(ISNUMBER($A$2:$A$1048576)),ROW($A$2:$A$1048576))),P30)</f>
        <v/>
      </c>
      <c r="R30" s="10">
        <f>sum(Y30-FE30)</f>
        <v/>
      </c>
      <c r="S30" s="33">
        <f>PERCENTRANK(R$2:INDEX($R:$R,LOOKUP(2,1/(ISNUMBER($A$2:$A$1048576)),ROW($A$2:$A$1048576))),R30)</f>
        <v/>
      </c>
      <c r="T30" s="34">
        <f>sum(R30-R$106)/R$107</f>
        <v/>
      </c>
      <c r="U30" s="35">
        <f>sum(Y30/AI30)*100</f>
        <v/>
      </c>
      <c r="V30" s="33">
        <f>PERCENTRANK(U$2:INDEX($U:$U,LOOKUP(2,1/(ISNUMBER($A$2:$A$1048576)),ROW($A$2:$A$1048576))),U30)</f>
        <v/>
      </c>
      <c r="W30" s="36">
        <f>sum(U30-U$106)/U$107</f>
        <v/>
      </c>
      <c r="X30" s="9" t="n">
        <v>1.32</v>
      </c>
      <c r="Y30" s="9" t="n">
        <v>1.44</v>
      </c>
      <c r="Z30" s="33">
        <f>PERCENTRANK(Y$2:INDEX($Y:$Y,LOOKUP(2,1/(ISNUMBER($A$2:$A$1048576)),ROW($A$2:$A$1048576))),Y30)</f>
        <v/>
      </c>
      <c r="AA30" s="37">
        <f>sum(Y30-Y$106)/Y$107</f>
        <v/>
      </c>
      <c r="AB30" s="9" t="n">
        <v>11.12</v>
      </c>
      <c r="AC30" s="33">
        <f>PERCENTRANK(AB$2:INDEX($AB:$AB,LOOKUP(2,1/(ISNUMBER($A$2:$A$1048576)),ROW($A$2:$A$1048576))),AB30)</f>
        <v/>
      </c>
      <c r="AD30" s="38">
        <f>sum(AB30-AB$106)/AB$107</f>
        <v/>
      </c>
      <c r="AE30" s="9" t="n">
        <v>4.21</v>
      </c>
      <c r="AF30" s="33">
        <f>PERCENTRANK(AE$2:INDEX($AE:$AE,LOOKUP(2,1/(ISNUMBER($A$2:$A$1048576)),ROW($A$2:$A$1048576))),AE30)</f>
        <v/>
      </c>
      <c r="AG30" s="38">
        <f>sum(AE30-AE$106)/AE$107</f>
        <v/>
      </c>
      <c r="AH30" s="9" t="n">
        <v>37.83</v>
      </c>
      <c r="AI30" s="9" t="n">
        <v>434.82</v>
      </c>
      <c r="AJ30" s="9" t="n">
        <v>362</v>
      </c>
      <c r="AK30" s="9" t="n">
        <v>83.25</v>
      </c>
      <c r="AL30" s="9" t="n">
        <v>51.64</v>
      </c>
      <c r="AM30" s="9" t="n">
        <v>104.15</v>
      </c>
      <c r="AN30" s="9" t="n">
        <v>17.44</v>
      </c>
      <c r="AO30" s="9" t="n">
        <v>37.38</v>
      </c>
      <c r="AP30" s="9" t="n">
        <v>49.32</v>
      </c>
      <c r="AQ30" s="9" t="n">
        <v>81.91</v>
      </c>
      <c r="AR30" s="9" t="n">
        <v>36.44</v>
      </c>
      <c r="AS30" s="9" t="n">
        <v>32.97</v>
      </c>
      <c r="AT30" s="33">
        <f>PERCENTRANK(AS$2:INDEX($AS:$AS,LOOKUP(2,1/(ISNUMBER($A$2:$A$1048576)),ROW($A$2:$A$1048576))),AS30)</f>
        <v/>
      </c>
      <c r="AU30" s="39">
        <f>SUM(AS30-AS$106)/AS$107</f>
        <v/>
      </c>
      <c r="AV30" s="9" t="n">
        <v>12.5</v>
      </c>
      <c r="AW30" s="33">
        <f>PERCENTRANK(AV$2:INDEX($AV:$AV,LOOKUP(2,1/(ISNUMBER($A$2:$A$1048576)),ROW($A$2:$A$1048576))),AV30)</f>
        <v/>
      </c>
      <c r="AX30" s="9" t="n">
        <v>190.59</v>
      </c>
      <c r="AY30" s="9" t="n">
        <v>88.44</v>
      </c>
      <c r="AZ30" s="9" t="n">
        <v>46.4</v>
      </c>
      <c r="BA30" s="9" t="n">
        <v>4.62</v>
      </c>
      <c r="BB30" s="9" t="n">
        <v>1.32</v>
      </c>
      <c r="BC30" s="9" t="n">
        <v>28.66</v>
      </c>
      <c r="BD30" s="9" t="n">
        <v>28.24</v>
      </c>
      <c r="BE30" s="9" t="n">
        <v>6.32</v>
      </c>
      <c r="BF30" s="33">
        <f>PERCENTRANK(BE$2:INDEX($BE:$BE,LOOKUP(2,1/(ISNUMBER($A$2:$A$1048576)),ROW($A$2:$A$1048576))),BE30)</f>
        <v/>
      </c>
      <c r="BG30" s="40">
        <f>sum(BE30-BE$106)/BE$107</f>
        <v/>
      </c>
      <c r="BH30" s="9" t="n">
        <v>22.4</v>
      </c>
      <c r="BI30" s="9" t="n">
        <v>1.32</v>
      </c>
      <c r="BJ30" s="9" t="n">
        <v>0.38</v>
      </c>
      <c r="BK30" s="9" t="n">
        <v>28.89</v>
      </c>
      <c r="BL30" s="9" t="n">
        <v>27.38</v>
      </c>
      <c r="BM30" s="9" t="n">
        <v>3.88</v>
      </c>
      <c r="BN30" s="9" t="n">
        <v>14.18</v>
      </c>
      <c r="BO30" s="9" t="n">
        <v>4.94</v>
      </c>
      <c r="BP30" s="9" t="n">
        <v>1.53</v>
      </c>
      <c r="BQ30" s="9" t="n">
        <v>30.95</v>
      </c>
      <c r="BR30" s="9" t="n">
        <v>2.56</v>
      </c>
      <c r="BS30" s="9" t="n">
        <v>0.65</v>
      </c>
      <c r="BT30" s="9" t="n">
        <v>25.29</v>
      </c>
      <c r="BU30" s="9" t="n">
        <v>0.21</v>
      </c>
      <c r="BV30" s="9" t="n">
        <v>0.15</v>
      </c>
      <c r="BW30" s="9" t="n">
        <v>71.43000000000001</v>
      </c>
      <c r="BX30" s="9" t="n">
        <v>12.62</v>
      </c>
      <c r="BY30" s="9" t="n">
        <v>4.35</v>
      </c>
      <c r="BZ30" s="9" t="n">
        <v>34.5</v>
      </c>
      <c r="CA30" s="9" t="n">
        <v>4.24</v>
      </c>
      <c r="CB30" s="9" t="n">
        <v>7.56</v>
      </c>
      <c r="CC30" s="33">
        <f>PERCENTRANK(CD$2:INDEX($CD:$CD,LOOKUP(2,1/(ISNUMBER($A$2:$A$1048576)),ROW($A$2:$A$1048576))),CD30)</f>
        <v/>
      </c>
      <c r="CD30" s="40">
        <f>sum(CB30-CB$106)/CB$107</f>
        <v/>
      </c>
      <c r="CE30" s="9" t="n">
        <v>22.82</v>
      </c>
      <c r="CF30" s="33">
        <f>PERCENTRANK(CE$2:INDEX($CE:$CE,LOOKUP(2,1/(ISNUMBER($A$2:$A$1048576)),ROW($A$2:$A$1048576))),CE30)</f>
        <v/>
      </c>
      <c r="CG30" s="38">
        <f>sum(CE30-CE$106)/CE$107</f>
        <v/>
      </c>
      <c r="CH30" s="9" t="n">
        <v>3.15</v>
      </c>
      <c r="CI30" s="9" t="n">
        <v>7.29</v>
      </c>
      <c r="CJ30" s="9" t="n">
        <v>15.82</v>
      </c>
      <c r="CK30" s="33">
        <f>PERCENTRANK(CJ$2:INDEX($CJ:$CJ,LOOKUP(2,1/(ISNUMBER($A$2:$A$1048576)),ROW($A$2:$A$1048576))),CJ30)</f>
        <v/>
      </c>
      <c r="CL30" s="38">
        <f>sum(CJ30-CJ$106)/CJ$107</f>
        <v/>
      </c>
      <c r="CM30" s="9" t="n">
        <v>65.88</v>
      </c>
      <c r="CN30" s="9" t="n">
        <v>25.62</v>
      </c>
      <c r="CO30" s="9" t="n">
        <v>38.88</v>
      </c>
      <c r="CP30" s="9" t="n">
        <v>1.79</v>
      </c>
      <c r="CQ30" s="9" t="n">
        <v>1.41</v>
      </c>
      <c r="CR30" s="9" t="n">
        <v>10.56</v>
      </c>
      <c r="CS30" s="33">
        <f>PERCENTRANK(CR$2:INDEX($CR:$CR,LOOKUP(2,1/(ISNUMBER($A$2:$A$1048576)),ROW($A$2:$A$1048576))),CR30)</f>
        <v/>
      </c>
      <c r="CT30" s="39">
        <f>1-(CR30-CR$106)/CR$107</f>
        <v/>
      </c>
      <c r="CU30" s="9" t="n">
        <v>4.85</v>
      </c>
      <c r="CV30" s="33">
        <f>PERCENTRANK(CU$2:INDEX($CU:$CU,LOOKUP(2,1/(ISNUMBER($A$2:$A$1048576)),ROW($A$2:$A$1048576))),CU30)</f>
        <v/>
      </c>
      <c r="CW30" s="39">
        <f>1-(CU30-CU$106)/CU$107</f>
        <v/>
      </c>
      <c r="CX30" s="9" t="n">
        <v>45.96</v>
      </c>
      <c r="CY30" s="9" t="n">
        <v>62.24</v>
      </c>
      <c r="CZ30" s="9" t="n">
        <v>35.76</v>
      </c>
      <c r="DA30" s="9" t="n">
        <v>57.47</v>
      </c>
      <c r="DB30" s="9" t="n">
        <v>32.56</v>
      </c>
      <c r="DC30" s="9" t="n">
        <v>14</v>
      </c>
      <c r="DD30" s="9" t="n">
        <v>43</v>
      </c>
      <c r="DE30" s="9" t="n">
        <v>2.65</v>
      </c>
      <c r="DF30" s="9" t="n">
        <v>1</v>
      </c>
      <c r="DG30" s="9" t="n">
        <v>37.78</v>
      </c>
      <c r="DH30" s="9" t="n">
        <v>38.97</v>
      </c>
      <c r="DI30" s="33">
        <f>PERCENTRANK(DH$2:INDEX($DH:$DH,LOOKUP(2,1/(ISNUMBER($A$2:$A$1048576)),ROW($A$2:$A$1048576))),DH30)</f>
        <v/>
      </c>
      <c r="DJ30" s="39">
        <f>SUM(DH30-DH$106)/DH$107</f>
        <v/>
      </c>
      <c r="DK30" s="9" t="n">
        <v>14.38</v>
      </c>
      <c r="DL30" s="9" t="n">
        <v>12.41</v>
      </c>
      <c r="DM30" s="9" t="n">
        <v>2.74</v>
      </c>
      <c r="DN30" s="9" t="n">
        <v>0.15</v>
      </c>
      <c r="DO30" s="9" t="n">
        <v>140.68</v>
      </c>
      <c r="DP30" s="9" t="n">
        <v>101.26</v>
      </c>
      <c r="DQ30" s="33">
        <f>PERCENTRANK(DP$2:INDEX($DP:$DP,LOOKUP(2,1/(ISNUMBER($A$2:$A$1048576)),ROW($A$2:$A$1048576))),DP30)</f>
        <v/>
      </c>
      <c r="DR30" s="40">
        <f>sum(DP30-DP$106)/DP$107</f>
        <v/>
      </c>
      <c r="DS30" s="9" t="n">
        <v>71.98</v>
      </c>
      <c r="DT30" s="9" t="n">
        <v>67.15000000000001</v>
      </c>
      <c r="DU30" s="9" t="n">
        <v>62.53</v>
      </c>
      <c r="DV30" s="9" t="n">
        <v>93.12</v>
      </c>
      <c r="DW30" s="9" t="n">
        <v>167.03</v>
      </c>
      <c r="DX30" s="9" t="n">
        <v>148.76</v>
      </c>
      <c r="DY30" s="9" t="n">
        <v>89.06</v>
      </c>
      <c r="DZ30" s="9" t="n">
        <v>46.47</v>
      </c>
      <c r="EA30" s="9" t="n">
        <v>23.85</v>
      </c>
      <c r="EB30" s="9" t="n">
        <v>51.33</v>
      </c>
      <c r="EC30" s="9" t="n">
        <v>54.82</v>
      </c>
      <c r="ED30" s="9" t="n">
        <v>36.15</v>
      </c>
      <c r="EE30" s="33">
        <f>PERCENTRANK(ED$2:INDEX($ED:$ED,LOOKUP(2,1/(ISNUMBER($A$2:$A$1048576)),ROW($A$2:$A$1048576))),ED30)</f>
        <v/>
      </c>
      <c r="EF30" s="40">
        <f>sum(ED30-ED$106)/ED$107</f>
        <v/>
      </c>
      <c r="EG30" s="9" t="n">
        <v>65.93000000000001</v>
      </c>
      <c r="EH30" s="9" t="n">
        <v>72.81999999999999</v>
      </c>
      <c r="EI30" s="9" t="n">
        <v>53.26</v>
      </c>
      <c r="EJ30" s="33">
        <f>PERCENTRANK(EI$2:INDEX($EI:$EI,LOOKUP(2,1/(ISNUMBER($A$2:$A$1048576)),ROW($A$2:$A$1048576))),EI30)</f>
        <v/>
      </c>
      <c r="EK30" s="40">
        <f>sum(EI30-EI$106)/EI$107</f>
        <v/>
      </c>
      <c r="EL30" s="9" t="n">
        <v>73.14</v>
      </c>
      <c r="EM30" s="9" t="n">
        <v>3.74</v>
      </c>
      <c r="EN30" s="9" t="n">
        <v>1.09</v>
      </c>
      <c r="EO30" s="9" t="n">
        <v>29.13</v>
      </c>
      <c r="EP30" s="9" t="n">
        <v>20.44</v>
      </c>
      <c r="EQ30" s="9" t="n">
        <v>18.79</v>
      </c>
      <c r="ER30" s="9" t="n">
        <v>91.94</v>
      </c>
      <c r="ES30" s="9" t="n">
        <v>7.32</v>
      </c>
      <c r="ET30" s="9" t="n">
        <v>16.36</v>
      </c>
      <c r="EU30" s="9" t="n">
        <v>4.09</v>
      </c>
      <c r="EV30" s="9" t="n">
        <v>11.24</v>
      </c>
      <c r="EW30" s="9" t="n">
        <v>18.5</v>
      </c>
      <c r="EX30" s="33">
        <f>PERCENTRANK(EW$2:INDEX($EW:$EW,LOOKUP(2,1/(ISNUMBER($A$2:$A$1048576)),ROW($A$2:$A$1048576))),EW30)</f>
        <v/>
      </c>
      <c r="EY30" s="38">
        <f>1-(EW30-EW$106)/EW$107</f>
        <v/>
      </c>
      <c r="EZ30" s="9" t="n">
        <v>20.11</v>
      </c>
      <c r="FA30" s="9" t="n">
        <v>11.28</v>
      </c>
      <c r="FB30" s="33">
        <f>PERCENTRANK(FA$2:INDEX($FA:$FA,LOOKUP(2,1/(ISNUMBER($A$2:$A$1048576)),ROW($A$2:$A$1048576))),FA30)</f>
        <v/>
      </c>
      <c r="FC30" s="39">
        <f>1-(FA30-FA$106)/FA$107</f>
        <v/>
      </c>
      <c r="FD30" s="9" t="n">
        <v>1.41</v>
      </c>
      <c r="FE30" s="9" t="n">
        <v>1.26</v>
      </c>
      <c r="FF30" s="33">
        <f>PERCENTRANK(FE$2:INDEX($FE:$FE,LOOKUP(2,1/(ISNUMBER($A$2:$A$1048576)),ROW($A$2:$A$1048576))),FE30)</f>
        <v/>
      </c>
      <c r="FG30" s="39">
        <f>1-(FE30-FE$106)/FE$107</f>
        <v/>
      </c>
      <c r="FH30" s="9" t="n">
        <v>10.56</v>
      </c>
      <c r="FI30" s="9" t="n">
        <v>4.71</v>
      </c>
      <c r="FJ30" s="9" t="n">
        <v>44.57</v>
      </c>
      <c r="FK30" s="9" t="n">
        <v>398.65</v>
      </c>
      <c r="FL30" s="33">
        <f>PERCENTRANK(FK$2:INDEX($FK:$FK,LOOKUP(2,1/(ISNUMBER($A$2:$A$1048576)),ROW($A$2:$A$1048576))),FK30)</f>
        <v/>
      </c>
      <c r="FM30" s="39">
        <f>SWA29-(FK30-FK$106)/FK$107</f>
        <v/>
      </c>
      <c r="FN30" s="9" t="n">
        <v>326.32</v>
      </c>
      <c r="FO30" s="9" t="n">
        <v>81.86</v>
      </c>
      <c r="FP30" s="9" t="n">
        <v>48.36</v>
      </c>
      <c r="FQ30" s="9" t="n">
        <v>104.32</v>
      </c>
      <c r="FR30" s="9" t="n">
        <v>20.21</v>
      </c>
      <c r="FS30" s="9" t="n">
        <v>37.32</v>
      </c>
      <c r="FT30" s="9" t="n">
        <v>46.79</v>
      </c>
      <c r="FU30" s="9" t="n">
        <v>82.23999999999999</v>
      </c>
      <c r="FV30" s="9" t="n">
        <v>38.62</v>
      </c>
      <c r="FW30" s="9" t="n">
        <v>32.62</v>
      </c>
      <c r="FX30" s="9" t="n">
        <v>11</v>
      </c>
      <c r="FY30" s="9" t="n">
        <v>190.59</v>
      </c>
      <c r="FZ30" s="9" t="n">
        <v>95.06</v>
      </c>
      <c r="GA30" s="9" t="n">
        <v>49.88</v>
      </c>
      <c r="GB30" s="9" t="n">
        <v>4.59</v>
      </c>
      <c r="GC30" s="9" t="n">
        <v>1.71</v>
      </c>
      <c r="GD30" s="9" t="n">
        <v>37.18</v>
      </c>
      <c r="GE30" s="9" t="n">
        <v>26</v>
      </c>
      <c r="GF30" s="9" t="n">
        <v>6.21</v>
      </c>
      <c r="GG30" s="9" t="n">
        <v>23.87</v>
      </c>
      <c r="GH30" s="9" t="n">
        <v>2.35</v>
      </c>
      <c r="GI30" s="9" t="n">
        <v>0.85</v>
      </c>
      <c r="GJ30" s="9" t="n">
        <v>36.25</v>
      </c>
      <c r="GK30" s="9" t="n">
        <v>23.68</v>
      </c>
      <c r="GL30" s="9" t="n">
        <v>2.88</v>
      </c>
      <c r="GM30" s="9" t="n">
        <v>12.17</v>
      </c>
      <c r="GN30" s="9" t="n">
        <v>3.85</v>
      </c>
      <c r="GO30" s="9" t="n">
        <v>1.03</v>
      </c>
      <c r="GP30" s="9" t="n">
        <v>26.72</v>
      </c>
      <c r="GQ30" s="9" t="n">
        <v>2.91</v>
      </c>
      <c r="GR30" s="9" t="n">
        <v>0.5</v>
      </c>
      <c r="GS30" s="9" t="n">
        <v>17.17</v>
      </c>
      <c r="GT30" s="9" t="n">
        <v>0.09</v>
      </c>
      <c r="GU30" s="9" t="n">
        <v>0.09</v>
      </c>
      <c r="GV30" s="9" t="n">
        <v>100</v>
      </c>
      <c r="GW30" s="9" t="n">
        <v>11.85</v>
      </c>
      <c r="GX30" s="9" t="n">
        <v>3.76</v>
      </c>
      <c r="GY30" s="9" t="n">
        <v>31.76</v>
      </c>
      <c r="GZ30" s="9" t="n">
        <v>3.65</v>
      </c>
      <c r="HA30" s="9" t="n">
        <v>6.21</v>
      </c>
      <c r="HB30" s="9" t="n">
        <v>21.59</v>
      </c>
      <c r="HC30" s="9" t="n">
        <v>4.06</v>
      </c>
      <c r="HD30" s="9" t="n">
        <v>7.21</v>
      </c>
      <c r="HE30" s="9" t="n">
        <v>15.06</v>
      </c>
      <c r="HF30" s="9" t="n">
        <v>62.24</v>
      </c>
      <c r="HG30" s="9" t="n">
        <v>26.47</v>
      </c>
      <c r="HH30" s="9" t="n">
        <v>42.53</v>
      </c>
      <c r="HI30" s="9" t="n">
        <v>1.85</v>
      </c>
      <c r="HJ30" s="9" t="n">
        <v>1.32</v>
      </c>
      <c r="HK30" s="9" t="n">
        <v>11.12</v>
      </c>
      <c r="HL30" s="9" t="n">
        <v>4.5</v>
      </c>
      <c r="HM30" s="9" t="n">
        <v>40.48</v>
      </c>
      <c r="HN30" s="9" t="n">
        <v>65.91</v>
      </c>
      <c r="HO30" s="9" t="n">
        <v>40.26</v>
      </c>
      <c r="HP30" s="9" t="n">
        <v>61.09</v>
      </c>
      <c r="HQ30" s="9" t="n">
        <v>32.53</v>
      </c>
      <c r="HR30" s="9" t="n">
        <v>15.85</v>
      </c>
      <c r="HS30" s="9" t="n">
        <v>48.73</v>
      </c>
      <c r="HT30" s="9" t="n">
        <v>3.68</v>
      </c>
      <c r="HU30" s="9" t="n">
        <v>1.68</v>
      </c>
      <c r="HV30" s="9" t="n">
        <v>45.6</v>
      </c>
      <c r="HW30" s="9" t="n">
        <v>41.35</v>
      </c>
      <c r="HX30" s="9" t="n">
        <v>15.53</v>
      </c>
      <c r="HY30" s="9" t="n">
        <v>14.38</v>
      </c>
      <c r="HZ30" s="9" t="n">
        <v>2.59</v>
      </c>
      <c r="IA30" s="9" t="n">
        <v>0.09</v>
      </c>
      <c r="IB30" s="9" t="n">
        <v>137.18</v>
      </c>
      <c r="IC30" s="9" t="n">
        <v>96.84999999999999</v>
      </c>
      <c r="ID30" s="9" t="n">
        <v>70.59999999999999</v>
      </c>
      <c r="IE30" s="9" t="n">
        <v>59.32</v>
      </c>
      <c r="IF30" s="9" t="n">
        <v>55.65</v>
      </c>
      <c r="IG30" s="9" t="n">
        <v>93.8</v>
      </c>
      <c r="IH30" s="9" t="n">
        <v>144.68</v>
      </c>
      <c r="II30" s="9" t="n">
        <v>127</v>
      </c>
      <c r="IJ30" s="9" t="n">
        <v>87.78</v>
      </c>
      <c r="IK30" s="9" t="n">
        <v>46.91</v>
      </c>
      <c r="IL30" s="9" t="n">
        <v>23.79</v>
      </c>
      <c r="IM30" s="9" t="n">
        <v>50.72</v>
      </c>
      <c r="IN30" s="9" t="n">
        <v>51.94</v>
      </c>
      <c r="IO30" s="9" t="n">
        <v>32.97</v>
      </c>
      <c r="IP30" s="9" t="n">
        <v>63.48</v>
      </c>
      <c r="IQ30" s="9" t="n">
        <v>69.29000000000001</v>
      </c>
      <c r="IR30" s="9" t="n">
        <v>48.79</v>
      </c>
      <c r="IS30" s="9" t="n">
        <v>70.42</v>
      </c>
      <c r="IT30" s="33">
        <f>PERCENTRANK(IS$2:INDEX($IS:$IS,LOOKUP(2,1/(ISNUMBER($A$2:$A$1048576)),ROW($A$2:$A$1048576))),IS30)</f>
        <v/>
      </c>
      <c r="IU30" s="39">
        <f>1-(IS30-IS$106)/IS$107</f>
        <v/>
      </c>
      <c r="IV30" s="9" t="n">
        <v>2.47</v>
      </c>
      <c r="IW30" s="9" t="n">
        <v>0.9399999999999999</v>
      </c>
      <c r="IX30" s="9" t="n">
        <v>38.1</v>
      </c>
      <c r="IY30" s="9" t="n">
        <v>18.06</v>
      </c>
      <c r="IZ30" s="9" t="n">
        <v>16</v>
      </c>
      <c r="JA30" s="9" t="n">
        <v>88.59999999999999</v>
      </c>
      <c r="JB30" s="9" t="n">
        <v>7.15</v>
      </c>
      <c r="JC30" s="9" t="n">
        <v>16.03</v>
      </c>
      <c r="JD30" s="9" t="n">
        <v>3.94</v>
      </c>
      <c r="JE30" s="9" t="n">
        <v>12.37</v>
      </c>
      <c r="JF30" s="9" t="n">
        <v>18.84</v>
      </c>
      <c r="JG30" s="9" t="n">
        <v>19.92</v>
      </c>
      <c r="JH30" s="9" t="n">
        <v>11.46</v>
      </c>
    </row>
    <row r="31">
      <c r="A31" s="12" t="n">
        <v>2023</v>
      </c>
      <c r="B31" s="31" t="inlineStr">
        <is>
          <t>Charleston Battery</t>
        </is>
      </c>
      <c r="C31" s="12" t="n">
        <v>59</v>
      </c>
      <c r="D31" s="5">
        <f>(C31-AVERAGE($C$2:INDEX($C:$C,LOOKUP(2,1/(ISNUMBER($A$2:$A$1048576)),ROW($A$2:$A$1048576)))))/_xlfn.STDEV.P($C$2:INDEX($C:$C,LOOKUP(2,1/(ISNUMBER($A$2:$A$1048576)),ROW($A$2:$A$1048576))))</f>
        <v/>
      </c>
      <c r="E31" s="12" t="n">
        <v>3</v>
      </c>
      <c r="F31" s="6">
        <f>-E31</f>
        <v/>
      </c>
      <c r="G31" s="7">
        <f>(F31-AVERAGE($F$2:INDEX($F:$F,LOOKUP(2,1/(ISNUMBER($A$2:$A$1048576)),ROW($A$2:$A$1048576)))))/_xlfn.STDEV.P($F$2:INDEX($F:$F,LOOKUP(2,1/(ISNUMBER($A$2:$A$1048576)),ROW($A$2:$A$1048576))))</f>
        <v/>
      </c>
      <c r="H31" s="32">
        <f>sum(0.5*D31)+(0.5*G31)</f>
        <v/>
      </c>
      <c r="I31" s="12" t="inlineStr">
        <is>
          <t>East</t>
        </is>
      </c>
      <c r="J31" s="10">
        <f>sum(L31*L$105)+(N31*N$105)+(P31*P$105)+(T31*R$105)</f>
        <v/>
      </c>
      <c r="K31" s="33">
        <f>PERCENTRANK(J$2:INDEX($J:$J,LOOKUP(2,1/(ISNUMBER($A$2:$A$1048576)),ROW($A$2:$A$1048576))),J31)</f>
        <v/>
      </c>
      <c r="L31" s="10">
        <f>sum(AA31*0.66)+(AD31*0.55)+(AG31*0.59)+(CG31*0.51)+(CL31*0.6)+(EY31*0.31)</f>
        <v/>
      </c>
      <c r="M31" s="33">
        <f>PERCENTRANK(L$2:INDEX($L:$L,LOOKUP(2,1/(ISNUMBER($A$2:$A$1048576)),ROW($A$2:$A$1048576))),L31)</f>
        <v/>
      </c>
      <c r="N31" s="10">
        <f>sum(CT31*0.57)+(CW31*0.71)+(DJ31*0.08)+(FC31*0.33)+(FG31*0.69)+(FM31*0.26)+(IU31*0.54)+(AU31*0.4)</f>
        <v/>
      </c>
      <c r="O31" s="33">
        <f>PERCENTRANK(N$2:INDEX($N:$N,LOOKUP(2,1/(ISNUMBER($A$2:$A$1048576)),ROW($A$2:$A$1048576))),N31)</f>
        <v/>
      </c>
      <c r="P31" s="10">
        <f>sum(BG31*0.51)+(CD31*0.51)+(DR31*0.11)+(EF31*0.42)+(EK31*0.44)+(W31*0.6)</f>
        <v/>
      </c>
      <c r="Q31" s="33">
        <f>PERCENTRANK(P$2:INDEX($P:$P,LOOKUP(2,1/(ISNUMBER($A$2:$A$1048576)),ROW($A$2:$A$1048576))),P31)</f>
        <v/>
      </c>
      <c r="R31" s="10">
        <f>sum(Y31-FE31)</f>
        <v/>
      </c>
      <c r="S31" s="33">
        <f>PERCENTRANK(R$2:INDEX($R:$R,LOOKUP(2,1/(ISNUMBER($A$2:$A$1048576)),ROW($A$2:$A$1048576))),R31)</f>
        <v/>
      </c>
      <c r="T31" s="34">
        <f>sum(R31-R$106)/R$107</f>
        <v/>
      </c>
      <c r="U31" s="35">
        <f>sum(Y31/AI31)*100</f>
        <v/>
      </c>
      <c r="V31" s="33">
        <f>PERCENTRANK(U$2:INDEX($U:$U,LOOKUP(2,1/(ISNUMBER($A$2:$A$1048576)),ROW($A$2:$A$1048576))),U31)</f>
        <v/>
      </c>
      <c r="W31" s="36">
        <f>sum(U31-U$106)/U$107</f>
        <v/>
      </c>
      <c r="X31" s="9" t="n">
        <v>1.5</v>
      </c>
      <c r="Y31" s="9" t="n">
        <v>1.44</v>
      </c>
      <c r="Z31" s="33">
        <f>PERCENTRANK(Y$2:INDEX($Y:$Y,LOOKUP(2,1/(ISNUMBER($A$2:$A$1048576)),ROW($A$2:$A$1048576))),Y31)</f>
        <v/>
      </c>
      <c r="AA31" s="37">
        <f>sum(Y31-Y$106)/Y$107</f>
        <v/>
      </c>
      <c r="AB31" s="9" t="n">
        <v>11.37</v>
      </c>
      <c r="AC31" s="33">
        <f>PERCENTRANK(AB$2:INDEX($AB:$AB,LOOKUP(2,1/(ISNUMBER($A$2:$A$1048576)),ROW($A$2:$A$1048576))),AB31)</f>
        <v/>
      </c>
      <c r="AD31" s="38">
        <f>sum(AB31-AB$106)/AB$107</f>
        <v/>
      </c>
      <c r="AE31" s="9" t="n">
        <v>3.68</v>
      </c>
      <c r="AF31" s="33">
        <f>PERCENTRANK(AE$2:INDEX($AE:$AE,LOOKUP(2,1/(ISNUMBER($A$2:$A$1048576)),ROW($A$2:$A$1048576))),AE31)</f>
        <v/>
      </c>
      <c r="AG31" s="38">
        <f>sum(AE31-AE$106)/AE$107</f>
        <v/>
      </c>
      <c r="AH31" s="9" t="n">
        <v>32.41</v>
      </c>
      <c r="AI31" s="9" t="n">
        <v>391.89</v>
      </c>
      <c r="AJ31" s="9" t="n">
        <v>321.63</v>
      </c>
      <c r="AK31" s="9" t="n">
        <v>82.06999999999999</v>
      </c>
      <c r="AL31" s="9" t="n">
        <v>51.79</v>
      </c>
      <c r="AM31" s="9" t="n">
        <v>103.47</v>
      </c>
      <c r="AN31" s="9" t="n">
        <v>18.74</v>
      </c>
      <c r="AO31" s="9" t="n">
        <v>36.97</v>
      </c>
      <c r="AP31" s="9" t="n">
        <v>47.76</v>
      </c>
      <c r="AQ31" s="9" t="n">
        <v>80.61</v>
      </c>
      <c r="AR31" s="9" t="n">
        <v>35.45</v>
      </c>
      <c r="AS31" s="9" t="n">
        <v>32.66</v>
      </c>
      <c r="AT31" s="33">
        <f>PERCENTRANK(AS$2:INDEX($AS:$AS,LOOKUP(2,1/(ISNUMBER($A$2:$A$1048576)),ROW($A$2:$A$1048576))),AS31)</f>
        <v/>
      </c>
      <c r="AU31" s="39">
        <f>SUM(AS31-AS$106)/AS$107</f>
        <v/>
      </c>
      <c r="AV31" s="9" t="n">
        <v>12.5</v>
      </c>
      <c r="AW31" s="33">
        <f>PERCENTRANK(AV$2:INDEX($AV:$AV,LOOKUP(2,1/(ISNUMBER($A$2:$A$1048576)),ROW($A$2:$A$1048576))),AV31)</f>
        <v/>
      </c>
      <c r="AX31" s="9" t="n">
        <v>210.68</v>
      </c>
      <c r="AY31" s="9" t="n">
        <v>98</v>
      </c>
      <c r="AZ31" s="9" t="n">
        <v>46.52</v>
      </c>
      <c r="BA31" s="9" t="n">
        <v>4.71</v>
      </c>
      <c r="BB31" s="9" t="n">
        <v>1.11</v>
      </c>
      <c r="BC31" s="9" t="n">
        <v>23.46</v>
      </c>
      <c r="BD31" s="9" t="n">
        <v>27.29</v>
      </c>
      <c r="BE31" s="9" t="n">
        <v>6.13</v>
      </c>
      <c r="BF31" s="33">
        <f>PERCENTRANK(BE$2:INDEX($BE:$BE,LOOKUP(2,1/(ISNUMBER($A$2:$A$1048576)),ROW($A$2:$A$1048576))),BE31)</f>
        <v/>
      </c>
      <c r="BG31" s="40">
        <f>sum(BE31-BE$106)/BE$107</f>
        <v/>
      </c>
      <c r="BH31" s="9" t="n">
        <v>22.47</v>
      </c>
      <c r="BI31" s="9" t="n">
        <v>1.84</v>
      </c>
      <c r="BJ31" s="9" t="n">
        <v>0.61</v>
      </c>
      <c r="BK31" s="9" t="n">
        <v>32.86</v>
      </c>
      <c r="BL31" s="9" t="n">
        <v>29</v>
      </c>
      <c r="BM31" s="9" t="n">
        <v>4</v>
      </c>
      <c r="BN31" s="9" t="n">
        <v>13.79</v>
      </c>
      <c r="BO31" s="9" t="n">
        <v>4.89</v>
      </c>
      <c r="BP31" s="9" t="n">
        <v>1.45</v>
      </c>
      <c r="BQ31" s="9" t="n">
        <v>29.57</v>
      </c>
      <c r="BR31" s="9" t="n">
        <v>3.05</v>
      </c>
      <c r="BS31" s="9" t="n">
        <v>1</v>
      </c>
      <c r="BT31" s="9" t="n">
        <v>32.76</v>
      </c>
      <c r="BU31" s="9" t="n">
        <v>0.13</v>
      </c>
      <c r="BV31" s="9" t="n">
        <v>0.11</v>
      </c>
      <c r="BW31" s="9" t="n">
        <v>80</v>
      </c>
      <c r="BX31" s="9" t="n">
        <v>13.63</v>
      </c>
      <c r="BY31" s="9" t="n">
        <v>4.39</v>
      </c>
      <c r="BZ31" s="9" t="n">
        <v>32.24</v>
      </c>
      <c r="CA31" s="9" t="n">
        <v>4</v>
      </c>
      <c r="CB31" s="9" t="n">
        <v>5.16</v>
      </c>
      <c r="CC31" s="33">
        <f>PERCENTRANK(CD$2:INDEX($CD:$CD,LOOKUP(2,1/(ISNUMBER($A$2:$A$1048576)),ROW($A$2:$A$1048576))),CD31)</f>
        <v/>
      </c>
      <c r="CD31" s="40">
        <f>sum(CB31-CB$106)/CB$107</f>
        <v/>
      </c>
      <c r="CE31" s="9" t="n">
        <v>19.76</v>
      </c>
      <c r="CF31" s="33">
        <f>PERCENTRANK(CE$2:INDEX($CE:$CE,LOOKUP(2,1/(ISNUMBER($A$2:$A$1048576)),ROW($A$2:$A$1048576))),CE31)</f>
        <v/>
      </c>
      <c r="CG31" s="38">
        <f>sum(CE31-CE$106)/CE$107</f>
        <v/>
      </c>
      <c r="CH31" s="9" t="n">
        <v>3.16</v>
      </c>
      <c r="CI31" s="9" t="n">
        <v>8.029999999999999</v>
      </c>
      <c r="CJ31" s="9" t="n">
        <v>14.79</v>
      </c>
      <c r="CK31" s="33">
        <f>PERCENTRANK(CJ$2:INDEX($CJ:$CJ,LOOKUP(2,1/(ISNUMBER($A$2:$A$1048576)),ROW($A$2:$A$1048576))),CJ31)</f>
        <v/>
      </c>
      <c r="CL31" s="38">
        <f>sum(CJ31-CJ$106)/CJ$107</f>
        <v/>
      </c>
      <c r="CM31" s="9" t="n">
        <v>75.26000000000001</v>
      </c>
      <c r="CN31" s="9" t="n">
        <v>29</v>
      </c>
      <c r="CO31" s="9" t="n">
        <v>38.53</v>
      </c>
      <c r="CP31" s="9" t="n">
        <v>1.79</v>
      </c>
      <c r="CQ31" s="9" t="n">
        <v>1.21</v>
      </c>
      <c r="CR31" s="9" t="n">
        <v>9.529999999999999</v>
      </c>
      <c r="CS31" s="33">
        <f>PERCENTRANK(CR$2:INDEX($CR:$CR,LOOKUP(2,1/(ISNUMBER($A$2:$A$1048576)),ROW($A$2:$A$1048576))),CR31)</f>
        <v/>
      </c>
      <c r="CT31" s="39">
        <f>1-(CR31-CR$106)/CR$107</f>
        <v/>
      </c>
      <c r="CU31" s="9" t="n">
        <v>3.63</v>
      </c>
      <c r="CV31" s="33">
        <f>PERCENTRANK(CU$2:INDEX($CU:$CU,LOOKUP(2,1/(ISNUMBER($A$2:$A$1048576)),ROW($A$2:$A$1048576))),CU31)</f>
        <v/>
      </c>
      <c r="CW31" s="39">
        <f>1-(CU31-CU$106)/CU$107</f>
        <v/>
      </c>
      <c r="CX31" s="9" t="n">
        <v>38.12</v>
      </c>
      <c r="CY31" s="9" t="n">
        <v>68.20999999999999</v>
      </c>
      <c r="CZ31" s="9" t="n">
        <v>40.29</v>
      </c>
      <c r="DA31" s="9" t="n">
        <v>59.07</v>
      </c>
      <c r="DB31" s="9" t="n">
        <v>35.26</v>
      </c>
      <c r="DC31" s="9" t="n">
        <v>15.89</v>
      </c>
      <c r="DD31" s="9" t="n">
        <v>45.07</v>
      </c>
      <c r="DE31" s="9" t="n">
        <v>3.74</v>
      </c>
      <c r="DF31" s="9" t="n">
        <v>1.39</v>
      </c>
      <c r="DG31" s="9" t="n">
        <v>37.32</v>
      </c>
      <c r="DH31" s="9" t="n">
        <v>41.76</v>
      </c>
      <c r="DI31" s="33">
        <f>PERCENTRANK(DH$2:INDEX($DH:$DH,LOOKUP(2,1/(ISNUMBER($A$2:$A$1048576)),ROW($A$2:$A$1048576))),DH31)</f>
        <v/>
      </c>
      <c r="DJ31" s="39">
        <f>SUM(DH31-DH$106)/DH$107</f>
        <v/>
      </c>
      <c r="DK31" s="9" t="n">
        <v>16</v>
      </c>
      <c r="DL31" s="9" t="n">
        <v>13.55</v>
      </c>
      <c r="DM31" s="9" t="n">
        <v>2.13</v>
      </c>
      <c r="DN31" s="9" t="n">
        <v>0.08</v>
      </c>
      <c r="DO31" s="9" t="n">
        <v>136.63</v>
      </c>
      <c r="DP31" s="9" t="n">
        <v>95.92</v>
      </c>
      <c r="DQ31" s="33">
        <f>PERCENTRANK(DP$2:INDEX($DP:$DP,LOOKUP(2,1/(ISNUMBER($A$2:$A$1048576)),ROW($A$2:$A$1048576))),DP31)</f>
        <v/>
      </c>
      <c r="DR31" s="40">
        <f>sum(DP31-DP$106)/DP$107</f>
        <v/>
      </c>
      <c r="DS31" s="9" t="n">
        <v>70.2</v>
      </c>
      <c r="DT31" s="9" t="n">
        <v>60.11</v>
      </c>
      <c r="DU31" s="9" t="n">
        <v>56.47</v>
      </c>
      <c r="DV31" s="9" t="n">
        <v>93.95999999999999</v>
      </c>
      <c r="DW31" s="9" t="n">
        <v>144.37</v>
      </c>
      <c r="DX31" s="9" t="n">
        <v>128.13</v>
      </c>
      <c r="DY31" s="9" t="n">
        <v>88.75</v>
      </c>
      <c r="DZ31" s="9" t="n">
        <v>49.37</v>
      </c>
      <c r="EA31" s="9" t="n">
        <v>25.42</v>
      </c>
      <c r="EB31" s="9" t="n">
        <v>51.49</v>
      </c>
      <c r="EC31" s="9" t="n">
        <v>52.71</v>
      </c>
      <c r="ED31" s="9" t="n">
        <v>33.74</v>
      </c>
      <c r="EE31" s="33">
        <f>PERCENTRANK(ED$2:INDEX($ED:$ED,LOOKUP(2,1/(ISNUMBER($A$2:$A$1048576)),ROW($A$2:$A$1048576))),ED31)</f>
        <v/>
      </c>
      <c r="EF31" s="40">
        <f>sum(ED31-ED$106)/ED$107</f>
        <v/>
      </c>
      <c r="EG31" s="9" t="n">
        <v>64</v>
      </c>
      <c r="EH31" s="9" t="n">
        <v>68.97</v>
      </c>
      <c r="EI31" s="9" t="n">
        <v>50.5</v>
      </c>
      <c r="EJ31" s="33">
        <f>PERCENTRANK(EI$2:INDEX($EI:$EI,LOOKUP(2,1/(ISNUMBER($A$2:$A$1048576)),ROW($A$2:$A$1048576))),EI31)</f>
        <v/>
      </c>
      <c r="EK31" s="40">
        <f>sum(EI31-EI$106)/EI$107</f>
        <v/>
      </c>
      <c r="EL31" s="9" t="n">
        <v>73.22</v>
      </c>
      <c r="EM31" s="9" t="n">
        <v>3.03</v>
      </c>
      <c r="EN31" s="9" t="n">
        <v>1.21</v>
      </c>
      <c r="EO31" s="9" t="n">
        <v>40</v>
      </c>
      <c r="EP31" s="9" t="n">
        <v>22.45</v>
      </c>
      <c r="EQ31" s="9" t="n">
        <v>20.29</v>
      </c>
      <c r="ER31" s="9" t="n">
        <v>90.39</v>
      </c>
      <c r="ES31" s="9" t="n">
        <v>6.55</v>
      </c>
      <c r="ET31" s="9" t="n">
        <v>15.49</v>
      </c>
      <c r="EU31" s="9" t="n">
        <v>3.63</v>
      </c>
      <c r="EV31" s="9" t="n">
        <v>12.97</v>
      </c>
      <c r="EW31" s="9" t="n">
        <v>18.18</v>
      </c>
      <c r="EX31" s="33">
        <f>PERCENTRANK(EW$2:INDEX($EW:$EW,LOOKUP(2,1/(ISNUMBER($A$2:$A$1048576)),ROW($A$2:$A$1048576))),EW31)</f>
        <v/>
      </c>
      <c r="EY31" s="38">
        <f>1-(EW31-EW$106)/EW$107</f>
        <v/>
      </c>
      <c r="EZ31" s="9" t="n">
        <v>20.43</v>
      </c>
      <c r="FA31" s="9" t="n">
        <v>8.539999999999999</v>
      </c>
      <c r="FB31" s="33">
        <f>PERCENTRANK(FA$2:INDEX($FA:$FA,LOOKUP(2,1/(ISNUMBER($A$2:$A$1048576)),ROW($A$2:$A$1048576))),FA31)</f>
        <v/>
      </c>
      <c r="FC31" s="39">
        <f>1-(FA31-FA$106)/FA$107</f>
        <v/>
      </c>
      <c r="FD31" s="9" t="n">
        <v>1.21</v>
      </c>
      <c r="FE31" s="9" t="n">
        <v>1.05</v>
      </c>
      <c r="FF31" s="33">
        <f>PERCENTRANK(FE$2:INDEX($FE:$FE,LOOKUP(2,1/(ISNUMBER($A$2:$A$1048576)),ROW($A$2:$A$1048576))),FE31)</f>
        <v/>
      </c>
      <c r="FG31" s="39">
        <f>1-(FE31-FE$106)/FE$107</f>
        <v/>
      </c>
      <c r="FH31" s="9" t="n">
        <v>9.529999999999999</v>
      </c>
      <c r="FI31" s="9" t="n">
        <v>3.47</v>
      </c>
      <c r="FJ31" s="9" t="n">
        <v>36.46</v>
      </c>
      <c r="FK31" s="9" t="n">
        <v>372.08</v>
      </c>
      <c r="FL31" s="33">
        <f>PERCENTRANK(FK$2:INDEX($FK:$FK,LOOKUP(2,1/(ISNUMBER($A$2:$A$1048576)),ROW($A$2:$A$1048576))),FK31)</f>
        <v/>
      </c>
      <c r="FM31" s="39">
        <f>SWA30-(FK31-FK$106)/FK$107</f>
        <v/>
      </c>
      <c r="FN31" s="9" t="n">
        <v>295.87</v>
      </c>
      <c r="FO31" s="9" t="n">
        <v>79.52</v>
      </c>
      <c r="FP31" s="9" t="n">
        <v>48.21</v>
      </c>
      <c r="FQ31" s="9" t="n">
        <v>105.87</v>
      </c>
      <c r="FR31" s="9" t="n">
        <v>18.82</v>
      </c>
      <c r="FS31" s="9" t="n">
        <v>39.39</v>
      </c>
      <c r="FT31" s="9" t="n">
        <v>47.66</v>
      </c>
      <c r="FU31" s="9" t="n">
        <v>79.20999999999999</v>
      </c>
      <c r="FV31" s="9" t="n">
        <v>36.68</v>
      </c>
      <c r="FW31" s="9" t="n">
        <v>32.08</v>
      </c>
      <c r="FX31" s="9" t="n">
        <v>10.45</v>
      </c>
      <c r="FY31" s="9" t="n">
        <v>210.68</v>
      </c>
      <c r="FZ31" s="9" t="n">
        <v>104.39</v>
      </c>
      <c r="GA31" s="9" t="n">
        <v>49.55</v>
      </c>
      <c r="GB31" s="9" t="n">
        <v>4.45</v>
      </c>
      <c r="GC31" s="9" t="n">
        <v>1.29</v>
      </c>
      <c r="GD31" s="9" t="n">
        <v>28.99</v>
      </c>
      <c r="GE31" s="9" t="n">
        <v>25.34</v>
      </c>
      <c r="GF31" s="9" t="n">
        <v>5.08</v>
      </c>
      <c r="GG31" s="9" t="n">
        <v>20.04</v>
      </c>
      <c r="GH31" s="9" t="n">
        <v>1.82</v>
      </c>
      <c r="GI31" s="9" t="n">
        <v>0.66</v>
      </c>
      <c r="GJ31" s="9" t="n">
        <v>36.23</v>
      </c>
      <c r="GK31" s="9" t="n">
        <v>26.34</v>
      </c>
      <c r="GL31" s="9" t="n">
        <v>3.29</v>
      </c>
      <c r="GM31" s="9" t="n">
        <v>12.49</v>
      </c>
      <c r="GN31" s="9" t="n">
        <v>4.13</v>
      </c>
      <c r="GO31" s="9" t="n">
        <v>1.05</v>
      </c>
      <c r="GP31" s="9" t="n">
        <v>25.48</v>
      </c>
      <c r="GQ31" s="9" t="n">
        <v>2.37</v>
      </c>
      <c r="GR31" s="9" t="n">
        <v>0.66</v>
      </c>
      <c r="GS31" s="9" t="n">
        <v>27.78</v>
      </c>
      <c r="GT31" s="9" t="n">
        <v>0.18</v>
      </c>
      <c r="GU31" s="9" t="n">
        <v>0.13</v>
      </c>
      <c r="GV31" s="9" t="n">
        <v>71.43000000000001</v>
      </c>
      <c r="GW31" s="9" t="n">
        <v>14.5</v>
      </c>
      <c r="GX31" s="9" t="n">
        <v>4.11</v>
      </c>
      <c r="GY31" s="9" t="n">
        <v>28.31</v>
      </c>
      <c r="GZ31" s="9" t="n">
        <v>4.11</v>
      </c>
      <c r="HA31" s="9" t="n">
        <v>4.61</v>
      </c>
      <c r="HB31" s="9" t="n">
        <v>20.89</v>
      </c>
      <c r="HC31" s="9" t="n">
        <v>3.11</v>
      </c>
      <c r="HD31" s="9" t="n">
        <v>8.84</v>
      </c>
      <c r="HE31" s="9" t="n">
        <v>12.53</v>
      </c>
      <c r="HF31" s="9" t="n">
        <v>68.20999999999999</v>
      </c>
      <c r="HG31" s="9" t="n">
        <v>27.92</v>
      </c>
      <c r="HH31" s="9" t="n">
        <v>40.93</v>
      </c>
      <c r="HI31" s="9" t="n">
        <v>2.87</v>
      </c>
      <c r="HJ31" s="9" t="n">
        <v>1.5</v>
      </c>
      <c r="HK31" s="9" t="n">
        <v>11.37</v>
      </c>
      <c r="HL31" s="9" t="n">
        <v>3.87</v>
      </c>
      <c r="HM31" s="9" t="n">
        <v>34.03</v>
      </c>
      <c r="HN31" s="9" t="n">
        <v>75.26000000000001</v>
      </c>
      <c r="HO31" s="9" t="n">
        <v>46.26</v>
      </c>
      <c r="HP31" s="9" t="n">
        <v>61.47</v>
      </c>
      <c r="HQ31" s="9" t="n">
        <v>35.26</v>
      </c>
      <c r="HR31" s="9" t="n">
        <v>16.5</v>
      </c>
      <c r="HS31" s="9" t="n">
        <v>46.79</v>
      </c>
      <c r="HT31" s="9" t="n">
        <v>4.11</v>
      </c>
      <c r="HU31" s="9" t="n">
        <v>1.89</v>
      </c>
      <c r="HV31" s="9" t="n">
        <v>46.15</v>
      </c>
      <c r="HW31" s="9" t="n">
        <v>39.66</v>
      </c>
      <c r="HX31" s="9" t="n">
        <v>15.21</v>
      </c>
      <c r="HY31" s="9" t="n">
        <v>16.05</v>
      </c>
      <c r="HZ31" s="9" t="n">
        <v>2.76</v>
      </c>
      <c r="IA31" s="9" t="n">
        <v>0.13</v>
      </c>
      <c r="IB31" s="9" t="n">
        <v>133.42</v>
      </c>
      <c r="IC31" s="9" t="n">
        <v>92.31999999999999</v>
      </c>
      <c r="ID31" s="9" t="n">
        <v>69.19</v>
      </c>
      <c r="IE31" s="9" t="n">
        <v>57.08</v>
      </c>
      <c r="IF31" s="9" t="n">
        <v>52.89</v>
      </c>
      <c r="IG31" s="9" t="n">
        <v>92.67</v>
      </c>
      <c r="IH31" s="9" t="n">
        <v>127.24</v>
      </c>
      <c r="II31" s="9" t="n">
        <v>108.82</v>
      </c>
      <c r="IJ31" s="9" t="n">
        <v>85.52</v>
      </c>
      <c r="IK31" s="9" t="n">
        <v>50.92</v>
      </c>
      <c r="IL31" s="9" t="n">
        <v>27.97</v>
      </c>
      <c r="IM31" s="9" t="n">
        <v>54.94</v>
      </c>
      <c r="IN31" s="9" t="n">
        <v>49.95</v>
      </c>
      <c r="IO31" s="9" t="n">
        <v>31.92</v>
      </c>
      <c r="IP31" s="9" t="n">
        <v>63.91</v>
      </c>
      <c r="IQ31" s="9" t="n">
        <v>68.87</v>
      </c>
      <c r="IR31" s="9" t="n">
        <v>47</v>
      </c>
      <c r="IS31" s="9" t="n">
        <v>68.25</v>
      </c>
      <c r="IT31" s="33">
        <f>PERCENTRANK(IS$2:INDEX($IS:$IS,LOOKUP(2,1/(ISNUMBER($A$2:$A$1048576)),ROW($A$2:$A$1048576))),IS31)</f>
        <v/>
      </c>
      <c r="IU31" s="39">
        <f>1-(IS31-IS$106)/IS$107</f>
        <v/>
      </c>
      <c r="IV31" s="9" t="n">
        <v>3.32</v>
      </c>
      <c r="IW31" s="9" t="n">
        <v>1.24</v>
      </c>
      <c r="IX31" s="9" t="n">
        <v>37.3</v>
      </c>
      <c r="IY31" s="9" t="n">
        <v>23.61</v>
      </c>
      <c r="IZ31" s="9" t="n">
        <v>20.79</v>
      </c>
      <c r="JA31" s="9" t="n">
        <v>88.06999999999999</v>
      </c>
      <c r="JB31" s="9" t="n">
        <v>8.68</v>
      </c>
      <c r="JC31" s="9" t="n">
        <v>15.76</v>
      </c>
      <c r="JD31" s="9" t="n">
        <v>3.5</v>
      </c>
      <c r="JE31" s="9" t="n">
        <v>14.36</v>
      </c>
      <c r="JF31" s="9" t="n">
        <v>19.4</v>
      </c>
      <c r="JG31" s="9" t="n">
        <v>20.45</v>
      </c>
      <c r="JH31" s="9" t="n">
        <v>9.789999999999999</v>
      </c>
    </row>
    <row r="32">
      <c r="A32" s="12" t="n">
        <v>2025</v>
      </c>
      <c r="B32" s="31" t="inlineStr">
        <is>
          <t>Rhode Island</t>
        </is>
      </c>
      <c r="C32" s="12" t="n">
        <v>38</v>
      </c>
      <c r="D32" s="5">
        <f>(C32-AVERAGE($C$2:INDEX($C:$C,LOOKUP(2,1/(ISNUMBER($A$2:$A$1048576)),ROW($A$2:$A$1048576)))))/_xlfn.STDEV.P($C$2:INDEX($C:$C,LOOKUP(2,1/(ISNUMBER($A$2:$A$1048576)),ROW($A$2:$A$1048576))))</f>
        <v/>
      </c>
      <c r="E32" s="12" t="n">
        <v>7</v>
      </c>
      <c r="F32" s="6">
        <f>-E32</f>
        <v/>
      </c>
      <c r="G32" s="7">
        <f>(F32-AVERAGE($F$2:INDEX($F:$F,LOOKUP(2,1/(ISNUMBER($A$2:$A$1048576)),ROW($A$2:$A$1048576)))))/_xlfn.STDEV.P($F$2:INDEX($F:$F,LOOKUP(2,1/(ISNUMBER($A$2:$A$1048576)),ROW($A$2:$A$1048576))))</f>
        <v/>
      </c>
      <c r="H32" s="32">
        <f>sum(0.5*D32)+(0.5*G32)</f>
        <v/>
      </c>
      <c r="I32" s="12" t="inlineStr">
        <is>
          <t>East</t>
        </is>
      </c>
      <c r="J32" s="10">
        <f>sum(L32*L$105)+(N32*N$105)+(P32*P$105)+(T32*R$105)</f>
        <v/>
      </c>
      <c r="K32" s="33">
        <f>PERCENTRANK(J$2:INDEX($J:$J,LOOKUP(2,1/(ISNUMBER($A$2:$A$1048576)),ROW($A$2:$A$1048576))),J32)</f>
        <v/>
      </c>
      <c r="L32" s="10">
        <f>sum(AA32*0.66)+(AD32*0.55)+(AG32*0.59)+(CG32*0.51)+(CL32*0.6)+(EY32*0.31)</f>
        <v/>
      </c>
      <c r="M32" s="33">
        <f>PERCENTRANK(L$2:INDEX($L:$L,LOOKUP(2,1/(ISNUMBER($A$2:$A$1048576)),ROW($A$2:$A$1048576))),L32)</f>
        <v/>
      </c>
      <c r="N32" s="10">
        <f>sum(CT32*0.57)+(CW32*0.71)+(DJ32*0.08)+(FC32*0.33)+(FG32*0.69)+(FM32*0.26)+(IU32*0.54)+(AU32*0.4)</f>
        <v/>
      </c>
      <c r="O32" s="33">
        <f>PERCENTRANK(N$2:INDEX($N:$N,LOOKUP(2,1/(ISNUMBER($A$2:$A$1048576)),ROW($A$2:$A$1048576))),N32)</f>
        <v/>
      </c>
      <c r="P32" s="10">
        <f>sum(BG32*0.51)+(CD32*0.51)+(DR32*0.11)+(EF32*0.42)+(EK32*0.44)+(W32*0.6)</f>
        <v/>
      </c>
      <c r="Q32" s="33">
        <f>PERCENTRANK(P$2:INDEX($P:$P,LOOKUP(2,1/(ISNUMBER($A$2:$A$1048576)),ROW($A$2:$A$1048576))),P32)</f>
        <v/>
      </c>
      <c r="R32" s="10">
        <f>sum(Y32-FE32)</f>
        <v/>
      </c>
      <c r="S32" s="33">
        <f>PERCENTRANK(R$2:INDEX($R:$R,LOOKUP(2,1/(ISNUMBER($A$2:$A$1048576)),ROW($A$2:$A$1048576))),R32)</f>
        <v/>
      </c>
      <c r="T32" s="34">
        <f>sum(R32-R$106)/R$107</f>
        <v/>
      </c>
      <c r="U32" s="35">
        <f>sum(Y32/AI32)*100</f>
        <v/>
      </c>
      <c r="V32" s="33">
        <f>PERCENTRANK(U$2:INDEX($U:$U,LOOKUP(2,1/(ISNUMBER($A$2:$A$1048576)),ROW($A$2:$A$1048576))),U32)</f>
        <v/>
      </c>
      <c r="W32" s="36">
        <f>sum(U32-U$106)/U$107</f>
        <v/>
      </c>
      <c r="X32" s="9" t="n">
        <v>0.9399999999999999</v>
      </c>
      <c r="Y32" s="9" t="n">
        <v>1.1</v>
      </c>
      <c r="Z32" s="33">
        <f>PERCENTRANK(Y$2:INDEX($Y:$Y,LOOKUP(2,1/(ISNUMBER($A$2:$A$1048576)),ROW($A$2:$A$1048576))),Y32)</f>
        <v/>
      </c>
      <c r="AA32" s="37">
        <f>sum(Y32-Y$106)/Y$107</f>
        <v/>
      </c>
      <c r="AB32" s="9" t="n">
        <v>10.48</v>
      </c>
      <c r="AC32" s="33">
        <f>PERCENTRANK(AB$2:INDEX($AB:$AB,LOOKUP(2,1/(ISNUMBER($A$2:$A$1048576)),ROW($A$2:$A$1048576))),AB32)</f>
        <v/>
      </c>
      <c r="AD32" s="38">
        <f>sum(AB32-AB$106)/AB$107</f>
        <v/>
      </c>
      <c r="AE32" s="9" t="n">
        <v>3.58</v>
      </c>
      <c r="AF32" s="33">
        <f>PERCENTRANK(AE$2:INDEX($AE:$AE,LOOKUP(2,1/(ISNUMBER($A$2:$A$1048576)),ROW($A$2:$A$1048576))),AE32)</f>
        <v/>
      </c>
      <c r="AG32" s="38">
        <f>sum(AE32-AE$106)/AE$107</f>
        <v/>
      </c>
      <c r="AH32" s="9" t="n">
        <v>34.1</v>
      </c>
      <c r="AI32" s="9" t="n">
        <v>412.85</v>
      </c>
      <c r="AJ32" s="9" t="n">
        <v>338.03</v>
      </c>
      <c r="AK32" s="9" t="n">
        <v>81.88</v>
      </c>
      <c r="AL32" s="9" t="n">
        <v>51.67</v>
      </c>
      <c r="AM32" s="9" t="n">
        <v>109.48</v>
      </c>
      <c r="AN32" s="9" t="n">
        <v>16.67</v>
      </c>
      <c r="AO32" s="9" t="n">
        <v>40.24</v>
      </c>
      <c r="AP32" s="9" t="n">
        <v>52.58</v>
      </c>
      <c r="AQ32" s="9" t="n">
        <v>78.67</v>
      </c>
      <c r="AR32" s="9" t="n">
        <v>33.27</v>
      </c>
      <c r="AS32" s="9" t="n">
        <v>32.91</v>
      </c>
      <c r="AT32" s="33">
        <f>PERCENTRANK(AS$2:INDEX($AS:$AS,LOOKUP(2,1/(ISNUMBER($A$2:$A$1048576)),ROW($A$2:$A$1048576))),AS32)</f>
        <v/>
      </c>
      <c r="AU32" s="39">
        <f>SUM(AS32-AS$106)/AS$107</f>
        <v/>
      </c>
      <c r="AV32" s="9" t="n">
        <v>12.48</v>
      </c>
      <c r="AW32" s="33">
        <f>PERCENTRANK(AV$2:INDEX($AV:$AV,LOOKUP(2,1/(ISNUMBER($A$2:$A$1048576)),ROW($A$2:$A$1048576))),AV32)</f>
        <v/>
      </c>
      <c r="AX32" s="9" t="n">
        <v>185.97</v>
      </c>
      <c r="AY32" s="9" t="n">
        <v>93.45</v>
      </c>
      <c r="AZ32" s="9" t="n">
        <v>50.25</v>
      </c>
      <c r="BA32" s="9" t="n">
        <v>4.45</v>
      </c>
      <c r="BB32" s="9" t="n">
        <v>1.15</v>
      </c>
      <c r="BC32" s="9" t="n">
        <v>25.85</v>
      </c>
      <c r="BD32" s="9" t="n">
        <v>27.15</v>
      </c>
      <c r="BE32" s="9" t="n">
        <v>6.82</v>
      </c>
      <c r="BF32" s="33">
        <f>PERCENTRANK(BE$2:INDEX($BE:$BE,LOOKUP(2,1/(ISNUMBER($A$2:$A$1048576)),ROW($A$2:$A$1048576))),BE32)</f>
        <v/>
      </c>
      <c r="BG32" s="40">
        <f>sum(BE32-BE$106)/BE$107</f>
        <v/>
      </c>
      <c r="BH32" s="9" t="n">
        <v>25.11</v>
      </c>
      <c r="BI32" s="9" t="n">
        <v>0.58</v>
      </c>
      <c r="BJ32" s="9" t="n">
        <v>0.21</v>
      </c>
      <c r="BK32" s="9" t="n">
        <v>36.84</v>
      </c>
      <c r="BL32" s="9" t="n">
        <v>27.39</v>
      </c>
      <c r="BM32" s="9" t="n">
        <v>2.85</v>
      </c>
      <c r="BN32" s="9" t="n">
        <v>10.4</v>
      </c>
      <c r="BO32" s="9" t="n">
        <v>3.85</v>
      </c>
      <c r="BP32" s="9" t="n">
        <v>1.21</v>
      </c>
      <c r="BQ32" s="9" t="n">
        <v>31.5</v>
      </c>
      <c r="BR32" s="9" t="n">
        <v>3.18</v>
      </c>
      <c r="BS32" s="9" t="n">
        <v>0.55</v>
      </c>
      <c r="BT32" s="9" t="n">
        <v>17.14</v>
      </c>
      <c r="BU32" s="9" t="n">
        <v>0.12</v>
      </c>
      <c r="BV32" s="9" t="n">
        <v>0.12</v>
      </c>
      <c r="BW32" s="9" t="n">
        <v>100</v>
      </c>
      <c r="BX32" s="9" t="n">
        <v>13.94</v>
      </c>
      <c r="BY32" s="9" t="n">
        <v>5.06</v>
      </c>
      <c r="BZ32" s="9" t="n">
        <v>36.3</v>
      </c>
      <c r="CA32" s="9" t="n">
        <v>4.76</v>
      </c>
      <c r="CB32" s="9" t="n">
        <v>5.82</v>
      </c>
      <c r="CC32" s="33">
        <f>PERCENTRANK(CD$2:INDEX($CD:$CD,LOOKUP(2,1/(ISNUMBER($A$2:$A$1048576)),ROW($A$2:$A$1048576))),CD32)</f>
        <v/>
      </c>
      <c r="CD32" s="40">
        <f>sum(CB32-CB$106)/CB$107</f>
        <v/>
      </c>
      <c r="CE32" s="9" t="n">
        <v>21.61</v>
      </c>
      <c r="CF32" s="33">
        <f>PERCENTRANK(CE$2:INDEX($CE:$CE,LOOKUP(2,1/(ISNUMBER($A$2:$A$1048576)),ROW($A$2:$A$1048576))),CE32)</f>
        <v/>
      </c>
      <c r="CG32" s="38">
        <f>sum(CE32-CE$106)/CE$107</f>
        <v/>
      </c>
      <c r="CH32" s="9" t="n">
        <v>3.03</v>
      </c>
      <c r="CI32" s="9" t="n">
        <v>8.880000000000001</v>
      </c>
      <c r="CJ32" s="9" t="n">
        <v>15.52</v>
      </c>
      <c r="CK32" s="33">
        <f>PERCENTRANK(CJ$2:INDEX($CJ:$CJ,LOOKUP(2,1/(ISNUMBER($A$2:$A$1048576)),ROW($A$2:$A$1048576))),CJ32)</f>
        <v/>
      </c>
      <c r="CL32" s="38">
        <f>sum(CJ32-CJ$106)/CJ$107</f>
        <v/>
      </c>
      <c r="CM32" s="9" t="n">
        <v>59.21</v>
      </c>
      <c r="CN32" s="9" t="n">
        <v>22.88</v>
      </c>
      <c r="CO32" s="9" t="n">
        <v>38.64</v>
      </c>
      <c r="CP32" s="9" t="n">
        <v>1.7</v>
      </c>
      <c r="CQ32" s="9" t="n">
        <v>0.91</v>
      </c>
      <c r="CR32" s="9" t="n">
        <v>8.91</v>
      </c>
      <c r="CS32" s="33">
        <f>PERCENTRANK(CR$2:INDEX($CR:$CR,LOOKUP(2,1/(ISNUMBER($A$2:$A$1048576)),ROW($A$2:$A$1048576))),CR32)</f>
        <v/>
      </c>
      <c r="CT32" s="39">
        <f>1-(CR32-CR$106)/CR$107</f>
        <v/>
      </c>
      <c r="CU32" s="9" t="n">
        <v>3.55</v>
      </c>
      <c r="CV32" s="33">
        <f>PERCENTRANK(CU$2:INDEX($CU:$CU,LOOKUP(2,1/(ISNUMBER($A$2:$A$1048576)),ROW($A$2:$A$1048576))),CU32)</f>
        <v/>
      </c>
      <c r="CW32" s="39">
        <f>1-(CU32-CU$106)/CU$107</f>
        <v/>
      </c>
      <c r="CX32" s="9" t="n">
        <v>39.8</v>
      </c>
      <c r="CY32" s="9" t="n">
        <v>61.12</v>
      </c>
      <c r="CZ32" s="9" t="n">
        <v>39.91</v>
      </c>
      <c r="DA32" s="9" t="n">
        <v>65.29000000000001</v>
      </c>
      <c r="DB32" s="9" t="n">
        <v>38.21</v>
      </c>
      <c r="DC32" s="9" t="n">
        <v>18.52</v>
      </c>
      <c r="DD32" s="9" t="n">
        <v>48.45</v>
      </c>
      <c r="DE32" s="9" t="n">
        <v>2.24</v>
      </c>
      <c r="DF32" s="9" t="n">
        <v>1.3</v>
      </c>
      <c r="DG32" s="9" t="n">
        <v>58.11</v>
      </c>
      <c r="DH32" s="9" t="n">
        <v>34</v>
      </c>
      <c r="DI32" s="33">
        <f>PERCENTRANK(DH$2:INDEX($DH:$DH,LOOKUP(2,1/(ISNUMBER($A$2:$A$1048576)),ROW($A$2:$A$1048576))),DH32)</f>
        <v/>
      </c>
      <c r="DJ32" s="39">
        <f>SUM(DH32-DH$106)/DH$107</f>
        <v/>
      </c>
      <c r="DK32" s="9" t="n">
        <v>12.18</v>
      </c>
      <c r="DL32" s="9" t="n">
        <v>14.36</v>
      </c>
      <c r="DM32" s="9" t="n">
        <v>2.48</v>
      </c>
      <c r="DN32" s="9" t="n">
        <v>0.24</v>
      </c>
      <c r="DO32" s="9" t="n">
        <v>140.7</v>
      </c>
      <c r="DP32" s="9" t="n">
        <v>99.12</v>
      </c>
      <c r="DQ32" s="33">
        <f>PERCENTRANK(DP$2:INDEX($DP:$DP,LOOKUP(2,1/(ISNUMBER($A$2:$A$1048576)),ROW($A$2:$A$1048576))),DP32)</f>
        <v/>
      </c>
      <c r="DR32" s="40">
        <f>sum(DP32-DP$106)/DP$107</f>
        <v/>
      </c>
      <c r="DS32" s="9" t="n">
        <v>70.45</v>
      </c>
      <c r="DT32" s="9" t="n">
        <v>60.33</v>
      </c>
      <c r="DU32" s="9" t="n">
        <v>57.09</v>
      </c>
      <c r="DV32" s="9" t="n">
        <v>94.63</v>
      </c>
      <c r="DW32" s="9" t="n">
        <v>147.67</v>
      </c>
      <c r="DX32" s="9" t="n">
        <v>129.85</v>
      </c>
      <c r="DY32" s="9" t="n">
        <v>87.93000000000001</v>
      </c>
      <c r="DZ32" s="9" t="n">
        <v>47.3</v>
      </c>
      <c r="EA32" s="9" t="n">
        <v>24.76</v>
      </c>
      <c r="EB32" s="9" t="n">
        <v>52.34</v>
      </c>
      <c r="EC32" s="9" t="n">
        <v>53.48</v>
      </c>
      <c r="ED32" s="9" t="n">
        <v>34.82</v>
      </c>
      <c r="EE32" s="33">
        <f>PERCENTRANK(ED$2:INDEX($ED:$ED,LOOKUP(2,1/(ISNUMBER($A$2:$A$1048576)),ROW($A$2:$A$1048576))),ED32)</f>
        <v/>
      </c>
      <c r="EF32" s="40">
        <f>sum(ED32-ED$106)/ED$107</f>
        <v/>
      </c>
      <c r="EG32" s="9" t="n">
        <v>65.09999999999999</v>
      </c>
      <c r="EH32" s="9" t="n">
        <v>68.73</v>
      </c>
      <c r="EI32" s="9" t="n">
        <v>48.97</v>
      </c>
      <c r="EJ32" s="33">
        <f>PERCENTRANK(EI$2:INDEX($EI:$EI,LOOKUP(2,1/(ISNUMBER($A$2:$A$1048576)),ROW($A$2:$A$1048576))),EI32)</f>
        <v/>
      </c>
      <c r="EK32" s="40">
        <f>sum(EI32-EI$106)/EI$107</f>
        <v/>
      </c>
      <c r="EL32" s="9" t="n">
        <v>71.25</v>
      </c>
      <c r="EM32" s="9" t="n">
        <v>0.61</v>
      </c>
      <c r="EN32" s="9" t="n">
        <v>0.21</v>
      </c>
      <c r="EO32" s="9" t="n">
        <v>35</v>
      </c>
      <c r="EP32" s="9" t="n">
        <v>19.94</v>
      </c>
      <c r="EQ32" s="9" t="n">
        <v>16.79</v>
      </c>
      <c r="ER32" s="9" t="n">
        <v>84.19</v>
      </c>
      <c r="ES32" s="9" t="n">
        <v>7.3</v>
      </c>
      <c r="ET32" s="9" t="n">
        <v>16.26</v>
      </c>
      <c r="EU32" s="9" t="n">
        <v>4.13</v>
      </c>
      <c r="EV32" s="9" t="n">
        <v>11.7</v>
      </c>
      <c r="EW32" s="9" t="n">
        <v>18.62</v>
      </c>
      <c r="EX32" s="33">
        <f>PERCENTRANK(EW$2:INDEX($EW:$EW,LOOKUP(2,1/(ISNUMBER($A$2:$A$1048576)),ROW($A$2:$A$1048576))),EW32)</f>
        <v/>
      </c>
      <c r="EY32" s="38">
        <f>1-(EW32-EW$106)/EW$107</f>
        <v/>
      </c>
      <c r="EZ32" s="9" t="n">
        <v>19.59</v>
      </c>
      <c r="FA32" s="9" t="n">
        <v>10.13</v>
      </c>
      <c r="FB32" s="33">
        <f>PERCENTRANK(FA$2:INDEX($FA:$FA,LOOKUP(2,1/(ISNUMBER($A$2:$A$1048576)),ROW($A$2:$A$1048576))),FA32)</f>
        <v/>
      </c>
      <c r="FC32" s="39">
        <f>1-(FA32-FA$106)/FA$107</f>
        <v/>
      </c>
      <c r="FD32" s="9" t="n">
        <v>0.91</v>
      </c>
      <c r="FE32" s="9" t="n">
        <v>0.96</v>
      </c>
      <c r="FF32" s="33">
        <f>PERCENTRANK(FE$2:INDEX($FE:$FE,LOOKUP(2,1/(ISNUMBER($A$2:$A$1048576)),ROW($A$2:$A$1048576))),FE32)</f>
        <v/>
      </c>
      <c r="FG32" s="39">
        <f>1-(FE32-FE$106)/FE$107</f>
        <v/>
      </c>
      <c r="FH32" s="9" t="n">
        <v>8.91</v>
      </c>
      <c r="FI32" s="9" t="n">
        <v>3.27</v>
      </c>
      <c r="FJ32" s="9" t="n">
        <v>36.73</v>
      </c>
      <c r="FK32" s="9" t="n">
        <v>380.85</v>
      </c>
      <c r="FL32" s="33">
        <f>PERCENTRANK(FK$2:INDEX($FK:$FK,LOOKUP(2,1/(ISNUMBER($A$2:$A$1048576)),ROW($A$2:$A$1048576))),FK32)</f>
        <v/>
      </c>
      <c r="FM32" s="39">
        <f>SWA31-(FK32-FK$106)/FK$107</f>
        <v/>
      </c>
      <c r="FN32" s="9" t="n">
        <v>309.06</v>
      </c>
      <c r="FO32" s="9" t="n">
        <v>81.15000000000001</v>
      </c>
      <c r="FP32" s="9" t="n">
        <v>48.33</v>
      </c>
      <c r="FQ32" s="9" t="n">
        <v>110.52</v>
      </c>
      <c r="FR32" s="9" t="n">
        <v>21.06</v>
      </c>
      <c r="FS32" s="9" t="n">
        <v>42.39</v>
      </c>
      <c r="FT32" s="9" t="n">
        <v>47.06</v>
      </c>
      <c r="FU32" s="9" t="n">
        <v>78.58</v>
      </c>
      <c r="FV32" s="9" t="n">
        <v>37.06</v>
      </c>
      <c r="FW32" s="9" t="n">
        <v>31.91</v>
      </c>
      <c r="FX32" s="9" t="n">
        <v>9.609999999999999</v>
      </c>
      <c r="FY32" s="9" t="n">
        <v>185.97</v>
      </c>
      <c r="FZ32" s="9" t="n">
        <v>84.61</v>
      </c>
      <c r="GA32" s="9" t="n">
        <v>45.49</v>
      </c>
      <c r="GB32" s="9" t="n">
        <v>4.36</v>
      </c>
      <c r="GC32" s="9" t="n">
        <v>1.15</v>
      </c>
      <c r="GD32" s="9" t="n">
        <v>26.39</v>
      </c>
      <c r="GE32" s="9" t="n">
        <v>23</v>
      </c>
      <c r="GF32" s="9" t="n">
        <v>5.33</v>
      </c>
      <c r="GG32" s="9" t="n">
        <v>23.19</v>
      </c>
      <c r="GH32" s="9" t="n">
        <v>0.67</v>
      </c>
      <c r="GI32" s="9" t="n">
        <v>0.21</v>
      </c>
      <c r="GJ32" s="9" t="n">
        <v>31.82</v>
      </c>
      <c r="GK32" s="9" t="n">
        <v>26.97</v>
      </c>
      <c r="GL32" s="9" t="n">
        <v>3.03</v>
      </c>
      <c r="GM32" s="9" t="n">
        <v>11.24</v>
      </c>
      <c r="GN32" s="9" t="n">
        <v>4.24</v>
      </c>
      <c r="GO32" s="9" t="n">
        <v>1.12</v>
      </c>
      <c r="GP32" s="9" t="n">
        <v>26.43</v>
      </c>
      <c r="GQ32" s="9" t="n">
        <v>2.15</v>
      </c>
      <c r="GR32" s="9" t="n">
        <v>0.48</v>
      </c>
      <c r="GS32" s="9" t="n">
        <v>22.54</v>
      </c>
      <c r="GT32" s="9" t="n">
        <v>0.03</v>
      </c>
      <c r="GU32" s="9" t="n">
        <v>0.03</v>
      </c>
      <c r="GV32" s="9" t="n">
        <v>100</v>
      </c>
      <c r="GW32" s="9" t="n">
        <v>11.52</v>
      </c>
      <c r="GX32" s="9" t="n">
        <v>3.21</v>
      </c>
      <c r="GY32" s="9" t="n">
        <v>27.89</v>
      </c>
      <c r="GZ32" s="9" t="n">
        <v>3</v>
      </c>
      <c r="HA32" s="9" t="n">
        <v>5.12</v>
      </c>
      <c r="HB32" s="9" t="n">
        <v>18.88</v>
      </c>
      <c r="HC32" s="9" t="n">
        <v>3.24</v>
      </c>
      <c r="HD32" s="9" t="n">
        <v>6.36</v>
      </c>
      <c r="HE32" s="9" t="n">
        <v>12.61</v>
      </c>
      <c r="HF32" s="9" t="n">
        <v>61.15</v>
      </c>
      <c r="HG32" s="9" t="n">
        <v>21.21</v>
      </c>
      <c r="HH32" s="9" t="n">
        <v>34.69</v>
      </c>
      <c r="HI32" s="9" t="n">
        <v>2.64</v>
      </c>
      <c r="HJ32" s="9" t="n">
        <v>0.9399999999999999</v>
      </c>
      <c r="HK32" s="9" t="n">
        <v>10.48</v>
      </c>
      <c r="HL32" s="9" t="n">
        <v>3.79</v>
      </c>
      <c r="HM32" s="9" t="n">
        <v>36.13</v>
      </c>
      <c r="HN32" s="9" t="n">
        <v>59.18</v>
      </c>
      <c r="HO32" s="9" t="n">
        <v>36.3</v>
      </c>
      <c r="HP32" s="9" t="n">
        <v>61.34</v>
      </c>
      <c r="HQ32" s="9" t="n">
        <v>38.21</v>
      </c>
      <c r="HR32" s="9" t="n">
        <v>16.12</v>
      </c>
      <c r="HS32" s="9" t="n">
        <v>42.19</v>
      </c>
      <c r="HT32" s="9" t="n">
        <v>3.97</v>
      </c>
      <c r="HU32" s="9" t="n">
        <v>2.12</v>
      </c>
      <c r="HV32" s="9" t="n">
        <v>53.44</v>
      </c>
      <c r="HW32" s="9" t="n">
        <v>38.7</v>
      </c>
      <c r="HX32" s="9" t="n">
        <v>16.76</v>
      </c>
      <c r="HY32" s="9" t="n">
        <v>14.67</v>
      </c>
      <c r="HZ32" s="9" t="n">
        <v>2.52</v>
      </c>
      <c r="IA32" s="9" t="n">
        <v>0.15</v>
      </c>
      <c r="IB32" s="9" t="n">
        <v>135.67</v>
      </c>
      <c r="IC32" s="9" t="n">
        <v>94.15000000000001</v>
      </c>
      <c r="ID32" s="9" t="n">
        <v>69.40000000000001</v>
      </c>
      <c r="IE32" s="9" t="n">
        <v>59.06</v>
      </c>
      <c r="IF32" s="9" t="n">
        <v>54.94</v>
      </c>
      <c r="IG32" s="9" t="n">
        <v>93.02</v>
      </c>
      <c r="IH32" s="9" t="n">
        <v>135</v>
      </c>
      <c r="II32" s="9" t="n">
        <v>119</v>
      </c>
      <c r="IJ32" s="9" t="n">
        <v>88.15000000000001</v>
      </c>
      <c r="IK32" s="9" t="n">
        <v>48.64</v>
      </c>
      <c r="IL32" s="9" t="n">
        <v>24.94</v>
      </c>
      <c r="IM32" s="9" t="n">
        <v>51.28</v>
      </c>
      <c r="IN32" s="9" t="n">
        <v>50.15</v>
      </c>
      <c r="IO32" s="9" t="n">
        <v>31.3</v>
      </c>
      <c r="IP32" s="9" t="n">
        <v>62.42</v>
      </c>
      <c r="IQ32" s="9" t="n">
        <v>67.79000000000001</v>
      </c>
      <c r="IR32" s="9" t="n">
        <v>46.09</v>
      </c>
      <c r="IS32" s="9" t="n">
        <v>67.98999999999999</v>
      </c>
      <c r="IT32" s="33">
        <f>PERCENTRANK(IS$2:INDEX($IS:$IS,LOOKUP(2,1/(ISNUMBER($A$2:$A$1048576)),ROW($A$2:$A$1048576))),IS32)</f>
        <v/>
      </c>
      <c r="IU32" s="39">
        <f>1-(IS32-IS$106)/IS$107</f>
        <v/>
      </c>
      <c r="IV32" s="9" t="n">
        <v>0.58</v>
      </c>
      <c r="IW32" s="9" t="n">
        <v>0.3</v>
      </c>
      <c r="IX32" s="9" t="n">
        <v>52.63</v>
      </c>
      <c r="IY32" s="9" t="n">
        <v>20</v>
      </c>
      <c r="IZ32" s="9" t="n">
        <v>16.85</v>
      </c>
      <c r="JA32" s="9" t="n">
        <v>84.23999999999999</v>
      </c>
      <c r="JB32" s="9" t="n">
        <v>7.97</v>
      </c>
      <c r="JC32" s="9" t="n">
        <v>15.91</v>
      </c>
      <c r="JD32" s="9" t="n">
        <v>3.81</v>
      </c>
      <c r="JE32" s="9" t="n">
        <v>13.33</v>
      </c>
      <c r="JF32" s="9" t="n">
        <v>19.87</v>
      </c>
      <c r="JG32" s="9" t="n">
        <v>20.19</v>
      </c>
      <c r="JH32" s="9" t="n">
        <v>10.6</v>
      </c>
    </row>
    <row r="33">
      <c r="A33" s="12" t="n">
        <v>2024</v>
      </c>
      <c r="B33" s="31" t="inlineStr">
        <is>
          <t>Monterey Bay FC</t>
        </is>
      </c>
      <c r="C33" s="12" t="n">
        <v>34</v>
      </c>
      <c r="D33" s="5">
        <f>(C33-AVERAGE($C$2:INDEX($C:$C,LOOKUP(2,1/(ISNUMBER($A$2:$A$1048576)),ROW($A$2:$A$1048576)))))/_xlfn.STDEV.P($C$2:INDEX($C:$C,LOOKUP(2,1/(ISNUMBER($A$2:$A$1048576)),ROW($A$2:$A$1048576))))</f>
        <v/>
      </c>
      <c r="E33" s="12" t="n">
        <v>11</v>
      </c>
      <c r="F33" s="6">
        <f>-E33</f>
        <v/>
      </c>
      <c r="G33" s="7">
        <f>(F33-AVERAGE($F$2:INDEX($F:$F,LOOKUP(2,1/(ISNUMBER($A$2:$A$1048576)),ROW($A$2:$A$1048576)))))/_xlfn.STDEV.P($F$2:INDEX($F:$F,LOOKUP(2,1/(ISNUMBER($A$2:$A$1048576)),ROW($A$2:$A$1048576))))</f>
        <v/>
      </c>
      <c r="H33" s="32">
        <f>sum(0.5*D33)+(0.5*G33)</f>
        <v/>
      </c>
      <c r="I33" s="12" t="inlineStr">
        <is>
          <t>West</t>
        </is>
      </c>
      <c r="J33" s="10">
        <f>sum(L33*L$105)+(N33*N$105)+(P33*P$105)+(T33*R$105)</f>
        <v/>
      </c>
      <c r="K33" s="33">
        <f>PERCENTRANK(J$2:INDEX($J:$J,LOOKUP(2,1/(ISNUMBER($A$2:$A$1048576)),ROW($A$2:$A$1048576))),J33)</f>
        <v/>
      </c>
      <c r="L33" s="10">
        <f>sum(AA33*0.66)+(AD33*0.55)+(AG33*0.59)+(CG33*0.51)+(CL33*0.6)+(EY33*0.31)</f>
        <v/>
      </c>
      <c r="M33" s="33">
        <f>PERCENTRANK(L$2:INDEX($L:$L,LOOKUP(2,1/(ISNUMBER($A$2:$A$1048576)),ROW($A$2:$A$1048576))),L33)</f>
        <v/>
      </c>
      <c r="N33" s="10">
        <f>sum(CT33*0.57)+(CW33*0.71)+(DJ33*0.08)+(FC33*0.33)+(FG33*0.69)+(FM33*0.26)+(IU33*0.54)+(AU33*0.4)</f>
        <v/>
      </c>
      <c r="O33" s="33">
        <f>PERCENTRANK(N$2:INDEX($N:$N,LOOKUP(2,1/(ISNUMBER($A$2:$A$1048576)),ROW($A$2:$A$1048576))),N33)</f>
        <v/>
      </c>
      <c r="P33" s="10">
        <f>sum(BG33*0.51)+(CD33*0.51)+(DR33*0.11)+(EF33*0.42)+(EK33*0.44)+(W33*0.6)</f>
        <v/>
      </c>
      <c r="Q33" s="33">
        <f>PERCENTRANK(P$2:INDEX($P:$P,LOOKUP(2,1/(ISNUMBER($A$2:$A$1048576)),ROW($A$2:$A$1048576))),P33)</f>
        <v/>
      </c>
      <c r="R33" s="10">
        <f>sum(Y33-FE33)</f>
        <v/>
      </c>
      <c r="S33" s="33">
        <f>PERCENTRANK(R$2:INDEX($R:$R,LOOKUP(2,1/(ISNUMBER($A$2:$A$1048576)),ROW($A$2:$A$1048576))),R33)</f>
        <v/>
      </c>
      <c r="T33" s="34">
        <f>sum(R33-R$106)/R$107</f>
        <v/>
      </c>
      <c r="U33" s="35">
        <f>sum(Y33/AI33)*100</f>
        <v/>
      </c>
      <c r="V33" s="33">
        <f>PERCENTRANK(U$2:INDEX($U:$U,LOOKUP(2,1/(ISNUMBER($A$2:$A$1048576)),ROW($A$2:$A$1048576))),U33)</f>
        <v/>
      </c>
      <c r="W33" s="36">
        <f>sum(U33-U$106)/U$107</f>
        <v/>
      </c>
      <c r="X33" s="9" t="n">
        <v>0.85</v>
      </c>
      <c r="Y33" s="9" t="n">
        <v>1.23</v>
      </c>
      <c r="Z33" s="33">
        <f>PERCENTRANK(Y$2:INDEX($Y:$Y,LOOKUP(2,1/(ISNUMBER($A$2:$A$1048576)),ROW($A$2:$A$1048576))),Y33)</f>
        <v/>
      </c>
      <c r="AA33" s="37">
        <f>sum(Y33-Y$106)/Y$107</f>
        <v/>
      </c>
      <c r="AB33" s="9" t="n">
        <v>10.29</v>
      </c>
      <c r="AC33" s="33">
        <f>PERCENTRANK(AB$2:INDEX($AB:$AB,LOOKUP(2,1/(ISNUMBER($A$2:$A$1048576)),ROW($A$2:$A$1048576))),AB33)</f>
        <v/>
      </c>
      <c r="AD33" s="38">
        <f>sum(AB33-AB$106)/AB$107</f>
        <v/>
      </c>
      <c r="AE33" s="9" t="n">
        <v>3.32</v>
      </c>
      <c r="AF33" s="33">
        <f>PERCENTRANK(AE$2:INDEX($AE:$AE,LOOKUP(2,1/(ISNUMBER($A$2:$A$1048576)),ROW($A$2:$A$1048576))),AE33)</f>
        <v/>
      </c>
      <c r="AG33" s="38">
        <f>sum(AE33-AE$106)/AE$107</f>
        <v/>
      </c>
      <c r="AH33" s="9" t="n">
        <v>32.29</v>
      </c>
      <c r="AI33" s="9" t="n">
        <v>427.21</v>
      </c>
      <c r="AJ33" s="9" t="n">
        <v>352.79</v>
      </c>
      <c r="AK33" s="9" t="n">
        <v>82.58</v>
      </c>
      <c r="AL33" s="9" t="n">
        <v>49.08</v>
      </c>
      <c r="AM33" s="9" t="n">
        <v>104.59</v>
      </c>
      <c r="AN33" s="9" t="n">
        <v>19.12</v>
      </c>
      <c r="AO33" s="9" t="n">
        <v>38.12</v>
      </c>
      <c r="AP33" s="9" t="n">
        <v>47.35</v>
      </c>
      <c r="AQ33" s="9" t="n">
        <v>80.44</v>
      </c>
      <c r="AR33" s="9" t="n">
        <v>37.62</v>
      </c>
      <c r="AS33" s="9" t="n">
        <v>30.35</v>
      </c>
      <c r="AT33" s="33">
        <f>PERCENTRANK(AS$2:INDEX($AS:$AS,LOOKUP(2,1/(ISNUMBER($A$2:$A$1048576)),ROW($A$2:$A$1048576))),AS33)</f>
        <v/>
      </c>
      <c r="AU33" s="39">
        <f>SUM(AS33-AS$106)/AS$107</f>
        <v/>
      </c>
      <c r="AV33" s="9" t="n">
        <v>12.47</v>
      </c>
      <c r="AW33" s="33">
        <f>PERCENTRANK(AV$2:INDEX($AV:$AV,LOOKUP(2,1/(ISNUMBER($A$2:$A$1048576)),ROW($A$2:$A$1048576))),AV33)</f>
        <v/>
      </c>
      <c r="AX33" s="9" t="n">
        <v>191.62</v>
      </c>
      <c r="AY33" s="9" t="n">
        <v>91.53</v>
      </c>
      <c r="AZ33" s="9" t="n">
        <v>47.77</v>
      </c>
      <c r="BA33" s="9" t="n">
        <v>4.12</v>
      </c>
      <c r="BB33" s="9" t="n">
        <v>0.91</v>
      </c>
      <c r="BC33" s="9" t="n">
        <v>22.14</v>
      </c>
      <c r="BD33" s="9" t="n">
        <v>29.26</v>
      </c>
      <c r="BE33" s="9" t="n">
        <v>6.71</v>
      </c>
      <c r="BF33" s="33">
        <f>PERCENTRANK(BE$2:INDEX($BE:$BE,LOOKUP(2,1/(ISNUMBER($A$2:$A$1048576)),ROW($A$2:$A$1048576))),BE33)</f>
        <v/>
      </c>
      <c r="BG33" s="40">
        <f>sum(BE33-BE$106)/BE$107</f>
        <v/>
      </c>
      <c r="BH33" s="9" t="n">
        <v>22.91</v>
      </c>
      <c r="BI33" s="9" t="n">
        <v>0.82</v>
      </c>
      <c r="BJ33" s="9" t="n">
        <v>0.38</v>
      </c>
      <c r="BK33" s="9" t="n">
        <v>46.43</v>
      </c>
      <c r="BL33" s="9" t="n">
        <v>25.03</v>
      </c>
      <c r="BM33" s="9" t="n">
        <v>2.68</v>
      </c>
      <c r="BN33" s="9" t="n">
        <v>10.69</v>
      </c>
      <c r="BO33" s="9" t="n">
        <v>4.76</v>
      </c>
      <c r="BP33" s="9" t="n">
        <v>1.32</v>
      </c>
      <c r="BQ33" s="9" t="n">
        <v>27.78</v>
      </c>
      <c r="BR33" s="9" t="n">
        <v>2.56</v>
      </c>
      <c r="BS33" s="9" t="n">
        <v>0.35</v>
      </c>
      <c r="BT33" s="9" t="n">
        <v>13.79</v>
      </c>
      <c r="BU33" s="9" t="n">
        <v>0.18</v>
      </c>
      <c r="BV33" s="9" t="n">
        <v>0.09</v>
      </c>
      <c r="BW33" s="9" t="n">
        <v>50</v>
      </c>
      <c r="BX33" s="9" t="n">
        <v>16.71</v>
      </c>
      <c r="BY33" s="9" t="n">
        <v>5.26</v>
      </c>
      <c r="BZ33" s="9" t="n">
        <v>31.51</v>
      </c>
      <c r="CA33" s="9" t="n">
        <v>5.12</v>
      </c>
      <c r="CB33" s="9" t="n">
        <v>6.12</v>
      </c>
      <c r="CC33" s="33">
        <f>PERCENTRANK(CD$2:INDEX($CD:$CD,LOOKUP(2,1/(ISNUMBER($A$2:$A$1048576)),ROW($A$2:$A$1048576))),CD33)</f>
        <v/>
      </c>
      <c r="CD33" s="40">
        <f>sum(CB33-CB$106)/CB$107</f>
        <v/>
      </c>
      <c r="CE33" s="9" t="n">
        <v>24.18</v>
      </c>
      <c r="CF33" s="33">
        <f>PERCENTRANK(CE$2:INDEX($CE:$CE,LOOKUP(2,1/(ISNUMBER($A$2:$A$1048576)),ROW($A$2:$A$1048576))),CE33)</f>
        <v/>
      </c>
      <c r="CG33" s="38">
        <f>sum(CE33-CE$106)/CE$107</f>
        <v/>
      </c>
      <c r="CH33" s="9" t="n">
        <v>3.59</v>
      </c>
      <c r="CI33" s="9" t="n">
        <v>10.62</v>
      </c>
      <c r="CJ33" s="9" t="n">
        <v>15.53</v>
      </c>
      <c r="CK33" s="33">
        <f>PERCENTRANK(CJ$2:INDEX($CJ:$CJ,LOOKUP(2,1/(ISNUMBER($A$2:$A$1048576)),ROW($A$2:$A$1048576))),CJ33)</f>
        <v/>
      </c>
      <c r="CL33" s="38">
        <f>sum(CJ33-CJ$106)/CJ$107</f>
        <v/>
      </c>
      <c r="CM33" s="9" t="n">
        <v>60.91</v>
      </c>
      <c r="CN33" s="9" t="n">
        <v>22.68</v>
      </c>
      <c r="CO33" s="9" t="n">
        <v>37.23</v>
      </c>
      <c r="CP33" s="9" t="n">
        <v>2.06</v>
      </c>
      <c r="CQ33" s="9" t="n">
        <v>1.29</v>
      </c>
      <c r="CR33" s="9" t="n">
        <v>13.09</v>
      </c>
      <c r="CS33" s="33">
        <f>PERCENTRANK(CR$2:INDEX($CR:$CR,LOOKUP(2,1/(ISNUMBER($A$2:$A$1048576)),ROW($A$2:$A$1048576))),CR33)</f>
        <v/>
      </c>
      <c r="CT33" s="39">
        <f>1-(CR33-CR$106)/CR$107</f>
        <v/>
      </c>
      <c r="CU33" s="9" t="n">
        <v>5.59</v>
      </c>
      <c r="CV33" s="33">
        <f>PERCENTRANK(CU$2:INDEX($CU:$CU,LOOKUP(2,1/(ISNUMBER($A$2:$A$1048576)),ROW($A$2:$A$1048576))),CU33)</f>
        <v/>
      </c>
      <c r="CW33" s="39">
        <f>1-(CU33-CU$106)/CU$107</f>
        <v/>
      </c>
      <c r="CX33" s="9" t="n">
        <v>42.7</v>
      </c>
      <c r="CY33" s="9" t="n">
        <v>65.91</v>
      </c>
      <c r="CZ33" s="9" t="n">
        <v>41.56</v>
      </c>
      <c r="DA33" s="9" t="n">
        <v>63.05</v>
      </c>
      <c r="DB33" s="9" t="n">
        <v>38.76</v>
      </c>
      <c r="DC33" s="9" t="n">
        <v>16.24</v>
      </c>
      <c r="DD33" s="9" t="n">
        <v>41.88</v>
      </c>
      <c r="DE33" s="9" t="n">
        <v>3.62</v>
      </c>
      <c r="DF33" s="9" t="n">
        <v>1.97</v>
      </c>
      <c r="DG33" s="9" t="n">
        <v>54.47</v>
      </c>
      <c r="DH33" s="9" t="n">
        <v>38.03</v>
      </c>
      <c r="DI33" s="33">
        <f>PERCENTRANK(DH$2:INDEX($DH:$DH,LOOKUP(2,1/(ISNUMBER($A$2:$A$1048576)),ROW($A$2:$A$1048576))),DH33)</f>
        <v/>
      </c>
      <c r="DJ33" s="39">
        <f>SUM(DH33-DH$106)/DH$107</f>
        <v/>
      </c>
      <c r="DK33" s="9" t="n">
        <v>12.56</v>
      </c>
      <c r="DL33" s="9" t="n">
        <v>11.65</v>
      </c>
      <c r="DM33" s="9" t="n">
        <v>2.03</v>
      </c>
      <c r="DN33" s="9" t="n">
        <v>0.18</v>
      </c>
      <c r="DO33" s="9" t="n">
        <v>148.06</v>
      </c>
      <c r="DP33" s="9" t="n">
        <v>106.85</v>
      </c>
      <c r="DQ33" s="33">
        <f>PERCENTRANK(DP$2:INDEX($DP:$DP,LOOKUP(2,1/(ISNUMBER($A$2:$A$1048576)),ROW($A$2:$A$1048576))),DP33)</f>
        <v/>
      </c>
      <c r="DR33" s="40">
        <f>sum(DP33-DP$106)/DP$107</f>
        <v/>
      </c>
      <c r="DS33" s="9" t="n">
        <v>72.17</v>
      </c>
      <c r="DT33" s="9" t="n">
        <v>65.65000000000001</v>
      </c>
      <c r="DU33" s="9" t="n">
        <v>61.79</v>
      </c>
      <c r="DV33" s="9" t="n">
        <v>94.13</v>
      </c>
      <c r="DW33" s="9" t="n">
        <v>155.68</v>
      </c>
      <c r="DX33" s="9" t="n">
        <v>137.59</v>
      </c>
      <c r="DY33" s="9" t="n">
        <v>88.38</v>
      </c>
      <c r="DZ33" s="9" t="n">
        <v>53.74</v>
      </c>
      <c r="EA33" s="9" t="n">
        <v>29.97</v>
      </c>
      <c r="EB33" s="9" t="n">
        <v>55.77</v>
      </c>
      <c r="EC33" s="9" t="n">
        <v>55.15</v>
      </c>
      <c r="ED33" s="9" t="n">
        <v>37</v>
      </c>
      <c r="EE33" s="33">
        <f>PERCENTRANK(ED$2:INDEX($ED:$ED,LOOKUP(2,1/(ISNUMBER($A$2:$A$1048576)),ROW($A$2:$A$1048576))),ED33)</f>
        <v/>
      </c>
      <c r="EF33" s="40">
        <f>sum(ED33-ED$106)/ED$107</f>
        <v/>
      </c>
      <c r="EG33" s="9" t="n">
        <v>67.09</v>
      </c>
      <c r="EH33" s="9" t="n">
        <v>76.65000000000001</v>
      </c>
      <c r="EI33" s="9" t="n">
        <v>54.24</v>
      </c>
      <c r="EJ33" s="33">
        <f>PERCENTRANK(EI$2:INDEX($EI:$EI,LOOKUP(2,1/(ISNUMBER($A$2:$A$1048576)),ROW($A$2:$A$1048576))),EI33)</f>
        <v/>
      </c>
      <c r="EK33" s="40">
        <f>sum(EI33-EI$106)/EI$107</f>
        <v/>
      </c>
      <c r="EL33" s="9" t="n">
        <v>70.76000000000001</v>
      </c>
      <c r="EM33" s="9" t="n">
        <v>1.56</v>
      </c>
      <c r="EN33" s="9" t="n">
        <v>0.59</v>
      </c>
      <c r="EO33" s="9" t="n">
        <v>37.74</v>
      </c>
      <c r="EP33" s="9" t="n">
        <v>19.47</v>
      </c>
      <c r="EQ33" s="9" t="n">
        <v>17.71</v>
      </c>
      <c r="ER33" s="9" t="n">
        <v>90.94</v>
      </c>
      <c r="ES33" s="9" t="n">
        <v>7.91</v>
      </c>
      <c r="ET33" s="9" t="n">
        <v>16.17</v>
      </c>
      <c r="EU33" s="9" t="n">
        <v>4.13</v>
      </c>
      <c r="EV33" s="9" t="n">
        <v>13.06</v>
      </c>
      <c r="EW33" s="9" t="n">
        <v>18.04</v>
      </c>
      <c r="EX33" s="33">
        <f>PERCENTRANK(EW$2:INDEX($EW:$EW,LOOKUP(2,1/(ISNUMBER($A$2:$A$1048576)),ROW($A$2:$A$1048576))),EW33)</f>
        <v/>
      </c>
      <c r="EY33" s="38">
        <f>1-(EW33-EW$106)/EW$107</f>
        <v/>
      </c>
      <c r="EZ33" s="9" t="n">
        <v>20.8</v>
      </c>
      <c r="FA33" s="9" t="n">
        <v>12.65</v>
      </c>
      <c r="FB33" s="33">
        <f>PERCENTRANK(FA$2:INDEX($FA:$FA,LOOKUP(2,1/(ISNUMBER($A$2:$A$1048576)),ROW($A$2:$A$1048576))),FA33)</f>
        <v/>
      </c>
      <c r="FC33" s="39">
        <f>1-(FA33-FA$106)/FA$107</f>
        <v/>
      </c>
      <c r="FD33" s="9" t="n">
        <v>1.29</v>
      </c>
      <c r="FE33" s="9" t="n">
        <v>1.49</v>
      </c>
      <c r="FF33" s="33">
        <f>PERCENTRANK(FE$2:INDEX($FE:$FE,LOOKUP(2,1/(ISNUMBER($A$2:$A$1048576)),ROW($A$2:$A$1048576))),FE33)</f>
        <v/>
      </c>
      <c r="FG33" s="39">
        <f>1-(FE33-FE$106)/FE$107</f>
        <v/>
      </c>
      <c r="FH33" s="9" t="n">
        <v>13.09</v>
      </c>
      <c r="FI33" s="9" t="n">
        <v>5.41</v>
      </c>
      <c r="FJ33" s="9" t="n">
        <v>41.35</v>
      </c>
      <c r="FK33" s="9" t="n">
        <v>430.71</v>
      </c>
      <c r="FL33" s="33">
        <f>PERCENTRANK(FK$2:INDEX($FK:$FK,LOOKUP(2,1/(ISNUMBER($A$2:$A$1048576)),ROW($A$2:$A$1048576))),FK33)</f>
        <v/>
      </c>
      <c r="FM33" s="39">
        <f>SWA32-(FK33-FK$106)/FK$107</f>
        <v/>
      </c>
      <c r="FN33" s="9" t="n">
        <v>362.21</v>
      </c>
      <c r="FO33" s="9" t="n">
        <v>84.09999999999999</v>
      </c>
      <c r="FP33" s="9" t="n">
        <v>50.92</v>
      </c>
      <c r="FQ33" s="9" t="n">
        <v>102.24</v>
      </c>
      <c r="FR33" s="9" t="n">
        <v>19.18</v>
      </c>
      <c r="FS33" s="9" t="n">
        <v>34.94</v>
      </c>
      <c r="FT33" s="9" t="n">
        <v>48.12</v>
      </c>
      <c r="FU33" s="9" t="n">
        <v>81.06</v>
      </c>
      <c r="FV33" s="9" t="n">
        <v>35.91</v>
      </c>
      <c r="FW33" s="9" t="n">
        <v>32.76</v>
      </c>
      <c r="FX33" s="9" t="n">
        <v>12.38</v>
      </c>
      <c r="FY33" s="9" t="n">
        <v>191.62</v>
      </c>
      <c r="FZ33" s="9" t="n">
        <v>92.15000000000001</v>
      </c>
      <c r="GA33" s="9" t="n">
        <v>48.09</v>
      </c>
      <c r="GB33" s="9" t="n">
        <v>5.88</v>
      </c>
      <c r="GC33" s="9" t="n">
        <v>2.21</v>
      </c>
      <c r="GD33" s="9" t="n">
        <v>37.5</v>
      </c>
      <c r="GE33" s="9" t="n">
        <v>31.29</v>
      </c>
      <c r="GF33" s="9" t="n">
        <v>8.82</v>
      </c>
      <c r="GG33" s="9" t="n">
        <v>28.2</v>
      </c>
      <c r="GH33" s="9" t="n">
        <v>0.97</v>
      </c>
      <c r="GI33" s="9" t="n">
        <v>0.5600000000000001</v>
      </c>
      <c r="GJ33" s="9" t="n">
        <v>57.58</v>
      </c>
      <c r="GK33" s="9" t="n">
        <v>24.68</v>
      </c>
      <c r="GL33" s="9" t="n">
        <v>3.09</v>
      </c>
      <c r="GM33" s="9" t="n">
        <v>12.51</v>
      </c>
      <c r="GN33" s="9" t="n">
        <v>4.56</v>
      </c>
      <c r="GO33" s="9" t="n">
        <v>1.24</v>
      </c>
      <c r="GP33" s="9" t="n">
        <v>27.1</v>
      </c>
      <c r="GQ33" s="9" t="n">
        <v>2.15</v>
      </c>
      <c r="GR33" s="9" t="n">
        <v>0.32</v>
      </c>
      <c r="GS33" s="9" t="n">
        <v>15.07</v>
      </c>
      <c r="GT33" s="9" t="n">
        <v>0.18</v>
      </c>
      <c r="GU33" s="9" t="n">
        <v>0.12</v>
      </c>
      <c r="GV33" s="9" t="n">
        <v>66.67</v>
      </c>
      <c r="GW33" s="9" t="n">
        <v>12.97</v>
      </c>
      <c r="GX33" s="9" t="n">
        <v>3.91</v>
      </c>
      <c r="GY33" s="9" t="n">
        <v>30.16</v>
      </c>
      <c r="GZ33" s="9" t="n">
        <v>4.21</v>
      </c>
      <c r="HA33" s="9" t="n">
        <v>9.18</v>
      </c>
      <c r="HB33" s="9" t="n">
        <v>22.82</v>
      </c>
      <c r="HC33" s="9" t="n">
        <v>3.18</v>
      </c>
      <c r="HD33" s="9" t="n">
        <v>7.82</v>
      </c>
      <c r="HE33" s="9" t="n">
        <v>17.32</v>
      </c>
      <c r="HF33" s="9" t="n">
        <v>65.91</v>
      </c>
      <c r="HG33" s="9" t="n">
        <v>24.35</v>
      </c>
      <c r="HH33" s="9" t="n">
        <v>36.95</v>
      </c>
      <c r="HI33" s="9" t="n">
        <v>1.38</v>
      </c>
      <c r="HJ33" s="9" t="n">
        <v>0.85</v>
      </c>
      <c r="HK33" s="9" t="n">
        <v>10.29</v>
      </c>
      <c r="HL33" s="9" t="n">
        <v>3.5</v>
      </c>
      <c r="HM33" s="9" t="n">
        <v>34</v>
      </c>
      <c r="HN33" s="9" t="n">
        <v>60.88</v>
      </c>
      <c r="HO33" s="9" t="n">
        <v>38.21</v>
      </c>
      <c r="HP33" s="9" t="n">
        <v>62.75</v>
      </c>
      <c r="HQ33" s="9" t="n">
        <v>38.79</v>
      </c>
      <c r="HR33" s="9" t="n">
        <v>19.47</v>
      </c>
      <c r="HS33" s="9" t="n">
        <v>50.19</v>
      </c>
      <c r="HT33" s="9" t="n">
        <v>2.74</v>
      </c>
      <c r="HU33" s="9" t="n">
        <v>1.53</v>
      </c>
      <c r="HV33" s="9" t="n">
        <v>55.91</v>
      </c>
      <c r="HW33" s="9" t="n">
        <v>39.79</v>
      </c>
      <c r="HX33" s="9" t="n">
        <v>15.21</v>
      </c>
      <c r="HY33" s="9" t="n">
        <v>12.06</v>
      </c>
      <c r="HZ33" s="9" t="n">
        <v>2.12</v>
      </c>
      <c r="IA33" s="9" t="n">
        <v>0.21</v>
      </c>
      <c r="IB33" s="9" t="n">
        <v>143.79</v>
      </c>
      <c r="IC33" s="9" t="n">
        <v>106.29</v>
      </c>
      <c r="ID33" s="9" t="n">
        <v>73.92</v>
      </c>
      <c r="IE33" s="9" t="n">
        <v>65.68000000000001</v>
      </c>
      <c r="IF33" s="9" t="n">
        <v>61.94</v>
      </c>
      <c r="IG33" s="9" t="n">
        <v>94.31</v>
      </c>
      <c r="IH33" s="9" t="n">
        <v>164.94</v>
      </c>
      <c r="II33" s="9" t="n">
        <v>147.97</v>
      </c>
      <c r="IJ33" s="9" t="n">
        <v>89.70999999999999</v>
      </c>
      <c r="IK33" s="9" t="n">
        <v>46</v>
      </c>
      <c r="IL33" s="9" t="n">
        <v>25.59</v>
      </c>
      <c r="IM33" s="9" t="n">
        <v>55.63</v>
      </c>
      <c r="IN33" s="9" t="n">
        <v>56.85</v>
      </c>
      <c r="IO33" s="9" t="n">
        <v>40.53</v>
      </c>
      <c r="IP33" s="9" t="n">
        <v>71.29000000000001</v>
      </c>
      <c r="IQ33" s="9" t="n">
        <v>79.06</v>
      </c>
      <c r="IR33" s="9" t="n">
        <v>60.44</v>
      </c>
      <c r="IS33" s="9" t="n">
        <v>76.45</v>
      </c>
      <c r="IT33" s="33">
        <f>PERCENTRANK(IS$2:INDEX($IS:$IS,LOOKUP(2,1/(ISNUMBER($A$2:$A$1048576)),ROW($A$2:$A$1048576))),IS33)</f>
        <v/>
      </c>
      <c r="IU33" s="39">
        <f>1-(IS33-IS$106)/IS$107</f>
        <v/>
      </c>
      <c r="IV33" s="9" t="n">
        <v>1.65</v>
      </c>
      <c r="IW33" s="9" t="n">
        <v>0.5600000000000001</v>
      </c>
      <c r="IX33" s="9" t="n">
        <v>33.93</v>
      </c>
      <c r="IY33" s="9" t="n">
        <v>20.65</v>
      </c>
      <c r="IZ33" s="9" t="n">
        <v>18.62</v>
      </c>
      <c r="JA33" s="9" t="n">
        <v>90.17</v>
      </c>
      <c r="JB33" s="9" t="n">
        <v>8.26</v>
      </c>
      <c r="JC33" s="9" t="n">
        <v>15.7</v>
      </c>
      <c r="JD33" s="9" t="n">
        <v>4.2</v>
      </c>
      <c r="JE33" s="9" t="n">
        <v>11.13</v>
      </c>
      <c r="JF33" s="9" t="n">
        <v>18.94</v>
      </c>
      <c r="JG33" s="9" t="n">
        <v>20.43</v>
      </c>
      <c r="JH33" s="9" t="n">
        <v>12.02</v>
      </c>
    </row>
    <row r="34">
      <c r="A34" s="12" t="n">
        <v>2022</v>
      </c>
      <c r="B34" s="31" t="inlineStr">
        <is>
          <t>Sacramento Republic</t>
        </is>
      </c>
      <c r="C34" s="12" t="n">
        <v>53</v>
      </c>
      <c r="D34" s="5">
        <f>(C34-AVERAGE($C$2:INDEX($C:$C,LOOKUP(2,1/(ISNUMBER($A$2:$A$1048576)),ROW($A$2:$A$1048576)))))/_xlfn.STDEV.P($C$2:INDEX($C:$C,LOOKUP(2,1/(ISNUMBER($A$2:$A$1048576)),ROW($A$2:$A$1048576))))</f>
        <v/>
      </c>
      <c r="E34" s="12" t="n">
        <v>4</v>
      </c>
      <c r="F34" s="6">
        <f>-E34</f>
        <v/>
      </c>
      <c r="G34" s="7">
        <f>(F34-AVERAGE($F$2:INDEX($F:$F,LOOKUP(2,1/(ISNUMBER($A$2:$A$1048576)),ROW($A$2:$A$1048576)))))/_xlfn.STDEV.P($F$2:INDEX($F:$F,LOOKUP(2,1/(ISNUMBER($A$2:$A$1048576)),ROW($A$2:$A$1048576))))</f>
        <v/>
      </c>
      <c r="H34" s="32">
        <f>sum(0.5*D34)+(0.5*G34)</f>
        <v/>
      </c>
      <c r="I34" s="12" t="inlineStr">
        <is>
          <t>West</t>
        </is>
      </c>
      <c r="J34" s="10">
        <f>sum(L34*L$105)+(N34*N$105)+(P34*P$105)+(T34*R$105)</f>
        <v/>
      </c>
      <c r="K34" s="33">
        <f>PERCENTRANK(J$2:INDEX($J:$J,LOOKUP(2,1/(ISNUMBER($A$2:$A$1048576)),ROW($A$2:$A$1048576))),J34)</f>
        <v/>
      </c>
      <c r="L34" s="10">
        <f>sum(AA34*0.66)+(AD34*0.55)+(AG34*0.59)+(CG34*0.51)+(CL34*0.6)+(EY34*0.31)</f>
        <v/>
      </c>
      <c r="M34" s="33">
        <f>PERCENTRANK(L$2:INDEX($L:$L,LOOKUP(2,1/(ISNUMBER($A$2:$A$1048576)),ROW($A$2:$A$1048576))),L34)</f>
        <v/>
      </c>
      <c r="N34" s="10">
        <f>sum(CT34*0.57)+(CW34*0.71)+(DJ34*0.08)+(FC34*0.33)+(FG34*0.69)+(FM34*0.26)+(IU34*0.54)+(AU34*0.4)</f>
        <v/>
      </c>
      <c r="O34" s="33">
        <f>PERCENTRANK(N$2:INDEX($N:$N,LOOKUP(2,1/(ISNUMBER($A$2:$A$1048576)),ROW($A$2:$A$1048576))),N34)</f>
        <v/>
      </c>
      <c r="P34" s="10">
        <f>sum(BG34*0.51)+(CD34*0.51)+(DR34*0.11)+(EF34*0.42)+(EK34*0.44)+(W34*0.6)</f>
        <v/>
      </c>
      <c r="Q34" s="33">
        <f>PERCENTRANK(P$2:INDEX($P:$P,LOOKUP(2,1/(ISNUMBER($A$2:$A$1048576)),ROW($A$2:$A$1048576))),P34)</f>
        <v/>
      </c>
      <c r="R34" s="10">
        <f>sum(Y34-FE34)</f>
        <v/>
      </c>
      <c r="S34" s="33">
        <f>PERCENTRANK(R$2:INDEX($R:$R,LOOKUP(2,1/(ISNUMBER($A$2:$A$1048576)),ROW($A$2:$A$1048576))),R34)</f>
        <v/>
      </c>
      <c r="T34" s="34">
        <f>sum(R34-R$106)/R$107</f>
        <v/>
      </c>
      <c r="U34" s="35">
        <f>sum(Y34/AI34)*100</f>
        <v/>
      </c>
      <c r="V34" s="33">
        <f>PERCENTRANK(U$2:INDEX($U:$U,LOOKUP(2,1/(ISNUMBER($A$2:$A$1048576)),ROW($A$2:$A$1048576))),U34)</f>
        <v/>
      </c>
      <c r="W34" s="36">
        <f>sum(U34-U$106)/U$107</f>
        <v/>
      </c>
      <c r="X34" s="9" t="n">
        <v>1.42</v>
      </c>
      <c r="Y34" s="9" t="n">
        <v>1.5</v>
      </c>
      <c r="Z34" s="33">
        <f>PERCENTRANK(Y$2:INDEX($Y:$Y,LOOKUP(2,1/(ISNUMBER($A$2:$A$1048576)),ROW($A$2:$A$1048576))),Y34)</f>
        <v/>
      </c>
      <c r="AA34" s="37">
        <f>sum(Y34-Y$106)/Y$107</f>
        <v/>
      </c>
      <c r="AB34" s="9" t="n">
        <v>13.28</v>
      </c>
      <c r="AC34" s="33">
        <f>PERCENTRANK(AB$2:INDEX($AB:$AB,LOOKUP(2,1/(ISNUMBER($A$2:$A$1048576)),ROW($A$2:$A$1048576))),AB34)</f>
        <v/>
      </c>
      <c r="AD34" s="38">
        <f>sum(AB34-AB$106)/AB$107</f>
        <v/>
      </c>
      <c r="AE34" s="9" t="n">
        <v>4.44</v>
      </c>
      <c r="AF34" s="33">
        <f>PERCENTRANK(AE$2:INDEX($AE:$AE,LOOKUP(2,1/(ISNUMBER($A$2:$A$1048576)),ROW($A$2:$A$1048576))),AE34)</f>
        <v/>
      </c>
      <c r="AG34" s="38">
        <f>sum(AE34-AE$106)/AE$107</f>
        <v/>
      </c>
      <c r="AH34" s="9" t="n">
        <v>33.47</v>
      </c>
      <c r="AI34" s="9" t="n">
        <v>405.89</v>
      </c>
      <c r="AJ34" s="9" t="n">
        <v>328.78</v>
      </c>
      <c r="AK34" s="9" t="n">
        <v>81</v>
      </c>
      <c r="AL34" s="9" t="n">
        <v>48.87</v>
      </c>
      <c r="AM34" s="9" t="n">
        <v>104.72</v>
      </c>
      <c r="AN34" s="9" t="n">
        <v>17.25</v>
      </c>
      <c r="AO34" s="9" t="n">
        <v>38.19</v>
      </c>
      <c r="AP34" s="9" t="n">
        <v>49.28</v>
      </c>
      <c r="AQ34" s="9" t="n">
        <v>84.64</v>
      </c>
      <c r="AR34" s="9" t="n">
        <v>36.86</v>
      </c>
      <c r="AS34" s="9" t="n">
        <v>35.36</v>
      </c>
      <c r="AT34" s="33">
        <f>PERCENTRANK(AS$2:INDEX($AS:$AS,LOOKUP(2,1/(ISNUMBER($A$2:$A$1048576)),ROW($A$2:$A$1048576))),AS34)</f>
        <v/>
      </c>
      <c r="AU34" s="39">
        <f>SUM(AS34-AS$106)/AS$107</f>
        <v/>
      </c>
      <c r="AV34" s="9" t="n">
        <v>12.42</v>
      </c>
      <c r="AW34" s="33">
        <f>PERCENTRANK(AV$2:INDEX($AV:$AV,LOOKUP(2,1/(ISNUMBER($A$2:$A$1048576)),ROW($A$2:$A$1048576))),AV34)</f>
        <v/>
      </c>
      <c r="AX34" s="9" t="n">
        <v>199.47</v>
      </c>
      <c r="AY34" s="9" t="n">
        <v>101.42</v>
      </c>
      <c r="AZ34" s="9" t="n">
        <v>50.84</v>
      </c>
      <c r="BA34" s="9" t="n">
        <v>5.58</v>
      </c>
      <c r="BB34" s="9" t="n">
        <v>1.56</v>
      </c>
      <c r="BC34" s="9" t="n">
        <v>27.86</v>
      </c>
      <c r="BD34" s="9" t="n">
        <v>30.5</v>
      </c>
      <c r="BE34" s="9" t="n">
        <v>7.67</v>
      </c>
      <c r="BF34" s="33">
        <f>PERCENTRANK(BE$2:INDEX($BE:$BE,LOOKUP(2,1/(ISNUMBER($A$2:$A$1048576)),ROW($A$2:$A$1048576))),BE34)</f>
        <v/>
      </c>
      <c r="BG34" s="40">
        <f>sum(BE34-BE$106)/BE$107</f>
        <v/>
      </c>
      <c r="BH34" s="9" t="n">
        <v>25.14</v>
      </c>
      <c r="BI34" s="9" t="n">
        <v>1.94</v>
      </c>
      <c r="BJ34" s="9" t="n">
        <v>0.89</v>
      </c>
      <c r="BK34" s="9" t="n">
        <v>45.71</v>
      </c>
      <c r="BL34" s="9" t="n">
        <v>26.33</v>
      </c>
      <c r="BM34" s="9" t="n">
        <v>3.86</v>
      </c>
      <c r="BN34" s="9" t="n">
        <v>14.66</v>
      </c>
      <c r="BO34" s="9" t="n">
        <v>5.31</v>
      </c>
      <c r="BP34" s="9" t="n">
        <v>1.75</v>
      </c>
      <c r="BQ34" s="9" t="n">
        <v>32.98</v>
      </c>
      <c r="BR34" s="9" t="n">
        <v>2.5</v>
      </c>
      <c r="BS34" s="9" t="n">
        <v>0.8100000000000001</v>
      </c>
      <c r="BT34" s="9" t="n">
        <v>32.22</v>
      </c>
      <c r="BU34" s="9" t="n">
        <v>0.28</v>
      </c>
      <c r="BV34" s="9" t="n">
        <v>0.19</v>
      </c>
      <c r="BW34" s="9" t="n">
        <v>70</v>
      </c>
      <c r="BX34" s="9" t="n">
        <v>16.72</v>
      </c>
      <c r="BY34" s="9" t="n">
        <v>5.5</v>
      </c>
      <c r="BZ34" s="9" t="n">
        <v>32.89</v>
      </c>
      <c r="CA34" s="9" t="n">
        <v>5.19</v>
      </c>
      <c r="CB34" s="9" t="n">
        <v>6.17</v>
      </c>
      <c r="CC34" s="33">
        <f>PERCENTRANK(CD$2:INDEX($CD:$CD,LOOKUP(2,1/(ISNUMBER($A$2:$A$1048576)),ROW($A$2:$A$1048576))),CD34)</f>
        <v/>
      </c>
      <c r="CD34" s="40">
        <f>sum(CB34-CB$106)/CB$107</f>
        <v/>
      </c>
      <c r="CE34" s="9" t="n">
        <v>25.97</v>
      </c>
      <c r="CF34" s="33">
        <f>PERCENTRANK(CE$2:INDEX($CE:$CE,LOOKUP(2,1/(ISNUMBER($A$2:$A$1048576)),ROW($A$2:$A$1048576))),CE34)</f>
        <v/>
      </c>
      <c r="CG34" s="38">
        <f>sum(CE34-CE$106)/CE$107</f>
        <v/>
      </c>
      <c r="CH34" s="9" t="n">
        <v>3.78</v>
      </c>
      <c r="CI34" s="9" t="n">
        <v>10.92</v>
      </c>
      <c r="CJ34" s="9" t="n">
        <v>16.89</v>
      </c>
      <c r="CK34" s="33">
        <f>PERCENTRANK(CJ$2:INDEX($CJ:$CJ,LOOKUP(2,1/(ISNUMBER($A$2:$A$1048576)),ROW($A$2:$A$1048576))),CJ34)</f>
        <v/>
      </c>
      <c r="CL34" s="38">
        <f>sum(CJ34-CJ$106)/CJ$107</f>
        <v/>
      </c>
      <c r="CM34" s="9" t="n">
        <v>60.44</v>
      </c>
      <c r="CN34" s="9" t="n">
        <v>26.56</v>
      </c>
      <c r="CO34" s="9" t="n">
        <v>43.93</v>
      </c>
      <c r="CP34" s="9" t="n">
        <v>2.39</v>
      </c>
      <c r="CQ34" s="9" t="n">
        <v>1</v>
      </c>
      <c r="CR34" s="9" t="n">
        <v>11.03</v>
      </c>
      <c r="CS34" s="33">
        <f>PERCENTRANK(CR$2:INDEX($CR:$CR,LOOKUP(2,1/(ISNUMBER($A$2:$A$1048576)),ROW($A$2:$A$1048576))),CR34)</f>
        <v/>
      </c>
      <c r="CT34" s="39">
        <f>1-(CR34-CR$106)/CR$107</f>
        <v/>
      </c>
      <c r="CU34" s="9" t="n">
        <v>3.64</v>
      </c>
      <c r="CV34" s="33">
        <f>PERCENTRANK(CU$2:INDEX($CU:$CU,LOOKUP(2,1/(ISNUMBER($A$2:$A$1048576)),ROW($A$2:$A$1048576))),CU34)</f>
        <v/>
      </c>
      <c r="CW34" s="39">
        <f>1-(CU34-CU$106)/CU$107</f>
        <v/>
      </c>
      <c r="CX34" s="9" t="n">
        <v>33</v>
      </c>
      <c r="CY34" s="9" t="n">
        <v>70.69</v>
      </c>
      <c r="CZ34" s="9" t="n">
        <v>44.92</v>
      </c>
      <c r="DA34" s="9" t="n">
        <v>63.54</v>
      </c>
      <c r="DB34" s="9" t="n">
        <v>35.33</v>
      </c>
      <c r="DC34" s="9" t="n">
        <v>16.28</v>
      </c>
      <c r="DD34" s="9" t="n">
        <v>46.07</v>
      </c>
      <c r="DE34" s="9" t="n">
        <v>4.58</v>
      </c>
      <c r="DF34" s="9" t="n">
        <v>2.14</v>
      </c>
      <c r="DG34" s="9" t="n">
        <v>46.67</v>
      </c>
      <c r="DH34" s="9" t="n">
        <v>41.19</v>
      </c>
      <c r="DI34" s="33">
        <f>PERCENTRANK(DH$2:INDEX($DH:$DH,LOOKUP(2,1/(ISNUMBER($A$2:$A$1048576)),ROW($A$2:$A$1048576))),DH34)</f>
        <v/>
      </c>
      <c r="DJ34" s="39">
        <f>SUM(DH34-DH$106)/DH$107</f>
        <v/>
      </c>
      <c r="DK34" s="9" t="n">
        <v>13.94</v>
      </c>
      <c r="DL34" s="9" t="n">
        <v>13.14</v>
      </c>
      <c r="DM34" s="9" t="n">
        <v>2.53</v>
      </c>
      <c r="DN34" s="9" t="n">
        <v>0.08</v>
      </c>
      <c r="DO34" s="9" t="n">
        <v>142.42</v>
      </c>
      <c r="DP34" s="9" t="n">
        <v>100.64</v>
      </c>
      <c r="DQ34" s="33">
        <f>PERCENTRANK(DP$2:INDEX($DP:$DP,LOOKUP(2,1/(ISNUMBER($A$2:$A$1048576)),ROW($A$2:$A$1048576))),DP34)</f>
        <v/>
      </c>
      <c r="DR34" s="40">
        <f>sum(DP34-DP$106)/DP$107</f>
        <v/>
      </c>
      <c r="DS34" s="9" t="n">
        <v>70.67</v>
      </c>
      <c r="DT34" s="9" t="n">
        <v>58.08</v>
      </c>
      <c r="DU34" s="9" t="n">
        <v>53.94</v>
      </c>
      <c r="DV34" s="9" t="n">
        <v>92.87</v>
      </c>
      <c r="DW34" s="9" t="n">
        <v>149.5</v>
      </c>
      <c r="DX34" s="9" t="n">
        <v>129.97</v>
      </c>
      <c r="DY34" s="9" t="n">
        <v>86.94</v>
      </c>
      <c r="DZ34" s="9" t="n">
        <v>46.86</v>
      </c>
      <c r="EA34" s="9" t="n">
        <v>23.28</v>
      </c>
      <c r="EB34" s="9" t="n">
        <v>49.67</v>
      </c>
      <c r="EC34" s="9" t="n">
        <v>55.44</v>
      </c>
      <c r="ED34" s="9" t="n">
        <v>35.64</v>
      </c>
      <c r="EE34" s="33">
        <f>PERCENTRANK(ED$2:INDEX($ED:$ED,LOOKUP(2,1/(ISNUMBER($A$2:$A$1048576)),ROW($A$2:$A$1048576))),ED34)</f>
        <v/>
      </c>
      <c r="EF34" s="40">
        <f>sum(ED34-ED$106)/ED$107</f>
        <v/>
      </c>
      <c r="EG34" s="9" t="n">
        <v>64.28</v>
      </c>
      <c r="EH34" s="9" t="n">
        <v>73.42</v>
      </c>
      <c r="EI34" s="9" t="n">
        <v>52.14</v>
      </c>
      <c r="EJ34" s="33">
        <f>PERCENTRANK(EI$2:INDEX($EI:$EI,LOOKUP(2,1/(ISNUMBER($A$2:$A$1048576)),ROW($A$2:$A$1048576))),EI34)</f>
        <v/>
      </c>
      <c r="EK34" s="40">
        <f>sum(EI34-EI$106)/EI$107</f>
        <v/>
      </c>
      <c r="EL34" s="9" t="n">
        <v>71.02</v>
      </c>
      <c r="EM34" s="9" t="n">
        <v>4.61</v>
      </c>
      <c r="EN34" s="9" t="n">
        <v>2</v>
      </c>
      <c r="EO34" s="9" t="n">
        <v>43.37</v>
      </c>
      <c r="EP34" s="9" t="n">
        <v>22.72</v>
      </c>
      <c r="EQ34" s="9" t="n">
        <v>20.67</v>
      </c>
      <c r="ER34" s="9" t="n">
        <v>90.95</v>
      </c>
      <c r="ES34" s="9" t="n">
        <v>8.08</v>
      </c>
      <c r="ET34" s="9" t="n">
        <v>16.53</v>
      </c>
      <c r="EU34" s="9" t="n">
        <v>3.71</v>
      </c>
      <c r="EV34" s="9" t="n">
        <v>12.1</v>
      </c>
      <c r="EW34" s="9" t="n">
        <v>19.21</v>
      </c>
      <c r="EX34" s="33">
        <f>PERCENTRANK(EW$2:INDEX($EW:$EW,LOOKUP(2,1/(ISNUMBER($A$2:$A$1048576)),ROW($A$2:$A$1048576))),EW34)</f>
        <v/>
      </c>
      <c r="EY34" s="38">
        <f>1-(EW34-EW$106)/EW$107</f>
        <v/>
      </c>
      <c r="EZ34" s="9" t="n">
        <v>20.44</v>
      </c>
      <c r="FA34" s="9" t="n">
        <v>11.25</v>
      </c>
      <c r="FB34" s="33">
        <f>PERCENTRANK(FA$2:INDEX($FA:$FA,LOOKUP(2,1/(ISNUMBER($A$2:$A$1048576)),ROW($A$2:$A$1048576))),FA34)</f>
        <v/>
      </c>
      <c r="FC34" s="39">
        <f>1-(FA34-FA$106)/FA$107</f>
        <v/>
      </c>
      <c r="FD34" s="9" t="n">
        <v>1</v>
      </c>
      <c r="FE34" s="9" t="n">
        <v>1.18</v>
      </c>
      <c r="FF34" s="33">
        <f>PERCENTRANK(FE$2:INDEX($FE:$FE,LOOKUP(2,1/(ISNUMBER($A$2:$A$1048576)),ROW($A$2:$A$1048576))),FE34)</f>
        <v/>
      </c>
      <c r="FG34" s="39">
        <f>1-(FE34-FE$106)/FE$107</f>
        <v/>
      </c>
      <c r="FH34" s="9" t="n">
        <v>11.03</v>
      </c>
      <c r="FI34" s="9" t="n">
        <v>3.53</v>
      </c>
      <c r="FJ34" s="9" t="n">
        <v>31.99</v>
      </c>
      <c r="FK34" s="9" t="n">
        <v>424.39</v>
      </c>
      <c r="FL34" s="33">
        <f>PERCENTRANK(FK$2:INDEX($FK:$FK,LOOKUP(2,1/(ISNUMBER($A$2:$A$1048576)),ROW($A$2:$A$1048576))),FK34)</f>
        <v/>
      </c>
      <c r="FM34" s="39">
        <f>SWA33-(FK34-FK$106)/FK$107</f>
        <v/>
      </c>
      <c r="FN34" s="9" t="n">
        <v>350.78</v>
      </c>
      <c r="FO34" s="9" t="n">
        <v>82.65000000000001</v>
      </c>
      <c r="FP34" s="9" t="n">
        <v>51.13</v>
      </c>
      <c r="FQ34" s="9" t="n">
        <v>106.19</v>
      </c>
      <c r="FR34" s="9" t="n">
        <v>19.89</v>
      </c>
      <c r="FS34" s="9" t="n">
        <v>39.67</v>
      </c>
      <c r="FT34" s="9" t="n">
        <v>46.64</v>
      </c>
      <c r="FU34" s="9" t="n">
        <v>81.83</v>
      </c>
      <c r="FV34" s="9" t="n">
        <v>38.58</v>
      </c>
      <c r="FW34" s="9" t="n">
        <v>32.56</v>
      </c>
      <c r="FX34" s="9" t="n">
        <v>10.69</v>
      </c>
      <c r="FY34" s="9" t="n">
        <v>199.47</v>
      </c>
      <c r="FZ34" s="9" t="n">
        <v>90.25</v>
      </c>
      <c r="GA34" s="9" t="n">
        <v>45.24</v>
      </c>
      <c r="GB34" s="9" t="n">
        <v>5.22</v>
      </c>
      <c r="GC34" s="9" t="n">
        <v>1.17</v>
      </c>
      <c r="GD34" s="9" t="n">
        <v>22.34</v>
      </c>
      <c r="GE34" s="9" t="n">
        <v>26.44</v>
      </c>
      <c r="GF34" s="9" t="n">
        <v>7.28</v>
      </c>
      <c r="GG34" s="9" t="n">
        <v>27.52</v>
      </c>
      <c r="GH34" s="9" t="n">
        <v>1.58</v>
      </c>
      <c r="GI34" s="9" t="n">
        <v>0.61</v>
      </c>
      <c r="GJ34" s="9" t="n">
        <v>38.6</v>
      </c>
      <c r="GK34" s="9" t="n">
        <v>26.81</v>
      </c>
      <c r="GL34" s="9" t="n">
        <v>2.61</v>
      </c>
      <c r="GM34" s="9" t="n">
        <v>9.74</v>
      </c>
      <c r="GN34" s="9" t="n">
        <v>4</v>
      </c>
      <c r="GO34" s="9" t="n">
        <v>1.14</v>
      </c>
      <c r="GP34" s="9" t="n">
        <v>28.47</v>
      </c>
      <c r="GQ34" s="9" t="n">
        <v>2.25</v>
      </c>
      <c r="GR34" s="9" t="n">
        <v>0.42</v>
      </c>
      <c r="GS34" s="9" t="n">
        <v>18.52</v>
      </c>
      <c r="GT34" s="9" t="n">
        <v>0.11</v>
      </c>
      <c r="GU34" s="9" t="n">
        <v>0.06</v>
      </c>
      <c r="GV34" s="9" t="n">
        <v>50</v>
      </c>
      <c r="GW34" s="9" t="n">
        <v>11.36</v>
      </c>
      <c r="GX34" s="9" t="n">
        <v>3.53</v>
      </c>
      <c r="GY34" s="9" t="n">
        <v>31.05</v>
      </c>
      <c r="GZ34" s="9" t="n">
        <v>3.31</v>
      </c>
      <c r="HA34" s="9" t="n">
        <v>4.94</v>
      </c>
      <c r="HB34" s="9" t="n">
        <v>20.17</v>
      </c>
      <c r="HC34" s="9" t="n">
        <v>3.67</v>
      </c>
      <c r="HD34" s="9" t="n">
        <v>6.86</v>
      </c>
      <c r="HE34" s="9" t="n">
        <v>12.86</v>
      </c>
      <c r="HF34" s="9" t="n">
        <v>70.72</v>
      </c>
      <c r="HG34" s="9" t="n">
        <v>25.78</v>
      </c>
      <c r="HH34" s="9" t="n">
        <v>36.45</v>
      </c>
      <c r="HI34" s="9" t="n">
        <v>1.75</v>
      </c>
      <c r="HJ34" s="9" t="n">
        <v>1.42</v>
      </c>
      <c r="HK34" s="9" t="n">
        <v>13.28</v>
      </c>
      <c r="HL34" s="9" t="n">
        <v>4.75</v>
      </c>
      <c r="HM34" s="9" t="n">
        <v>35.77</v>
      </c>
      <c r="HN34" s="9" t="n">
        <v>60.42</v>
      </c>
      <c r="HO34" s="9" t="n">
        <v>33.86</v>
      </c>
      <c r="HP34" s="9" t="n">
        <v>56.05</v>
      </c>
      <c r="HQ34" s="9" t="n">
        <v>35.33</v>
      </c>
      <c r="HR34" s="9" t="n">
        <v>17</v>
      </c>
      <c r="HS34" s="9" t="n">
        <v>48.11</v>
      </c>
      <c r="HT34" s="9" t="n">
        <v>3.67</v>
      </c>
      <c r="HU34" s="9" t="n">
        <v>1.36</v>
      </c>
      <c r="HV34" s="9" t="n">
        <v>37.12</v>
      </c>
      <c r="HW34" s="9" t="n">
        <v>41.39</v>
      </c>
      <c r="HX34" s="9" t="n">
        <v>15.11</v>
      </c>
      <c r="HY34" s="9" t="n">
        <v>12.86</v>
      </c>
      <c r="HZ34" s="9" t="n">
        <v>3.22</v>
      </c>
      <c r="IA34" s="9" t="n">
        <v>0.14</v>
      </c>
      <c r="IB34" s="9" t="n">
        <v>146.61</v>
      </c>
      <c r="IC34" s="9" t="n">
        <v>104.39</v>
      </c>
      <c r="ID34" s="9" t="n">
        <v>71.2</v>
      </c>
      <c r="IE34" s="9" t="n">
        <v>64.06</v>
      </c>
      <c r="IF34" s="9" t="n">
        <v>59.5</v>
      </c>
      <c r="IG34" s="9" t="n">
        <v>92.89</v>
      </c>
      <c r="IH34" s="9" t="n">
        <v>156.5</v>
      </c>
      <c r="II34" s="9" t="n">
        <v>140.92</v>
      </c>
      <c r="IJ34" s="9" t="n">
        <v>90.04000000000001</v>
      </c>
      <c r="IK34" s="9" t="n">
        <v>47.03</v>
      </c>
      <c r="IL34" s="9" t="n">
        <v>24.14</v>
      </c>
      <c r="IM34" s="9" t="n">
        <v>51.33</v>
      </c>
      <c r="IN34" s="9" t="n">
        <v>53.61</v>
      </c>
      <c r="IO34" s="9" t="n">
        <v>34.67</v>
      </c>
      <c r="IP34" s="9" t="n">
        <v>64.66</v>
      </c>
      <c r="IQ34" s="9" t="n">
        <v>73.19</v>
      </c>
      <c r="IR34" s="9" t="n">
        <v>51.97</v>
      </c>
      <c r="IS34" s="9" t="n">
        <v>71.01000000000001</v>
      </c>
      <c r="IT34" s="33">
        <f>PERCENTRANK(IS$2:INDEX($IS:$IS,LOOKUP(2,1/(ISNUMBER($A$2:$A$1048576)),ROW($A$2:$A$1048576))),IS34)</f>
        <v/>
      </c>
      <c r="IU34" s="39">
        <f>1-(IS34-IS$106)/IS$107</f>
        <v/>
      </c>
      <c r="IV34" s="9" t="n">
        <v>3.69</v>
      </c>
      <c r="IW34" s="9" t="n">
        <v>1.28</v>
      </c>
      <c r="IX34" s="9" t="n">
        <v>34.59</v>
      </c>
      <c r="IY34" s="9" t="n">
        <v>24</v>
      </c>
      <c r="IZ34" s="9" t="n">
        <v>21.5</v>
      </c>
      <c r="JA34" s="9" t="n">
        <v>89.58</v>
      </c>
      <c r="JB34" s="9" t="n">
        <v>9.5</v>
      </c>
      <c r="JC34" s="9" t="n">
        <v>16.44</v>
      </c>
      <c r="JD34" s="9" t="n">
        <v>3.9</v>
      </c>
      <c r="JE34" s="9" t="n">
        <v>11.61</v>
      </c>
      <c r="JF34" s="9" t="n">
        <v>19.53</v>
      </c>
      <c r="JG34" s="9" t="n">
        <v>20.21</v>
      </c>
      <c r="JH34" s="9" t="n">
        <v>12.84</v>
      </c>
    </row>
    <row r="35">
      <c r="A35" s="12" t="n">
        <v>2024</v>
      </c>
      <c r="B35" s="31" t="inlineStr">
        <is>
          <t>Colorado Springs</t>
        </is>
      </c>
      <c r="C35" s="12" t="n">
        <v>52</v>
      </c>
      <c r="D35" s="5">
        <f>(C35-AVERAGE($C$2:INDEX($C:$C,LOOKUP(2,1/(ISNUMBER($A$2:$A$1048576)),ROW($A$2:$A$1048576)))))/_xlfn.STDEV.P($C$2:INDEX($C:$C,LOOKUP(2,1/(ISNUMBER($A$2:$A$1048576)),ROW($A$2:$A$1048576))))</f>
        <v/>
      </c>
      <c r="E35" s="12" t="n">
        <v>2</v>
      </c>
      <c r="F35" s="6">
        <f>-E35</f>
        <v/>
      </c>
      <c r="G35" s="7">
        <f>(F35-AVERAGE($F$2:INDEX($F:$F,LOOKUP(2,1/(ISNUMBER($A$2:$A$1048576)),ROW($A$2:$A$1048576)))))/_xlfn.STDEV.P($F$2:INDEX($F:$F,LOOKUP(2,1/(ISNUMBER($A$2:$A$1048576)),ROW($A$2:$A$1048576))))</f>
        <v/>
      </c>
      <c r="H35" s="32">
        <f>sum(0.5*D35)+(0.5*G35)</f>
        <v/>
      </c>
      <c r="I35" s="12" t="inlineStr">
        <is>
          <t>West</t>
        </is>
      </c>
      <c r="J35" s="10">
        <f>sum(L35*L$105)+(N35*N$105)+(P35*P$105)+(T35*R$105)</f>
        <v/>
      </c>
      <c r="K35" s="33">
        <f>PERCENTRANK(J$2:INDEX($J:$J,LOOKUP(2,1/(ISNUMBER($A$2:$A$1048576)),ROW($A$2:$A$1048576))),J35)</f>
        <v/>
      </c>
      <c r="L35" s="10">
        <f>sum(AA35*0.66)+(AD35*0.55)+(AG35*0.59)+(CG35*0.51)+(CL35*0.6)+(EY35*0.31)</f>
        <v/>
      </c>
      <c r="M35" s="33">
        <f>PERCENTRANK(L$2:INDEX($L:$L,LOOKUP(2,1/(ISNUMBER($A$2:$A$1048576)),ROW($A$2:$A$1048576))),L35)</f>
        <v/>
      </c>
      <c r="N35" s="10">
        <f>sum(CT35*0.57)+(CW35*0.71)+(DJ35*0.08)+(FC35*0.33)+(FG35*0.69)+(FM35*0.26)+(IU35*0.54)+(AU35*0.4)</f>
        <v/>
      </c>
      <c r="O35" s="33">
        <f>PERCENTRANK(N$2:INDEX($N:$N,LOOKUP(2,1/(ISNUMBER($A$2:$A$1048576)),ROW($A$2:$A$1048576))),N35)</f>
        <v/>
      </c>
      <c r="P35" s="10">
        <f>sum(BG35*0.51)+(CD35*0.51)+(DR35*0.11)+(EF35*0.42)+(EK35*0.44)+(W35*0.6)</f>
        <v/>
      </c>
      <c r="Q35" s="33">
        <f>PERCENTRANK(P$2:INDEX($P:$P,LOOKUP(2,1/(ISNUMBER($A$2:$A$1048576)),ROW($A$2:$A$1048576))),P35)</f>
        <v/>
      </c>
      <c r="R35" s="10">
        <f>sum(Y35-FE35)</f>
        <v/>
      </c>
      <c r="S35" s="33">
        <f>PERCENTRANK(R$2:INDEX($R:$R,LOOKUP(2,1/(ISNUMBER($A$2:$A$1048576)),ROW($A$2:$A$1048576))),R35)</f>
        <v/>
      </c>
      <c r="T35" s="34">
        <f>sum(R35-R$106)/R$107</f>
        <v/>
      </c>
      <c r="U35" s="35">
        <f>sum(Y35/AI35)*100</f>
        <v/>
      </c>
      <c r="V35" s="33">
        <f>PERCENTRANK(U$2:INDEX($U:$U,LOOKUP(2,1/(ISNUMBER($A$2:$A$1048576)),ROW($A$2:$A$1048576))),U35)</f>
        <v/>
      </c>
      <c r="W35" s="36">
        <f>sum(U35-U$106)/U$107</f>
        <v/>
      </c>
      <c r="X35" s="9" t="n">
        <v>1.47</v>
      </c>
      <c r="Y35" s="9" t="n">
        <v>1.48</v>
      </c>
      <c r="Z35" s="33">
        <f>PERCENTRANK(Y$2:INDEX($Y:$Y,LOOKUP(2,1/(ISNUMBER($A$2:$A$1048576)),ROW($A$2:$A$1048576))),Y35)</f>
        <v/>
      </c>
      <c r="AA35" s="37">
        <f>sum(Y35-Y$106)/Y$107</f>
        <v/>
      </c>
      <c r="AB35" s="9" t="n">
        <v>12.87</v>
      </c>
      <c r="AC35" s="33">
        <f>PERCENTRANK(AB$2:INDEX($AB:$AB,LOOKUP(2,1/(ISNUMBER($A$2:$A$1048576)),ROW($A$2:$A$1048576))),AB35)</f>
        <v/>
      </c>
      <c r="AD35" s="38">
        <f>sum(AB35-AB$106)/AB$107</f>
        <v/>
      </c>
      <c r="AE35" s="9" t="n">
        <v>4.32</v>
      </c>
      <c r="AF35" s="33">
        <f>PERCENTRANK(AE$2:INDEX($AE:$AE,LOOKUP(2,1/(ISNUMBER($A$2:$A$1048576)),ROW($A$2:$A$1048576))),AE35)</f>
        <v/>
      </c>
      <c r="AG35" s="38">
        <f>sum(AE35-AE$106)/AE$107</f>
        <v/>
      </c>
      <c r="AH35" s="9" t="n">
        <v>33.54</v>
      </c>
      <c r="AI35" s="9" t="n">
        <v>389.92</v>
      </c>
      <c r="AJ35" s="9" t="n">
        <v>318.63</v>
      </c>
      <c r="AK35" s="9" t="n">
        <v>81.72</v>
      </c>
      <c r="AL35" s="9" t="n">
        <v>50.24</v>
      </c>
      <c r="AM35" s="9" t="n">
        <v>103.05</v>
      </c>
      <c r="AN35" s="9" t="n">
        <v>17.82</v>
      </c>
      <c r="AO35" s="9" t="n">
        <v>35.66</v>
      </c>
      <c r="AP35" s="9" t="n">
        <v>49.58</v>
      </c>
      <c r="AQ35" s="9" t="n">
        <v>77.61</v>
      </c>
      <c r="AR35" s="9" t="n">
        <v>34</v>
      </c>
      <c r="AS35" s="9" t="n">
        <v>31.47</v>
      </c>
      <c r="AT35" s="33">
        <f>PERCENTRANK(AS$2:INDEX($AS:$AS,LOOKUP(2,1/(ISNUMBER($A$2:$A$1048576)),ROW($A$2:$A$1048576))),AS35)</f>
        <v/>
      </c>
      <c r="AU35" s="39">
        <f>SUM(AS35-AS$106)/AS$107</f>
        <v/>
      </c>
      <c r="AV35" s="9" t="n">
        <v>12.13</v>
      </c>
      <c r="AW35" s="33">
        <f>PERCENTRANK(AV$2:INDEX($AV:$AV,LOOKUP(2,1/(ISNUMBER($A$2:$A$1048576)),ROW($A$2:$A$1048576))),AV35)</f>
        <v/>
      </c>
      <c r="AX35" s="9" t="n">
        <v>186.29</v>
      </c>
      <c r="AY35" s="9" t="n">
        <v>88.5</v>
      </c>
      <c r="AZ35" s="9" t="n">
        <v>47.51</v>
      </c>
      <c r="BA35" s="9" t="n">
        <v>5.97</v>
      </c>
      <c r="BB35" s="9" t="n">
        <v>1.37</v>
      </c>
      <c r="BC35" s="9" t="n">
        <v>22.91</v>
      </c>
      <c r="BD35" s="9" t="n">
        <v>28.82</v>
      </c>
      <c r="BE35" s="9" t="n">
        <v>8.449999999999999</v>
      </c>
      <c r="BF35" s="33">
        <f>PERCENTRANK(BE$2:INDEX($BE:$BE,LOOKUP(2,1/(ISNUMBER($A$2:$A$1048576)),ROW($A$2:$A$1048576))),BE35)</f>
        <v/>
      </c>
      <c r="BG35" s="40">
        <f>sum(BE35-BE$106)/BE$107</f>
        <v/>
      </c>
      <c r="BH35" s="9" t="n">
        <v>29.32</v>
      </c>
      <c r="BI35" s="9" t="n">
        <v>1.05</v>
      </c>
      <c r="BJ35" s="9" t="n">
        <v>0.42</v>
      </c>
      <c r="BK35" s="9" t="n">
        <v>40</v>
      </c>
      <c r="BL35" s="9" t="n">
        <v>25.84</v>
      </c>
      <c r="BM35" s="9" t="n">
        <v>3.5</v>
      </c>
      <c r="BN35" s="9" t="n">
        <v>13.54</v>
      </c>
      <c r="BO35" s="9" t="n">
        <v>4.55</v>
      </c>
      <c r="BP35" s="9" t="n">
        <v>1.26</v>
      </c>
      <c r="BQ35" s="9" t="n">
        <v>27.75</v>
      </c>
      <c r="BR35" s="9" t="n">
        <v>1.55</v>
      </c>
      <c r="BS35" s="9" t="n">
        <v>0.55</v>
      </c>
      <c r="BT35" s="9" t="n">
        <v>35.59</v>
      </c>
      <c r="BU35" s="9" t="n">
        <v>0.21</v>
      </c>
      <c r="BV35" s="9" t="n">
        <v>0.18</v>
      </c>
      <c r="BW35" s="9" t="n">
        <v>87.5</v>
      </c>
      <c r="BX35" s="9" t="n">
        <v>14.45</v>
      </c>
      <c r="BY35" s="9" t="n">
        <v>4.97</v>
      </c>
      <c r="BZ35" s="9" t="n">
        <v>34.43</v>
      </c>
      <c r="CA35" s="9" t="n">
        <v>5.03</v>
      </c>
      <c r="CB35" s="9" t="n">
        <v>6.95</v>
      </c>
      <c r="CC35" s="33">
        <f>PERCENTRANK(CD$2:INDEX($CD:$CD,LOOKUP(2,1/(ISNUMBER($A$2:$A$1048576)),ROW($A$2:$A$1048576))),CD35)</f>
        <v/>
      </c>
      <c r="CD35" s="40">
        <f>sum(CB35-CB$106)/CB$107</f>
        <v/>
      </c>
      <c r="CE35" s="9" t="n">
        <v>24.39</v>
      </c>
      <c r="CF35" s="33">
        <f>PERCENTRANK(CE$2:INDEX($CE:$CE,LOOKUP(2,1/(ISNUMBER($A$2:$A$1048576)),ROW($A$2:$A$1048576))),CE35)</f>
        <v/>
      </c>
      <c r="CG35" s="38">
        <f>sum(CE35-CE$106)/CE$107</f>
        <v/>
      </c>
      <c r="CH35" s="9" t="n">
        <v>4.34</v>
      </c>
      <c r="CI35" s="9" t="n">
        <v>9.08</v>
      </c>
      <c r="CJ35" s="9" t="n">
        <v>15.79</v>
      </c>
      <c r="CK35" s="33">
        <f>PERCENTRANK(CJ$2:INDEX($CJ:$CJ,LOOKUP(2,1/(ISNUMBER($A$2:$A$1048576)),ROW($A$2:$A$1048576))),CJ35)</f>
        <v/>
      </c>
      <c r="CL35" s="38">
        <f>sum(CJ35-CJ$106)/CJ$107</f>
        <v/>
      </c>
      <c r="CM35" s="9" t="n">
        <v>62.71</v>
      </c>
      <c r="CN35" s="9" t="n">
        <v>24.66</v>
      </c>
      <c r="CO35" s="9" t="n">
        <v>39.32</v>
      </c>
      <c r="CP35" s="9" t="n">
        <v>2.32</v>
      </c>
      <c r="CQ35" s="9" t="n">
        <v>1.08</v>
      </c>
      <c r="CR35" s="9" t="n">
        <v>10.97</v>
      </c>
      <c r="CS35" s="33">
        <f>PERCENTRANK(CR$2:INDEX($CR:$CR,LOOKUP(2,1/(ISNUMBER($A$2:$A$1048576)),ROW($A$2:$A$1048576))),CR35)</f>
        <v/>
      </c>
      <c r="CT35" s="39">
        <f>1-(CR35-CR$106)/CR$107</f>
        <v/>
      </c>
      <c r="CU35" s="9" t="n">
        <v>3.71</v>
      </c>
      <c r="CV35" s="33">
        <f>PERCENTRANK(CU$2:INDEX($CU:$CU,LOOKUP(2,1/(ISNUMBER($A$2:$A$1048576)),ROW($A$2:$A$1048576))),CU35)</f>
        <v/>
      </c>
      <c r="CW35" s="39">
        <f>1-(CU35-CU$106)/CU$107</f>
        <v/>
      </c>
      <c r="CX35" s="9" t="n">
        <v>33.81</v>
      </c>
      <c r="CY35" s="9" t="n">
        <v>63.13</v>
      </c>
      <c r="CZ35" s="9" t="n">
        <v>38.18</v>
      </c>
      <c r="DA35" s="9" t="n">
        <v>60.48</v>
      </c>
      <c r="DB35" s="9" t="n">
        <v>35.45</v>
      </c>
      <c r="DC35" s="9" t="n">
        <v>15.55</v>
      </c>
      <c r="DD35" s="9" t="n">
        <v>43.88</v>
      </c>
      <c r="DE35" s="9" t="n">
        <v>2.63</v>
      </c>
      <c r="DF35" s="9" t="n">
        <v>1.13</v>
      </c>
      <c r="DG35" s="9" t="n">
        <v>43</v>
      </c>
      <c r="DH35" s="9" t="n">
        <v>37.32</v>
      </c>
      <c r="DI35" s="33">
        <f>PERCENTRANK(DH$2:INDEX($DH:$DH,LOOKUP(2,1/(ISNUMBER($A$2:$A$1048576)),ROW($A$2:$A$1048576))),DH35)</f>
        <v/>
      </c>
      <c r="DJ35" s="39">
        <f>SUM(DH35-DH$106)/DH$107</f>
        <v/>
      </c>
      <c r="DK35" s="9" t="n">
        <v>13.42</v>
      </c>
      <c r="DL35" s="9" t="n">
        <v>13.32</v>
      </c>
      <c r="DM35" s="9" t="n">
        <v>2.45</v>
      </c>
      <c r="DN35" s="9" t="n">
        <v>0.08</v>
      </c>
      <c r="DO35" s="9" t="n">
        <v>135.5</v>
      </c>
      <c r="DP35" s="9" t="n">
        <v>94.29000000000001</v>
      </c>
      <c r="DQ35" s="33">
        <f>PERCENTRANK(DP$2:INDEX($DP:$DP,LOOKUP(2,1/(ISNUMBER($A$2:$A$1048576)),ROW($A$2:$A$1048576))),DP35)</f>
        <v/>
      </c>
      <c r="DR35" s="40">
        <f>sum(DP35-DP$106)/DP$107</f>
        <v/>
      </c>
      <c r="DS35" s="9" t="n">
        <v>69.59</v>
      </c>
      <c r="DT35" s="9" t="n">
        <v>58</v>
      </c>
      <c r="DU35" s="9" t="n">
        <v>54.55</v>
      </c>
      <c r="DV35" s="9" t="n">
        <v>94.06</v>
      </c>
      <c r="DW35" s="9" t="n">
        <v>141.97</v>
      </c>
      <c r="DX35" s="9" t="n">
        <v>125.79</v>
      </c>
      <c r="DY35" s="9" t="n">
        <v>88.59999999999999</v>
      </c>
      <c r="DZ35" s="9" t="n">
        <v>47.18</v>
      </c>
      <c r="EA35" s="9" t="n">
        <v>23.13</v>
      </c>
      <c r="EB35" s="9" t="n">
        <v>49.02</v>
      </c>
      <c r="EC35" s="9" t="n">
        <v>56.13</v>
      </c>
      <c r="ED35" s="9" t="n">
        <v>37.45</v>
      </c>
      <c r="EE35" s="33">
        <f>PERCENTRANK(ED$2:INDEX($ED:$ED,LOOKUP(2,1/(ISNUMBER($A$2:$A$1048576)),ROW($A$2:$A$1048576))),ED35)</f>
        <v/>
      </c>
      <c r="EF35" s="40">
        <f>sum(ED35-ED$106)/ED$107</f>
        <v/>
      </c>
      <c r="EG35" s="9" t="n">
        <v>66.70999999999999</v>
      </c>
      <c r="EH35" s="9" t="n">
        <v>68.95</v>
      </c>
      <c r="EI35" s="9" t="n">
        <v>49.18</v>
      </c>
      <c r="EJ35" s="33">
        <f>PERCENTRANK(EI$2:INDEX($EI:$EI,LOOKUP(2,1/(ISNUMBER($A$2:$A$1048576)),ROW($A$2:$A$1048576))),EI35)</f>
        <v/>
      </c>
      <c r="EK35" s="40">
        <f>sum(EI35-EI$106)/EI$107</f>
        <v/>
      </c>
      <c r="EL35" s="9" t="n">
        <v>71.34</v>
      </c>
      <c r="EM35" s="9" t="n">
        <v>2.26</v>
      </c>
      <c r="EN35" s="9" t="n">
        <v>1.24</v>
      </c>
      <c r="EO35" s="9" t="n">
        <v>54.65</v>
      </c>
      <c r="EP35" s="9" t="n">
        <v>22.08</v>
      </c>
      <c r="EQ35" s="9" t="n">
        <v>19.53</v>
      </c>
      <c r="ER35" s="9" t="n">
        <v>88.44</v>
      </c>
      <c r="ES35" s="9" t="n">
        <v>8.68</v>
      </c>
      <c r="ET35" s="9" t="n">
        <v>15.46</v>
      </c>
      <c r="EU35" s="9" t="n">
        <v>3.77</v>
      </c>
      <c r="EV35" s="9" t="n">
        <v>12.54</v>
      </c>
      <c r="EW35" s="9" t="n">
        <v>19.39</v>
      </c>
      <c r="EX35" s="33">
        <f>PERCENTRANK(EW$2:INDEX($EW:$EW,LOOKUP(2,1/(ISNUMBER($A$2:$A$1048576)),ROW($A$2:$A$1048576))),EW35)</f>
        <v/>
      </c>
      <c r="EY35" s="38">
        <f>1-(EW35-EW$106)/EW$107</f>
        <v/>
      </c>
      <c r="EZ35" s="9" t="n">
        <v>20.41</v>
      </c>
      <c r="FA35" s="9" t="n">
        <v>10.11</v>
      </c>
      <c r="FB35" s="33">
        <f>PERCENTRANK(FA$2:INDEX($FA:$FA,LOOKUP(2,1/(ISNUMBER($A$2:$A$1048576)),ROW($A$2:$A$1048576))),FA35)</f>
        <v/>
      </c>
      <c r="FC35" s="39">
        <f>1-(FA35-FA$106)/FA$107</f>
        <v/>
      </c>
      <c r="FD35" s="9" t="n">
        <v>1.08</v>
      </c>
      <c r="FE35" s="9" t="n">
        <v>1.35</v>
      </c>
      <c r="FF35" s="33">
        <f>PERCENTRANK(FE$2:INDEX($FE:$FE,LOOKUP(2,1/(ISNUMBER($A$2:$A$1048576)),ROW($A$2:$A$1048576))),FE35)</f>
        <v/>
      </c>
      <c r="FG35" s="39">
        <f>1-(FE35-FE$106)/FE$107</f>
        <v/>
      </c>
      <c r="FH35" s="9" t="n">
        <v>10.97</v>
      </c>
      <c r="FI35" s="9" t="n">
        <v>3.47</v>
      </c>
      <c r="FJ35" s="9" t="n">
        <v>31.65</v>
      </c>
      <c r="FK35" s="9" t="n">
        <v>390.74</v>
      </c>
      <c r="FL35" s="33">
        <f>PERCENTRANK(FK$2:INDEX($FK:$FK,LOOKUP(2,1/(ISNUMBER($A$2:$A$1048576)),ROW($A$2:$A$1048576))),FK35)</f>
        <v/>
      </c>
      <c r="FM35" s="39">
        <f>SWA34-(FK35-FK$106)/FK$107</f>
        <v/>
      </c>
      <c r="FN35" s="9" t="n">
        <v>319.03</v>
      </c>
      <c r="FO35" s="9" t="n">
        <v>81.65000000000001</v>
      </c>
      <c r="FP35" s="9" t="n">
        <v>49.76</v>
      </c>
      <c r="FQ35" s="9" t="n">
        <v>101.63</v>
      </c>
      <c r="FR35" s="9" t="n">
        <v>19</v>
      </c>
      <c r="FS35" s="9" t="n">
        <v>37.39</v>
      </c>
      <c r="FT35" s="9" t="n">
        <v>45.24</v>
      </c>
      <c r="FU35" s="9" t="n">
        <v>75.95</v>
      </c>
      <c r="FV35" s="9" t="n">
        <v>36.55</v>
      </c>
      <c r="FW35" s="9" t="n">
        <v>28.55</v>
      </c>
      <c r="FX35" s="9" t="n">
        <v>10.84</v>
      </c>
      <c r="FY35" s="9" t="n">
        <v>186.29</v>
      </c>
      <c r="FZ35" s="9" t="n">
        <v>90.53</v>
      </c>
      <c r="GA35" s="9" t="n">
        <v>48.59</v>
      </c>
      <c r="GB35" s="9" t="n">
        <v>4.37</v>
      </c>
      <c r="GC35" s="9" t="n">
        <v>1</v>
      </c>
      <c r="GD35" s="9" t="n">
        <v>22.89</v>
      </c>
      <c r="GE35" s="9" t="n">
        <v>25.71</v>
      </c>
      <c r="GF35" s="9" t="n">
        <v>6.87</v>
      </c>
      <c r="GG35" s="9" t="n">
        <v>26.71</v>
      </c>
      <c r="GH35" s="9" t="n">
        <v>0.87</v>
      </c>
      <c r="GI35" s="9" t="n">
        <v>0.45</v>
      </c>
      <c r="GJ35" s="9" t="n">
        <v>51.52</v>
      </c>
      <c r="GK35" s="9" t="n">
        <v>27.42</v>
      </c>
      <c r="GL35" s="9" t="n">
        <v>3.11</v>
      </c>
      <c r="GM35" s="9" t="n">
        <v>11.32</v>
      </c>
      <c r="GN35" s="9" t="n">
        <v>4.63</v>
      </c>
      <c r="GO35" s="9" t="n">
        <v>1.29</v>
      </c>
      <c r="GP35" s="9" t="n">
        <v>27.84</v>
      </c>
      <c r="GQ35" s="9" t="n">
        <v>2.03</v>
      </c>
      <c r="GR35" s="9" t="n">
        <v>0.45</v>
      </c>
      <c r="GS35" s="9" t="n">
        <v>22.08</v>
      </c>
      <c r="GT35" s="9" t="n">
        <v>0.13</v>
      </c>
      <c r="GU35" s="9" t="n">
        <v>0.08</v>
      </c>
      <c r="GV35" s="9" t="n">
        <v>60</v>
      </c>
      <c r="GW35" s="9" t="n">
        <v>14.82</v>
      </c>
      <c r="GX35" s="9" t="n">
        <v>4.58</v>
      </c>
      <c r="GY35" s="9" t="n">
        <v>30.91</v>
      </c>
      <c r="GZ35" s="9" t="n">
        <v>4.87</v>
      </c>
      <c r="HA35" s="9" t="n">
        <v>6.68</v>
      </c>
      <c r="HB35" s="9" t="n">
        <v>23.55</v>
      </c>
      <c r="HC35" s="9" t="n">
        <v>3.89</v>
      </c>
      <c r="HD35" s="9" t="n">
        <v>9.449999999999999</v>
      </c>
      <c r="HE35" s="9" t="n">
        <v>16.61</v>
      </c>
      <c r="HF35" s="9" t="n">
        <v>63.11</v>
      </c>
      <c r="HG35" s="9" t="n">
        <v>24.92</v>
      </c>
      <c r="HH35" s="9" t="n">
        <v>39.49</v>
      </c>
      <c r="HI35" s="9" t="n">
        <v>1.79</v>
      </c>
      <c r="HJ35" s="9" t="n">
        <v>1.47</v>
      </c>
      <c r="HK35" s="9" t="n">
        <v>12.87</v>
      </c>
      <c r="HL35" s="9" t="n">
        <v>4.45</v>
      </c>
      <c r="HM35" s="9" t="n">
        <v>34.56</v>
      </c>
      <c r="HN35" s="9" t="n">
        <v>62.74</v>
      </c>
      <c r="HO35" s="9" t="n">
        <v>38.05</v>
      </c>
      <c r="HP35" s="9" t="n">
        <v>60.65</v>
      </c>
      <c r="HQ35" s="9" t="n">
        <v>35.45</v>
      </c>
      <c r="HR35" s="9" t="n">
        <v>16.89</v>
      </c>
      <c r="HS35" s="9" t="n">
        <v>47.66</v>
      </c>
      <c r="HT35" s="9" t="n">
        <v>3</v>
      </c>
      <c r="HU35" s="9" t="n">
        <v>1.29</v>
      </c>
      <c r="HV35" s="9" t="n">
        <v>42.98</v>
      </c>
      <c r="HW35" s="9" t="n">
        <v>37.61</v>
      </c>
      <c r="HX35" s="9" t="n">
        <v>14.71</v>
      </c>
      <c r="HY35" s="9" t="n">
        <v>12.45</v>
      </c>
      <c r="HZ35" s="9" t="n">
        <v>2.76</v>
      </c>
      <c r="IA35" s="9" t="n">
        <v>0.08</v>
      </c>
      <c r="IB35" s="9" t="n">
        <v>132.13</v>
      </c>
      <c r="IC35" s="9" t="n">
        <v>92.23999999999999</v>
      </c>
      <c r="ID35" s="9" t="n">
        <v>69.81</v>
      </c>
      <c r="IE35" s="9" t="n">
        <v>61.58</v>
      </c>
      <c r="IF35" s="9" t="n">
        <v>57.79</v>
      </c>
      <c r="IG35" s="9" t="n">
        <v>93.84999999999999</v>
      </c>
      <c r="IH35" s="9" t="n">
        <v>147.08</v>
      </c>
      <c r="II35" s="9" t="n">
        <v>129.32</v>
      </c>
      <c r="IJ35" s="9" t="n">
        <v>87.92</v>
      </c>
      <c r="IK35" s="9" t="n">
        <v>49.32</v>
      </c>
      <c r="IL35" s="9" t="n">
        <v>25.45</v>
      </c>
      <c r="IM35" s="9" t="n">
        <v>51.6</v>
      </c>
      <c r="IN35" s="9" t="n">
        <v>52.08</v>
      </c>
      <c r="IO35" s="9" t="n">
        <v>34.37</v>
      </c>
      <c r="IP35" s="9" t="n">
        <v>65.98999999999999</v>
      </c>
      <c r="IQ35" s="9" t="n">
        <v>68.63</v>
      </c>
      <c r="IR35" s="9" t="n">
        <v>47.26</v>
      </c>
      <c r="IS35" s="9" t="n">
        <v>68.87</v>
      </c>
      <c r="IT35" s="33">
        <f>PERCENTRANK(IS$2:INDEX($IS:$IS,LOOKUP(2,1/(ISNUMBER($A$2:$A$1048576)),ROW($A$2:$A$1048576))),IS35)</f>
        <v/>
      </c>
      <c r="IU35" s="39">
        <f>1-(IS35-IS$106)/IS$107</f>
        <v/>
      </c>
      <c r="IV35" s="9" t="n">
        <v>1.68</v>
      </c>
      <c r="IW35" s="9" t="n">
        <v>0.74</v>
      </c>
      <c r="IX35" s="9" t="n">
        <v>43.75</v>
      </c>
      <c r="IY35" s="9" t="n">
        <v>19.11</v>
      </c>
      <c r="IZ35" s="9" t="n">
        <v>17.37</v>
      </c>
      <c r="JA35" s="9" t="n">
        <v>90.91</v>
      </c>
      <c r="JB35" s="9" t="n">
        <v>8.74</v>
      </c>
      <c r="JC35" s="9" t="n">
        <v>15.65</v>
      </c>
      <c r="JD35" s="9" t="n">
        <v>3.79</v>
      </c>
      <c r="JE35" s="9" t="n">
        <v>13.08</v>
      </c>
      <c r="JF35" s="9" t="n">
        <v>18.15</v>
      </c>
      <c r="JG35" s="9" t="n">
        <v>20.83</v>
      </c>
      <c r="JH35" s="9" t="n">
        <v>11.97</v>
      </c>
    </row>
    <row r="36">
      <c r="A36" s="12" t="n">
        <v>2022</v>
      </c>
      <c r="B36" s="31" t="inlineStr">
        <is>
          <t>Tampa Bay Rowdies</t>
        </is>
      </c>
      <c r="C36" s="12" t="n">
        <v>67</v>
      </c>
      <c r="D36" s="5">
        <f>(C36-AVERAGE($C$2:INDEX($C:$C,LOOKUP(2,1/(ISNUMBER($A$2:$A$1048576)),ROW($A$2:$A$1048576)))))/_xlfn.STDEV.P($C$2:INDEX($C:$C,LOOKUP(2,1/(ISNUMBER($A$2:$A$1048576)),ROW($A$2:$A$1048576))))</f>
        <v/>
      </c>
      <c r="E36" s="12" t="n">
        <v>3</v>
      </c>
      <c r="F36" s="6">
        <f>-E36</f>
        <v/>
      </c>
      <c r="G36" s="7">
        <f>(F36-AVERAGE($F$2:INDEX($F:$F,LOOKUP(2,1/(ISNUMBER($A$2:$A$1048576)),ROW($A$2:$A$1048576)))))/_xlfn.STDEV.P($F$2:INDEX($F:$F,LOOKUP(2,1/(ISNUMBER($A$2:$A$1048576)),ROW($A$2:$A$1048576))))</f>
        <v/>
      </c>
      <c r="H36" s="32">
        <f>sum(0.5*D36)+(0.5*G36)</f>
        <v/>
      </c>
      <c r="I36" s="12" t="inlineStr">
        <is>
          <t>East</t>
        </is>
      </c>
      <c r="J36" s="10">
        <f>sum(L36*L$105)+(N36*N$105)+(P36*P$105)+(T36*R$105)</f>
        <v/>
      </c>
      <c r="K36" s="33">
        <f>PERCENTRANK(J$2:INDEX($J:$J,LOOKUP(2,1/(ISNUMBER($A$2:$A$1048576)),ROW($A$2:$A$1048576))),J36)</f>
        <v/>
      </c>
      <c r="L36" s="10">
        <f>sum(AA36*0.66)+(AD36*0.55)+(AG36*0.59)+(CG36*0.51)+(CL36*0.6)+(EY36*0.31)</f>
        <v/>
      </c>
      <c r="M36" s="33">
        <f>PERCENTRANK(L$2:INDEX($L:$L,LOOKUP(2,1/(ISNUMBER($A$2:$A$1048576)),ROW($A$2:$A$1048576))),L36)</f>
        <v/>
      </c>
      <c r="N36" s="10">
        <f>sum(CT36*0.57)+(CW36*0.71)+(DJ36*0.08)+(FC36*0.33)+(FG36*0.69)+(FM36*0.26)+(IU36*0.54)+(AU36*0.4)</f>
        <v/>
      </c>
      <c r="O36" s="33">
        <f>PERCENTRANK(N$2:INDEX($N:$N,LOOKUP(2,1/(ISNUMBER($A$2:$A$1048576)),ROW($A$2:$A$1048576))),N36)</f>
        <v/>
      </c>
      <c r="P36" s="10">
        <f>sum(BG36*0.51)+(CD36*0.51)+(DR36*0.11)+(EF36*0.42)+(EK36*0.44)+(W36*0.6)</f>
        <v/>
      </c>
      <c r="Q36" s="33">
        <f>PERCENTRANK(P$2:INDEX($P:$P,LOOKUP(2,1/(ISNUMBER($A$2:$A$1048576)),ROW($A$2:$A$1048576))),P36)</f>
        <v/>
      </c>
      <c r="R36" s="10">
        <f>sum(Y36-FE36)</f>
        <v/>
      </c>
      <c r="S36" s="33">
        <f>PERCENTRANK(R$2:INDEX($R:$R,LOOKUP(2,1/(ISNUMBER($A$2:$A$1048576)),ROW($A$2:$A$1048576))),R36)</f>
        <v/>
      </c>
      <c r="T36" s="34">
        <f>sum(R36-R$106)/R$107</f>
        <v/>
      </c>
      <c r="U36" s="35">
        <f>sum(Y36/AI36)*100</f>
        <v/>
      </c>
      <c r="V36" s="33">
        <f>PERCENTRANK(U$2:INDEX($U:$U,LOOKUP(2,1/(ISNUMBER($A$2:$A$1048576)),ROW($A$2:$A$1048576))),U36)</f>
        <v/>
      </c>
      <c r="W36" s="36">
        <f>sum(U36-U$106)/U$107</f>
        <v/>
      </c>
      <c r="X36" s="9" t="n">
        <v>2.08</v>
      </c>
      <c r="Y36" s="9" t="n">
        <v>1.82</v>
      </c>
      <c r="Z36" s="33">
        <f>PERCENTRANK(Y$2:INDEX($Y:$Y,LOOKUP(2,1/(ISNUMBER($A$2:$A$1048576)),ROW($A$2:$A$1048576))),Y36)</f>
        <v/>
      </c>
      <c r="AA36" s="37">
        <f>sum(Y36-Y$106)/Y$107</f>
        <v/>
      </c>
      <c r="AB36" s="9" t="n">
        <v>12.7</v>
      </c>
      <c r="AC36" s="33">
        <f>PERCENTRANK(AB$2:INDEX($AB:$AB,LOOKUP(2,1/(ISNUMBER($A$2:$A$1048576)),ROW($A$2:$A$1048576))),AB36)</f>
        <v/>
      </c>
      <c r="AD36" s="38">
        <f>sum(AB36-AB$106)/AB$107</f>
        <v/>
      </c>
      <c r="AE36" s="9" t="n">
        <v>5.24</v>
      </c>
      <c r="AF36" s="33">
        <f>PERCENTRANK(AE$2:INDEX($AE:$AE,LOOKUP(2,1/(ISNUMBER($A$2:$A$1048576)),ROW($A$2:$A$1048576))),AE36)</f>
        <v/>
      </c>
      <c r="AG36" s="38">
        <f>sum(AE36-AE$106)/AE$107</f>
        <v/>
      </c>
      <c r="AH36" s="9" t="n">
        <v>41.28</v>
      </c>
      <c r="AI36" s="9" t="n">
        <v>455.27</v>
      </c>
      <c r="AJ36" s="9" t="n">
        <v>380.51</v>
      </c>
      <c r="AK36" s="9" t="n">
        <v>83.58</v>
      </c>
      <c r="AL36" s="9" t="n">
        <v>52.39</v>
      </c>
      <c r="AM36" s="9" t="n">
        <v>103</v>
      </c>
      <c r="AN36" s="9" t="n">
        <v>14.38</v>
      </c>
      <c r="AO36" s="9" t="n">
        <v>36.51</v>
      </c>
      <c r="AP36" s="9" t="n">
        <v>52.11</v>
      </c>
      <c r="AQ36" s="9" t="n">
        <v>82.03</v>
      </c>
      <c r="AR36" s="9" t="n">
        <v>34.84</v>
      </c>
      <c r="AS36" s="9" t="n">
        <v>35.16</v>
      </c>
      <c r="AT36" s="33">
        <f>PERCENTRANK(AS$2:INDEX($AS:$AS,LOOKUP(2,1/(ISNUMBER($A$2:$A$1048576)),ROW($A$2:$A$1048576))),AS36)</f>
        <v/>
      </c>
      <c r="AU36" s="39">
        <f>SUM(AS36-AS$106)/AS$107</f>
        <v/>
      </c>
      <c r="AV36" s="9" t="n">
        <v>12.03</v>
      </c>
      <c r="AW36" s="33">
        <f>PERCENTRANK(AV$2:INDEX($AV:$AV,LOOKUP(2,1/(ISNUMBER($A$2:$A$1048576)),ROW($A$2:$A$1048576))),AV36)</f>
        <v/>
      </c>
      <c r="AX36" s="9" t="n">
        <v>195.46</v>
      </c>
      <c r="AY36" s="9" t="n">
        <v>97.68000000000001</v>
      </c>
      <c r="AZ36" s="9" t="n">
        <v>49.97</v>
      </c>
      <c r="BA36" s="9" t="n">
        <v>3.62</v>
      </c>
      <c r="BB36" s="9" t="n">
        <v>0.92</v>
      </c>
      <c r="BC36" s="9" t="n">
        <v>25.37</v>
      </c>
      <c r="BD36" s="9" t="n">
        <v>32.32</v>
      </c>
      <c r="BE36" s="9" t="n">
        <v>8.16</v>
      </c>
      <c r="BF36" s="33">
        <f>PERCENTRANK(BE$2:INDEX($BE:$BE,LOOKUP(2,1/(ISNUMBER($A$2:$A$1048576)),ROW($A$2:$A$1048576))),BE36)</f>
        <v/>
      </c>
      <c r="BG36" s="40">
        <f>sum(BE36-BE$106)/BE$107</f>
        <v/>
      </c>
      <c r="BH36" s="9" t="n">
        <v>25.25</v>
      </c>
      <c r="BI36" s="9" t="n">
        <v>1.27</v>
      </c>
      <c r="BJ36" s="9" t="n">
        <v>0.49</v>
      </c>
      <c r="BK36" s="9" t="n">
        <v>38.3</v>
      </c>
      <c r="BL36" s="9" t="n">
        <v>26.43</v>
      </c>
      <c r="BM36" s="9" t="n">
        <v>3.35</v>
      </c>
      <c r="BN36" s="9" t="n">
        <v>12.68</v>
      </c>
      <c r="BO36" s="9" t="n">
        <v>5.68</v>
      </c>
      <c r="BP36" s="9" t="n">
        <v>1.46</v>
      </c>
      <c r="BQ36" s="9" t="n">
        <v>25.71</v>
      </c>
      <c r="BR36" s="9" t="n">
        <v>1.81</v>
      </c>
      <c r="BS36" s="9" t="n">
        <v>0.46</v>
      </c>
      <c r="BT36" s="9" t="n">
        <v>25.37</v>
      </c>
      <c r="BU36" s="9" t="n">
        <v>0.32</v>
      </c>
      <c r="BV36" s="9" t="n">
        <v>0.24</v>
      </c>
      <c r="BW36" s="9" t="n">
        <v>75</v>
      </c>
      <c r="BX36" s="9" t="n">
        <v>16.43</v>
      </c>
      <c r="BY36" s="9" t="n">
        <v>5.49</v>
      </c>
      <c r="BZ36" s="9" t="n">
        <v>33.39</v>
      </c>
      <c r="CA36" s="9" t="n">
        <v>5.54</v>
      </c>
      <c r="CB36" s="9" t="n">
        <v>7.59</v>
      </c>
      <c r="CC36" s="33">
        <f>PERCENTRANK(CD$2:INDEX($CD:$CD,LOOKUP(2,1/(ISNUMBER($A$2:$A$1048576)),ROW($A$2:$A$1048576))),CD36)</f>
        <v/>
      </c>
      <c r="CD36" s="40">
        <f>sum(CB36-CB$106)/CB$107</f>
        <v/>
      </c>
      <c r="CE36" s="9" t="n">
        <v>27.78</v>
      </c>
      <c r="CF36" s="33">
        <f>PERCENTRANK(CE$2:INDEX($CE:$CE,LOOKUP(2,1/(ISNUMBER($A$2:$A$1048576)),ROW($A$2:$A$1048576))),CE36)</f>
        <v/>
      </c>
      <c r="CG36" s="38">
        <f>sum(CE36-CE$106)/CE$107</f>
        <v/>
      </c>
      <c r="CH36" s="9" t="n">
        <v>6.3</v>
      </c>
      <c r="CI36" s="9" t="n">
        <v>9.539999999999999</v>
      </c>
      <c r="CJ36" s="9" t="n">
        <v>21.49</v>
      </c>
      <c r="CK36" s="33">
        <f>PERCENTRANK(CJ$2:INDEX($CJ:$CJ,LOOKUP(2,1/(ISNUMBER($A$2:$A$1048576)),ROW($A$2:$A$1048576))),CJ36)</f>
        <v/>
      </c>
      <c r="CL36" s="38">
        <f>sum(CJ36-CJ$106)/CJ$107</f>
        <v/>
      </c>
      <c r="CM36" s="9" t="n">
        <v>70.89</v>
      </c>
      <c r="CN36" s="9" t="n">
        <v>30.97</v>
      </c>
      <c r="CO36" s="9" t="n">
        <v>43.69</v>
      </c>
      <c r="CP36" s="9" t="n">
        <v>3.11</v>
      </c>
      <c r="CQ36" s="9" t="n">
        <v>0.95</v>
      </c>
      <c r="CR36" s="9" t="n">
        <v>8.32</v>
      </c>
      <c r="CS36" s="33">
        <f>PERCENTRANK(CR$2:INDEX($CR:$CR,LOOKUP(2,1/(ISNUMBER($A$2:$A$1048576)),ROW($A$2:$A$1048576))),CR36)</f>
        <v/>
      </c>
      <c r="CT36" s="39">
        <f>1-(CR36-CR$106)/CR$107</f>
        <v/>
      </c>
      <c r="CU36" s="9" t="n">
        <v>2.89</v>
      </c>
      <c r="CV36" s="33">
        <f>PERCENTRANK(CU$2:INDEX($CU:$CU,LOOKUP(2,1/(ISNUMBER($A$2:$A$1048576)),ROW($A$2:$A$1048576))),CU36)</f>
        <v/>
      </c>
      <c r="CW36" s="39">
        <f>1-(CU36-CU$106)/CU$107</f>
        <v/>
      </c>
      <c r="CX36" s="9" t="n">
        <v>34.74</v>
      </c>
      <c r="CY36" s="9" t="n">
        <v>54.46</v>
      </c>
      <c r="CZ36" s="9" t="n">
        <v>34</v>
      </c>
      <c r="DA36" s="9" t="n">
        <v>62.43</v>
      </c>
      <c r="DB36" s="9" t="n">
        <v>37.78</v>
      </c>
      <c r="DC36" s="9" t="n">
        <v>18.41</v>
      </c>
      <c r="DD36" s="9" t="n">
        <v>48.71</v>
      </c>
      <c r="DE36" s="9" t="n">
        <v>2.97</v>
      </c>
      <c r="DF36" s="9" t="n">
        <v>1.54</v>
      </c>
      <c r="DG36" s="9" t="n">
        <v>51.82</v>
      </c>
      <c r="DH36" s="9" t="n">
        <v>36.3</v>
      </c>
      <c r="DI36" s="33">
        <f>PERCENTRANK(DH$2:INDEX($DH:$DH,LOOKUP(2,1/(ISNUMBER($A$2:$A$1048576)),ROW($A$2:$A$1048576))),DH36)</f>
        <v/>
      </c>
      <c r="DJ36" s="39">
        <f>SUM(DH36-DH$106)/DH$107</f>
        <v/>
      </c>
      <c r="DK36" s="9" t="n">
        <v>11.89</v>
      </c>
      <c r="DL36" s="9" t="n">
        <v>12.14</v>
      </c>
      <c r="DM36" s="9" t="n">
        <v>1.97</v>
      </c>
      <c r="DN36" s="9" t="n">
        <v>0.11</v>
      </c>
      <c r="DO36" s="9" t="n">
        <v>153.32</v>
      </c>
      <c r="DP36" s="9" t="n">
        <v>111.92</v>
      </c>
      <c r="DQ36" s="33">
        <f>PERCENTRANK(DP$2:INDEX($DP:$DP,LOOKUP(2,1/(ISNUMBER($A$2:$A$1048576)),ROW($A$2:$A$1048576))),DP36)</f>
        <v/>
      </c>
      <c r="DR36" s="40">
        <f>sum(DP36-DP$106)/DP$107</f>
        <v/>
      </c>
      <c r="DS36" s="9" t="n">
        <v>72.98999999999999</v>
      </c>
      <c r="DT36" s="9" t="n">
        <v>72.45999999999999</v>
      </c>
      <c r="DU36" s="9" t="n">
        <v>68.41</v>
      </c>
      <c r="DV36" s="9" t="n">
        <v>94.41</v>
      </c>
      <c r="DW36" s="9" t="n">
        <v>170.05</v>
      </c>
      <c r="DX36" s="9" t="n">
        <v>151.49</v>
      </c>
      <c r="DY36" s="9" t="n">
        <v>89.08</v>
      </c>
      <c r="DZ36" s="9" t="n">
        <v>52.16</v>
      </c>
      <c r="EA36" s="9" t="n">
        <v>29.19</v>
      </c>
      <c r="EB36" s="9" t="n">
        <v>55.96</v>
      </c>
      <c r="EC36" s="9" t="n">
        <v>63.57</v>
      </c>
      <c r="ED36" s="9" t="n">
        <v>43.86</v>
      </c>
      <c r="EE36" s="33">
        <f>PERCENTRANK(ED$2:INDEX($ED:$ED,LOOKUP(2,1/(ISNUMBER($A$2:$A$1048576)),ROW($A$2:$A$1048576))),ED36)</f>
        <v/>
      </c>
      <c r="EF36" s="40">
        <f>sum(ED36-ED$106)/ED$107</f>
        <v/>
      </c>
      <c r="EG36" s="9" t="n">
        <v>69.01000000000001</v>
      </c>
      <c r="EH36" s="9" t="n">
        <v>80.19</v>
      </c>
      <c r="EI36" s="9" t="n">
        <v>60.86</v>
      </c>
      <c r="EJ36" s="33">
        <f>PERCENTRANK(EI$2:INDEX($EI:$EI,LOOKUP(2,1/(ISNUMBER($A$2:$A$1048576)),ROW($A$2:$A$1048576))),EI36)</f>
        <v/>
      </c>
      <c r="EK36" s="40">
        <f>sum(EI36-EI$106)/EI$107</f>
        <v/>
      </c>
      <c r="EL36" s="9" t="n">
        <v>75.90000000000001</v>
      </c>
      <c r="EM36" s="9" t="n">
        <v>3.81</v>
      </c>
      <c r="EN36" s="9" t="n">
        <v>1.3</v>
      </c>
      <c r="EO36" s="9" t="n">
        <v>34.04</v>
      </c>
      <c r="EP36" s="9" t="n">
        <v>22.16</v>
      </c>
      <c r="EQ36" s="9" t="n">
        <v>20.43</v>
      </c>
      <c r="ER36" s="9" t="n">
        <v>92.2</v>
      </c>
      <c r="ES36" s="9" t="n">
        <v>7</v>
      </c>
      <c r="ET36" s="9" t="n">
        <v>16.34</v>
      </c>
      <c r="EU36" s="9" t="n">
        <v>4.3</v>
      </c>
      <c r="EV36" s="9" t="n">
        <v>12.38</v>
      </c>
      <c r="EW36" s="9" t="n">
        <v>16.59</v>
      </c>
      <c r="EX36" s="33">
        <f>PERCENTRANK(EW$2:INDEX($EW:$EW,LOOKUP(2,1/(ISNUMBER($A$2:$A$1048576)),ROW($A$2:$A$1048576))),EW36)</f>
        <v/>
      </c>
      <c r="EY36" s="38">
        <f>1-(EW36-EW$106)/EW$107</f>
        <v/>
      </c>
      <c r="EZ36" s="9" t="n">
        <v>20.83</v>
      </c>
      <c r="FA36" s="9" t="n">
        <v>11.4</v>
      </c>
      <c r="FB36" s="33">
        <f>PERCENTRANK(FA$2:INDEX($FA:$FA,LOOKUP(2,1/(ISNUMBER($A$2:$A$1048576)),ROW($A$2:$A$1048576))),FA36)</f>
        <v/>
      </c>
      <c r="FC36" s="39">
        <f>1-(FA36-FA$106)/FA$107</f>
        <v/>
      </c>
      <c r="FD36" s="9" t="n">
        <v>0.95</v>
      </c>
      <c r="FE36" s="9" t="n">
        <v>0.99</v>
      </c>
      <c r="FF36" s="33">
        <f>PERCENTRANK(FE$2:INDEX($FE:$FE,LOOKUP(2,1/(ISNUMBER($A$2:$A$1048576)),ROW($A$2:$A$1048576))),FE36)</f>
        <v/>
      </c>
      <c r="FG36" s="39">
        <f>1-(FE36-FE$106)/FE$107</f>
        <v/>
      </c>
      <c r="FH36" s="9" t="n">
        <v>8.32</v>
      </c>
      <c r="FI36" s="9" t="n">
        <v>2.81</v>
      </c>
      <c r="FJ36" s="9" t="n">
        <v>33.77</v>
      </c>
      <c r="FK36" s="9" t="n">
        <v>407.86</v>
      </c>
      <c r="FL36" s="33">
        <f>PERCENTRANK(FK$2:INDEX($FK:$FK,LOOKUP(2,1/(ISNUMBER($A$2:$A$1048576)),ROW($A$2:$A$1048576))),FK36)</f>
        <v/>
      </c>
      <c r="FM36" s="39">
        <f>SWA35-(FK36-FK$106)/FK$107</f>
        <v/>
      </c>
      <c r="FN36" s="9" t="n">
        <v>336.3</v>
      </c>
      <c r="FO36" s="9" t="n">
        <v>82.45</v>
      </c>
      <c r="FP36" s="9" t="n">
        <v>47.61</v>
      </c>
      <c r="FQ36" s="9" t="n">
        <v>103.19</v>
      </c>
      <c r="FR36" s="9" t="n">
        <v>20.27</v>
      </c>
      <c r="FS36" s="9" t="n">
        <v>40.49</v>
      </c>
      <c r="FT36" s="9" t="n">
        <v>42.43</v>
      </c>
      <c r="FU36" s="9" t="n">
        <v>78.48999999999999</v>
      </c>
      <c r="FV36" s="9" t="n">
        <v>39.19</v>
      </c>
      <c r="FW36" s="9" t="n">
        <v>30.59</v>
      </c>
      <c r="FX36" s="9" t="n">
        <v>8.699999999999999</v>
      </c>
      <c r="FY36" s="9" t="n">
        <v>195.46</v>
      </c>
      <c r="FZ36" s="9" t="n">
        <v>89.48999999999999</v>
      </c>
      <c r="GA36" s="9" t="n">
        <v>45.78</v>
      </c>
      <c r="GB36" s="9" t="n">
        <v>3.65</v>
      </c>
      <c r="GC36" s="9" t="n">
        <v>0.8100000000000001</v>
      </c>
      <c r="GD36" s="9" t="n">
        <v>22.22</v>
      </c>
      <c r="GE36" s="9" t="n">
        <v>21.59</v>
      </c>
      <c r="GF36" s="9" t="n">
        <v>5.14</v>
      </c>
      <c r="GG36" s="9" t="n">
        <v>23.78</v>
      </c>
      <c r="GH36" s="9" t="n">
        <v>1.49</v>
      </c>
      <c r="GI36" s="9" t="n">
        <v>0.59</v>
      </c>
      <c r="GJ36" s="9" t="n">
        <v>40</v>
      </c>
      <c r="GK36" s="9" t="n">
        <v>24.22</v>
      </c>
      <c r="GL36" s="9" t="n">
        <v>2.32</v>
      </c>
      <c r="GM36" s="9" t="n">
        <v>9.6</v>
      </c>
      <c r="GN36" s="9" t="n">
        <v>3.19</v>
      </c>
      <c r="GO36" s="9" t="n">
        <v>0.84</v>
      </c>
      <c r="GP36" s="9" t="n">
        <v>26.27</v>
      </c>
      <c r="GQ36" s="9" t="n">
        <v>2.11</v>
      </c>
      <c r="GR36" s="9" t="n">
        <v>0.38</v>
      </c>
      <c r="GS36" s="9" t="n">
        <v>17.95</v>
      </c>
      <c r="GT36" s="9" t="n">
        <v>0.03</v>
      </c>
      <c r="GU36" s="9" t="n">
        <v>0</v>
      </c>
      <c r="GV36" s="9" t="n">
        <v>0</v>
      </c>
      <c r="GW36" s="9" t="n">
        <v>9.92</v>
      </c>
      <c r="GX36" s="9" t="n">
        <v>2.86</v>
      </c>
      <c r="GY36" s="9" t="n">
        <v>28.88</v>
      </c>
      <c r="GZ36" s="9" t="n">
        <v>3.03</v>
      </c>
      <c r="HA36" s="9" t="n">
        <v>5.14</v>
      </c>
      <c r="HB36" s="9" t="n">
        <v>18</v>
      </c>
      <c r="HC36" s="9" t="n">
        <v>2.86</v>
      </c>
      <c r="HD36" s="9" t="n">
        <v>5.95</v>
      </c>
      <c r="HE36" s="9" t="n">
        <v>11.35</v>
      </c>
      <c r="HF36" s="9" t="n">
        <v>54.46</v>
      </c>
      <c r="HG36" s="9" t="n">
        <v>20.46</v>
      </c>
      <c r="HH36" s="9" t="n">
        <v>37.57</v>
      </c>
      <c r="HI36" s="9" t="n">
        <v>1.59</v>
      </c>
      <c r="HJ36" s="9" t="n">
        <v>2.08</v>
      </c>
      <c r="HK36" s="9" t="n">
        <v>12.7</v>
      </c>
      <c r="HL36" s="9" t="n">
        <v>5.54</v>
      </c>
      <c r="HM36" s="9" t="n">
        <v>43.62</v>
      </c>
      <c r="HN36" s="9" t="n">
        <v>70.86</v>
      </c>
      <c r="HO36" s="9" t="n">
        <v>39.89</v>
      </c>
      <c r="HP36" s="9" t="n">
        <v>56.29</v>
      </c>
      <c r="HQ36" s="9" t="n">
        <v>37.81</v>
      </c>
      <c r="HR36" s="9" t="n">
        <v>16.76</v>
      </c>
      <c r="HS36" s="9" t="n">
        <v>44.32</v>
      </c>
      <c r="HT36" s="9" t="n">
        <v>4.84</v>
      </c>
      <c r="HU36" s="9" t="n">
        <v>2.22</v>
      </c>
      <c r="HV36" s="9" t="n">
        <v>45.81</v>
      </c>
      <c r="HW36" s="9" t="n">
        <v>39.11</v>
      </c>
      <c r="HX36" s="9" t="n">
        <v>17.3</v>
      </c>
      <c r="HY36" s="9" t="n">
        <v>13.35</v>
      </c>
      <c r="HZ36" s="9" t="n">
        <v>2.49</v>
      </c>
      <c r="IA36" s="9" t="n">
        <v>0.14</v>
      </c>
      <c r="IB36" s="9" t="n">
        <v>142.97</v>
      </c>
      <c r="IC36" s="9" t="n">
        <v>100.14</v>
      </c>
      <c r="ID36" s="9" t="n">
        <v>70.04000000000001</v>
      </c>
      <c r="IE36" s="9" t="n">
        <v>61.54</v>
      </c>
      <c r="IF36" s="9" t="n">
        <v>58.08</v>
      </c>
      <c r="IG36" s="9" t="n">
        <v>94.38</v>
      </c>
      <c r="IH36" s="9" t="n">
        <v>150.3</v>
      </c>
      <c r="II36" s="9" t="n">
        <v>135.05</v>
      </c>
      <c r="IJ36" s="9" t="n">
        <v>89.86</v>
      </c>
      <c r="IK36" s="9" t="n">
        <v>51.95</v>
      </c>
      <c r="IL36" s="9" t="n">
        <v>27.03</v>
      </c>
      <c r="IM36" s="9" t="n">
        <v>52.03</v>
      </c>
      <c r="IN36" s="9" t="n">
        <v>50.89</v>
      </c>
      <c r="IO36" s="9" t="n">
        <v>31.46</v>
      </c>
      <c r="IP36" s="9" t="n">
        <v>61.82</v>
      </c>
      <c r="IQ36" s="9" t="n">
        <v>71.97</v>
      </c>
      <c r="IR36" s="9" t="n">
        <v>50.32</v>
      </c>
      <c r="IS36" s="9" t="n">
        <v>69.92</v>
      </c>
      <c r="IT36" s="33">
        <f>PERCENTRANK(IS$2:INDEX($IS:$IS,LOOKUP(2,1/(ISNUMBER($A$2:$A$1048576)),ROW($A$2:$A$1048576))),IS36)</f>
        <v/>
      </c>
      <c r="IU36" s="39">
        <f>1-(IS36-IS$106)/IS$107</f>
        <v/>
      </c>
      <c r="IV36" s="9" t="n">
        <v>2.76</v>
      </c>
      <c r="IW36" s="9" t="n">
        <v>0.92</v>
      </c>
      <c r="IX36" s="9" t="n">
        <v>33.33</v>
      </c>
      <c r="IY36" s="9" t="n">
        <v>20.03</v>
      </c>
      <c r="IZ36" s="9" t="n">
        <v>18.16</v>
      </c>
      <c r="JA36" s="9" t="n">
        <v>90.69</v>
      </c>
      <c r="JB36" s="9" t="n">
        <v>7.84</v>
      </c>
      <c r="JC36" s="9" t="n">
        <v>16.16</v>
      </c>
      <c r="JD36" s="9" t="n">
        <v>3.99</v>
      </c>
      <c r="JE36" s="9" t="n">
        <v>13.21</v>
      </c>
      <c r="JF36" s="9" t="n">
        <v>18.58</v>
      </c>
      <c r="JG36" s="9" t="n">
        <v>20.72</v>
      </c>
      <c r="JH36" s="9" t="n">
        <v>12.92</v>
      </c>
    </row>
    <row r="37">
      <c r="A37" s="12" t="n">
        <v>2024</v>
      </c>
      <c r="B37" s="31" t="inlineStr">
        <is>
          <t>Charleston Battery</t>
        </is>
      </c>
      <c r="C37" s="12" t="n">
        <v>64</v>
      </c>
      <c r="D37" s="5">
        <f>(C37-AVERAGE($C$2:INDEX($C:$C,LOOKUP(2,1/(ISNUMBER($A$2:$A$1048576)),ROW($A$2:$A$1048576)))))/_xlfn.STDEV.P($C$2:INDEX($C:$C,LOOKUP(2,1/(ISNUMBER($A$2:$A$1048576)),ROW($A$2:$A$1048576))))</f>
        <v/>
      </c>
      <c r="E37" s="12" t="n">
        <v>2</v>
      </c>
      <c r="F37" s="6">
        <f>-E37</f>
        <v/>
      </c>
      <c r="G37" s="7">
        <f>(F37-AVERAGE($F$2:INDEX($F:$F,LOOKUP(2,1/(ISNUMBER($A$2:$A$1048576)),ROW($A$2:$A$1048576)))))/_xlfn.STDEV.P($F$2:INDEX($F:$F,LOOKUP(2,1/(ISNUMBER($A$2:$A$1048576)),ROW($A$2:$A$1048576))))</f>
        <v/>
      </c>
      <c r="H37" s="32">
        <f>sum(0.5*D37)+(0.5*G37)</f>
        <v/>
      </c>
      <c r="I37" s="12" t="inlineStr">
        <is>
          <t>East</t>
        </is>
      </c>
      <c r="J37" s="10">
        <f>sum(L37*L$105)+(N37*N$105)+(P37*P$105)+(T37*R$105)</f>
        <v/>
      </c>
      <c r="K37" s="33">
        <f>PERCENTRANK(J$2:INDEX($J:$J,LOOKUP(2,1/(ISNUMBER($A$2:$A$1048576)),ROW($A$2:$A$1048576))),J37)</f>
        <v/>
      </c>
      <c r="L37" s="10">
        <f>sum(AA37*0.66)+(AD37*0.55)+(AG37*0.59)+(CG37*0.51)+(CL37*0.6)+(EY37*0.31)</f>
        <v/>
      </c>
      <c r="M37" s="33">
        <f>PERCENTRANK(L$2:INDEX($L:$L,LOOKUP(2,1/(ISNUMBER($A$2:$A$1048576)),ROW($A$2:$A$1048576))),L37)</f>
        <v/>
      </c>
      <c r="N37" s="10">
        <f>sum(CT37*0.57)+(CW37*0.71)+(DJ37*0.08)+(FC37*0.33)+(FG37*0.69)+(FM37*0.26)+(IU37*0.54)+(AU37*0.4)</f>
        <v/>
      </c>
      <c r="O37" s="33">
        <f>PERCENTRANK(N$2:INDEX($N:$N,LOOKUP(2,1/(ISNUMBER($A$2:$A$1048576)),ROW($A$2:$A$1048576))),N37)</f>
        <v/>
      </c>
      <c r="P37" s="10">
        <f>sum(BG37*0.51)+(CD37*0.51)+(DR37*0.11)+(EF37*0.42)+(EK37*0.44)+(W37*0.6)</f>
        <v/>
      </c>
      <c r="Q37" s="33">
        <f>PERCENTRANK(P$2:INDEX($P:$P,LOOKUP(2,1/(ISNUMBER($A$2:$A$1048576)),ROW($A$2:$A$1048576))),P37)</f>
        <v/>
      </c>
      <c r="R37" s="10">
        <f>sum(Y37-FE37)</f>
        <v/>
      </c>
      <c r="S37" s="33">
        <f>PERCENTRANK(R$2:INDEX($R:$R,LOOKUP(2,1/(ISNUMBER($A$2:$A$1048576)),ROW($A$2:$A$1048576))),R37)</f>
        <v/>
      </c>
      <c r="T37" s="34">
        <f>sum(R37-R$106)/R$107</f>
        <v/>
      </c>
      <c r="U37" s="35">
        <f>sum(Y37/AI37)*100</f>
        <v/>
      </c>
      <c r="V37" s="33">
        <f>PERCENTRANK(U$2:INDEX($U:$U,LOOKUP(2,1/(ISNUMBER($A$2:$A$1048576)),ROW($A$2:$A$1048576))),U37)</f>
        <v/>
      </c>
      <c r="W37" s="36">
        <f>sum(U37-U$106)/U$107</f>
        <v/>
      </c>
      <c r="X37" s="9" t="n">
        <v>1.92</v>
      </c>
      <c r="Y37" s="9" t="n">
        <v>1.73</v>
      </c>
      <c r="Z37" s="33">
        <f>PERCENTRANK(Y$2:INDEX($Y:$Y,LOOKUP(2,1/(ISNUMBER($A$2:$A$1048576)),ROW($A$2:$A$1048576))),Y37)</f>
        <v/>
      </c>
      <c r="AA37" s="37">
        <f>sum(Y37-Y$106)/Y$107</f>
        <v/>
      </c>
      <c r="AB37" s="9" t="n">
        <v>14.08</v>
      </c>
      <c r="AC37" s="33">
        <f>PERCENTRANK(AB$2:INDEX($AB:$AB,LOOKUP(2,1/(ISNUMBER($A$2:$A$1048576)),ROW($A$2:$A$1048576))),AB37)</f>
        <v/>
      </c>
      <c r="AD37" s="38">
        <f>sum(AB37-AB$106)/AB$107</f>
        <v/>
      </c>
      <c r="AE37" s="9" t="n">
        <v>5.62</v>
      </c>
      <c r="AF37" s="33">
        <f>PERCENTRANK(AE$2:INDEX($AE:$AE,LOOKUP(2,1/(ISNUMBER($A$2:$A$1048576)),ROW($A$2:$A$1048576))),AE37)</f>
        <v/>
      </c>
      <c r="AG37" s="38">
        <f>sum(AE37-AE$106)/AE$107</f>
        <v/>
      </c>
      <c r="AH37" s="9" t="n">
        <v>39.92</v>
      </c>
      <c r="AI37" s="9" t="n">
        <v>475.76</v>
      </c>
      <c r="AJ37" s="9" t="n">
        <v>407.03</v>
      </c>
      <c r="AK37" s="9" t="n">
        <v>85.55</v>
      </c>
      <c r="AL37" s="9" t="n">
        <v>58.38</v>
      </c>
      <c r="AM37" s="9" t="n">
        <v>100.19</v>
      </c>
      <c r="AN37" s="9" t="n">
        <v>16.57</v>
      </c>
      <c r="AO37" s="9" t="n">
        <v>35.22</v>
      </c>
      <c r="AP37" s="9" t="n">
        <v>48.41</v>
      </c>
      <c r="AQ37" s="9" t="n">
        <v>76.95</v>
      </c>
      <c r="AR37" s="9" t="n">
        <v>33.97</v>
      </c>
      <c r="AS37" s="9" t="n">
        <v>30.97</v>
      </c>
      <c r="AT37" s="33">
        <f>PERCENTRANK(AS$2:INDEX($AS:$AS,LOOKUP(2,1/(ISNUMBER($A$2:$A$1048576)),ROW($A$2:$A$1048576))),AS37)</f>
        <v/>
      </c>
      <c r="AU37" s="39">
        <f>SUM(AS37-AS$106)/AS$107</f>
        <v/>
      </c>
      <c r="AV37" s="9" t="n">
        <v>12</v>
      </c>
      <c r="AW37" s="33">
        <f>PERCENTRANK(AV$2:INDEX($AV:$AV,LOOKUP(2,1/(ISNUMBER($A$2:$A$1048576)),ROW($A$2:$A$1048576))),AV37)</f>
        <v/>
      </c>
      <c r="AX37" s="9" t="n">
        <v>196.92</v>
      </c>
      <c r="AY37" s="9" t="n">
        <v>94.48999999999999</v>
      </c>
      <c r="AZ37" s="9" t="n">
        <v>47.98</v>
      </c>
      <c r="BA37" s="9" t="n">
        <v>6.08</v>
      </c>
      <c r="BB37" s="9" t="n">
        <v>2</v>
      </c>
      <c r="BC37" s="9" t="n">
        <v>32.89</v>
      </c>
      <c r="BD37" s="9" t="n">
        <v>31.27</v>
      </c>
      <c r="BE37" s="9" t="n">
        <v>8.859999999999999</v>
      </c>
      <c r="BF37" s="33">
        <f>PERCENTRANK(BE$2:INDEX($BE:$BE,LOOKUP(2,1/(ISNUMBER($A$2:$A$1048576)),ROW($A$2:$A$1048576))),BE37)</f>
        <v/>
      </c>
      <c r="BG37" s="40">
        <f>sum(BE37-BE$106)/BE$107</f>
        <v/>
      </c>
      <c r="BH37" s="9" t="n">
        <v>28.35</v>
      </c>
      <c r="BI37" s="9" t="n">
        <v>0.62</v>
      </c>
      <c r="BJ37" s="9" t="n">
        <v>0.3</v>
      </c>
      <c r="BK37" s="9" t="n">
        <v>47.83</v>
      </c>
      <c r="BL37" s="9" t="n">
        <v>29</v>
      </c>
      <c r="BM37" s="9" t="n">
        <v>4.11</v>
      </c>
      <c r="BN37" s="9" t="n">
        <v>14.17</v>
      </c>
      <c r="BO37" s="9" t="n">
        <v>5.16</v>
      </c>
      <c r="BP37" s="9" t="n">
        <v>1.78</v>
      </c>
      <c r="BQ37" s="9" t="n">
        <v>34.55</v>
      </c>
      <c r="BR37" s="9" t="n">
        <v>2.7</v>
      </c>
      <c r="BS37" s="9" t="n">
        <v>0.54</v>
      </c>
      <c r="BT37" s="9" t="n">
        <v>20</v>
      </c>
      <c r="BU37" s="9" t="n">
        <v>0.22</v>
      </c>
      <c r="BV37" s="9" t="n">
        <v>0.19</v>
      </c>
      <c r="BW37" s="9" t="n">
        <v>87.5</v>
      </c>
      <c r="BX37" s="9" t="n">
        <v>13.84</v>
      </c>
      <c r="BY37" s="9" t="n">
        <v>4.59</v>
      </c>
      <c r="BZ37" s="9" t="n">
        <v>33.2</v>
      </c>
      <c r="CA37" s="9" t="n">
        <v>4.41</v>
      </c>
      <c r="CB37" s="9" t="n">
        <v>8.41</v>
      </c>
      <c r="CC37" s="33">
        <f>PERCENTRANK(CD$2:INDEX($CD:$CD,LOOKUP(2,1/(ISNUMBER($A$2:$A$1048576)),ROW($A$2:$A$1048576))),CD37)</f>
        <v/>
      </c>
      <c r="CD37" s="40">
        <f>sum(CB37-CB$106)/CB$107</f>
        <v/>
      </c>
      <c r="CE37" s="9" t="n">
        <v>25.03</v>
      </c>
      <c r="CF37" s="33">
        <f>PERCENTRANK(CE$2:INDEX($CE:$CE,LOOKUP(2,1/(ISNUMBER($A$2:$A$1048576)),ROW($A$2:$A$1048576))),CE37)</f>
        <v/>
      </c>
      <c r="CG37" s="38">
        <f>sum(CE37-CE$106)/CE$107</f>
        <v/>
      </c>
      <c r="CH37" s="9" t="n">
        <v>3.46</v>
      </c>
      <c r="CI37" s="9" t="n">
        <v>9.16</v>
      </c>
      <c r="CJ37" s="9" t="n">
        <v>17.49</v>
      </c>
      <c r="CK37" s="33">
        <f>PERCENTRANK(CJ$2:INDEX($CJ:$CJ,LOOKUP(2,1/(ISNUMBER($A$2:$A$1048576)),ROW($A$2:$A$1048576))),CJ37)</f>
        <v/>
      </c>
      <c r="CL37" s="38">
        <f>sum(CJ37-CJ$106)/CJ$107</f>
        <v/>
      </c>
      <c r="CM37" s="9" t="n">
        <v>73.23999999999999</v>
      </c>
      <c r="CN37" s="9" t="n">
        <v>27.65</v>
      </c>
      <c r="CO37" s="9" t="n">
        <v>37.75</v>
      </c>
      <c r="CP37" s="9" t="n">
        <v>1.95</v>
      </c>
      <c r="CQ37" s="9" t="n">
        <v>1.03</v>
      </c>
      <c r="CR37" s="9" t="n">
        <v>9.49</v>
      </c>
      <c r="CS37" s="33">
        <f>PERCENTRANK(CR$2:INDEX($CR:$CR,LOOKUP(2,1/(ISNUMBER($A$2:$A$1048576)),ROW($A$2:$A$1048576))),CR37)</f>
        <v/>
      </c>
      <c r="CT37" s="39">
        <f>1-(CR37-CR$106)/CR$107</f>
        <v/>
      </c>
      <c r="CU37" s="9" t="n">
        <v>3.24</v>
      </c>
      <c r="CV37" s="33">
        <f>PERCENTRANK(CU$2:INDEX($CU:$CU,LOOKUP(2,1/(ISNUMBER($A$2:$A$1048576)),ROW($A$2:$A$1048576))),CU37)</f>
        <v/>
      </c>
      <c r="CW37" s="39">
        <f>1-(CU37-CU$106)/CU$107</f>
        <v/>
      </c>
      <c r="CX37" s="9" t="n">
        <v>34.19</v>
      </c>
      <c r="CY37" s="9" t="n">
        <v>62.89</v>
      </c>
      <c r="CZ37" s="9" t="n">
        <v>39.57</v>
      </c>
      <c r="DA37" s="9" t="n">
        <v>62.91</v>
      </c>
      <c r="DB37" s="9" t="n">
        <v>32.84</v>
      </c>
      <c r="DC37" s="9" t="n">
        <v>15.49</v>
      </c>
      <c r="DD37" s="9" t="n">
        <v>47.16</v>
      </c>
      <c r="DE37" s="9" t="n">
        <v>2.78</v>
      </c>
      <c r="DF37" s="9" t="n">
        <v>1.41</v>
      </c>
      <c r="DG37" s="9" t="n">
        <v>50.49</v>
      </c>
      <c r="DH37" s="9" t="n">
        <v>36.11</v>
      </c>
      <c r="DI37" s="33">
        <f>PERCENTRANK(DH$2:INDEX($DH:$DH,LOOKUP(2,1/(ISNUMBER($A$2:$A$1048576)),ROW($A$2:$A$1048576))),DH37)</f>
        <v/>
      </c>
      <c r="DJ37" s="39">
        <f>SUM(DH37-DH$106)/DH$107</f>
        <v/>
      </c>
      <c r="DK37" s="9" t="n">
        <v>12.08</v>
      </c>
      <c r="DL37" s="9" t="n">
        <v>12.92</v>
      </c>
      <c r="DM37" s="9" t="n">
        <v>2</v>
      </c>
      <c r="DN37" s="9" t="n">
        <v>0.08</v>
      </c>
      <c r="DO37" s="9" t="n">
        <v>153.38</v>
      </c>
      <c r="DP37" s="9" t="n">
        <v>116.89</v>
      </c>
      <c r="DQ37" s="33">
        <f>PERCENTRANK(DP$2:INDEX($DP:$DP,LOOKUP(2,1/(ISNUMBER($A$2:$A$1048576)),ROW($A$2:$A$1048576))),DP37)</f>
        <v/>
      </c>
      <c r="DR37" s="40">
        <f>sum(DP37-DP$106)/DP$107</f>
        <v/>
      </c>
      <c r="DS37" s="9" t="n">
        <v>76.20999999999999</v>
      </c>
      <c r="DT37" s="9" t="n">
        <v>70.14</v>
      </c>
      <c r="DU37" s="9" t="n">
        <v>66.43000000000001</v>
      </c>
      <c r="DV37" s="9" t="n">
        <v>94.72</v>
      </c>
      <c r="DW37" s="9" t="n">
        <v>189.05</v>
      </c>
      <c r="DX37" s="9" t="n">
        <v>171.86</v>
      </c>
      <c r="DY37" s="9" t="n">
        <v>90.91</v>
      </c>
      <c r="DZ37" s="9" t="n">
        <v>49.49</v>
      </c>
      <c r="EA37" s="9" t="n">
        <v>29.08</v>
      </c>
      <c r="EB37" s="9" t="n">
        <v>58.77</v>
      </c>
      <c r="EC37" s="9" t="n">
        <v>57.59</v>
      </c>
      <c r="ED37" s="9" t="n">
        <v>40.59</v>
      </c>
      <c r="EE37" s="33">
        <f>PERCENTRANK(ED$2:INDEX($ED:$ED,LOOKUP(2,1/(ISNUMBER($A$2:$A$1048576)),ROW($A$2:$A$1048576))),ED37)</f>
        <v/>
      </c>
      <c r="EF37" s="40">
        <f>sum(ED37-ED$106)/ED$107</f>
        <v/>
      </c>
      <c r="EG37" s="9" t="n">
        <v>70.48</v>
      </c>
      <c r="EH37" s="9" t="n">
        <v>77.41</v>
      </c>
      <c r="EI37" s="9" t="n">
        <v>58.73</v>
      </c>
      <c r="EJ37" s="33">
        <f>PERCENTRANK(EI$2:INDEX($EI:$EI,LOOKUP(2,1/(ISNUMBER($A$2:$A$1048576)),ROW($A$2:$A$1048576))),EI37)</f>
        <v/>
      </c>
      <c r="EK37" s="40">
        <f>sum(EI37-EI$106)/EI$107</f>
        <v/>
      </c>
      <c r="EL37" s="9" t="n">
        <v>75.87</v>
      </c>
      <c r="EM37" s="9" t="n">
        <v>1.76</v>
      </c>
      <c r="EN37" s="9" t="n">
        <v>0.78</v>
      </c>
      <c r="EO37" s="9" t="n">
        <v>44.62</v>
      </c>
      <c r="EP37" s="9" t="n">
        <v>19.73</v>
      </c>
      <c r="EQ37" s="9" t="n">
        <v>17.95</v>
      </c>
      <c r="ER37" s="9" t="n">
        <v>90.95999999999999</v>
      </c>
      <c r="ES37" s="9" t="n">
        <v>6.57</v>
      </c>
      <c r="ET37" s="9" t="n">
        <v>16.25</v>
      </c>
      <c r="EU37" s="9" t="n">
        <v>4.58</v>
      </c>
      <c r="EV37" s="9" t="n">
        <v>10.58</v>
      </c>
      <c r="EW37" s="9" t="n">
        <v>18.98</v>
      </c>
      <c r="EX37" s="33">
        <f>PERCENTRANK(EW$2:INDEX($EW:$EW,LOOKUP(2,1/(ISNUMBER($A$2:$A$1048576)),ROW($A$2:$A$1048576))),EW37)</f>
        <v/>
      </c>
      <c r="EY37" s="38">
        <f>1-(EW37-EW$106)/EW$107</f>
        <v/>
      </c>
      <c r="EZ37" s="9" t="n">
        <v>19.9</v>
      </c>
      <c r="FA37" s="9" t="n">
        <v>9.17</v>
      </c>
      <c r="FB37" s="33">
        <f>PERCENTRANK(FA$2:INDEX($FA:$FA,LOOKUP(2,1/(ISNUMBER($A$2:$A$1048576)),ROW($A$2:$A$1048576))),FA37)</f>
        <v/>
      </c>
      <c r="FC37" s="39">
        <f>1-(FA37-FA$106)/FA$107</f>
        <v/>
      </c>
      <c r="FD37" s="9" t="n">
        <v>1.03</v>
      </c>
      <c r="FE37" s="9" t="n">
        <v>1.02</v>
      </c>
      <c r="FF37" s="33">
        <f>PERCENTRANK(FE$2:INDEX($FE:$FE,LOOKUP(2,1/(ISNUMBER($A$2:$A$1048576)),ROW($A$2:$A$1048576))),FE37)</f>
        <v/>
      </c>
      <c r="FG37" s="39">
        <f>1-(FE37-FE$106)/FE$107</f>
        <v/>
      </c>
      <c r="FH37" s="9" t="n">
        <v>9.49</v>
      </c>
      <c r="FI37" s="9" t="n">
        <v>3.16</v>
      </c>
      <c r="FJ37" s="9" t="n">
        <v>33.33</v>
      </c>
      <c r="FK37" s="9" t="n">
        <v>329.27</v>
      </c>
      <c r="FL37" s="33">
        <f>PERCENTRANK(FK$2:INDEX($FK:$FK,LOOKUP(2,1/(ISNUMBER($A$2:$A$1048576)),ROW($A$2:$A$1048576))),FK37)</f>
        <v/>
      </c>
      <c r="FM37" s="39">
        <f>SWA36-(FK37-FK$106)/FK$107</f>
        <v/>
      </c>
      <c r="FN37" s="9" t="n">
        <v>261.76</v>
      </c>
      <c r="FO37" s="9" t="n">
        <v>79.5</v>
      </c>
      <c r="FP37" s="9" t="n">
        <v>41.62</v>
      </c>
      <c r="FQ37" s="9" t="n">
        <v>97.48999999999999</v>
      </c>
      <c r="FR37" s="9" t="n">
        <v>18.49</v>
      </c>
      <c r="FS37" s="9" t="n">
        <v>34.97</v>
      </c>
      <c r="FT37" s="9" t="n">
        <v>44.03</v>
      </c>
      <c r="FU37" s="9" t="n">
        <v>73</v>
      </c>
      <c r="FV37" s="9" t="n">
        <v>35.27</v>
      </c>
      <c r="FW37" s="9" t="n">
        <v>27.38</v>
      </c>
      <c r="FX37" s="9" t="n">
        <v>10.35</v>
      </c>
      <c r="FY37" s="9" t="n">
        <v>196.92</v>
      </c>
      <c r="FZ37" s="9" t="n">
        <v>94.51000000000001</v>
      </c>
      <c r="GA37" s="9" t="n">
        <v>48</v>
      </c>
      <c r="GB37" s="9" t="n">
        <v>4.38</v>
      </c>
      <c r="GC37" s="9" t="n">
        <v>1.27</v>
      </c>
      <c r="GD37" s="9" t="n">
        <v>29.01</v>
      </c>
      <c r="GE37" s="9" t="n">
        <v>23.54</v>
      </c>
      <c r="GF37" s="9" t="n">
        <v>5.65</v>
      </c>
      <c r="GG37" s="9" t="n">
        <v>24</v>
      </c>
      <c r="GH37" s="9" t="n">
        <v>0.78</v>
      </c>
      <c r="GI37" s="9" t="n">
        <v>0.38</v>
      </c>
      <c r="GJ37" s="9" t="n">
        <v>48.28</v>
      </c>
      <c r="GK37" s="9" t="n">
        <v>25.78</v>
      </c>
      <c r="GL37" s="9" t="n">
        <v>3.03</v>
      </c>
      <c r="GM37" s="9" t="n">
        <v>11.74</v>
      </c>
      <c r="GN37" s="9" t="n">
        <v>3.7</v>
      </c>
      <c r="GO37" s="9" t="n">
        <v>1.05</v>
      </c>
      <c r="GP37" s="9" t="n">
        <v>28.47</v>
      </c>
      <c r="GQ37" s="9" t="n">
        <v>2.24</v>
      </c>
      <c r="GR37" s="9" t="n">
        <v>0.51</v>
      </c>
      <c r="GS37" s="9" t="n">
        <v>22.89</v>
      </c>
      <c r="GT37" s="9" t="n">
        <v>0.14</v>
      </c>
      <c r="GU37" s="9" t="n">
        <v>0.11</v>
      </c>
      <c r="GV37" s="9" t="n">
        <v>80</v>
      </c>
      <c r="GW37" s="9" t="n">
        <v>12.78</v>
      </c>
      <c r="GX37" s="9" t="n">
        <v>4.68</v>
      </c>
      <c r="GY37" s="9" t="n">
        <v>36.58</v>
      </c>
      <c r="GZ37" s="9" t="n">
        <v>4.76</v>
      </c>
      <c r="HA37" s="9" t="n">
        <v>4.68</v>
      </c>
      <c r="HB37" s="9" t="n">
        <v>18.81</v>
      </c>
      <c r="HC37" s="9" t="n">
        <v>2.89</v>
      </c>
      <c r="HD37" s="9" t="n">
        <v>7.65</v>
      </c>
      <c r="HE37" s="9" t="n">
        <v>13</v>
      </c>
      <c r="HF37" s="9" t="n">
        <v>62.89</v>
      </c>
      <c r="HG37" s="9" t="n">
        <v>23.32</v>
      </c>
      <c r="HH37" s="9" t="n">
        <v>37.09</v>
      </c>
      <c r="HI37" s="9" t="n">
        <v>1.84</v>
      </c>
      <c r="HJ37" s="9" t="n">
        <v>1.92</v>
      </c>
      <c r="HK37" s="9" t="n">
        <v>14.08</v>
      </c>
      <c r="HL37" s="9" t="n">
        <v>6</v>
      </c>
      <c r="HM37" s="9" t="n">
        <v>42.61</v>
      </c>
      <c r="HN37" s="9" t="n">
        <v>73.23999999999999</v>
      </c>
      <c r="HO37" s="9" t="n">
        <v>45.59</v>
      </c>
      <c r="HP37" s="9" t="n">
        <v>62.25</v>
      </c>
      <c r="HQ37" s="9" t="n">
        <v>32.84</v>
      </c>
      <c r="HR37" s="9" t="n">
        <v>14.54</v>
      </c>
      <c r="HS37" s="9" t="n">
        <v>44.28</v>
      </c>
      <c r="HT37" s="9" t="n">
        <v>3.68</v>
      </c>
      <c r="HU37" s="9" t="n">
        <v>1.62</v>
      </c>
      <c r="HV37" s="9" t="n">
        <v>44.12</v>
      </c>
      <c r="HW37" s="9" t="n">
        <v>37.19</v>
      </c>
      <c r="HX37" s="9" t="n">
        <v>12.62</v>
      </c>
      <c r="HY37" s="9" t="n">
        <v>16.32</v>
      </c>
      <c r="HZ37" s="9" t="n">
        <v>3.11</v>
      </c>
      <c r="IA37" s="9" t="n">
        <v>0.16</v>
      </c>
      <c r="IB37" s="9" t="n">
        <v>118.38</v>
      </c>
      <c r="IC37" s="9" t="n">
        <v>81.45999999999999</v>
      </c>
      <c r="ID37" s="9" t="n">
        <v>68.81</v>
      </c>
      <c r="IE37" s="9" t="n">
        <v>50.46</v>
      </c>
      <c r="IF37" s="9" t="n">
        <v>46.62</v>
      </c>
      <c r="IG37" s="9" t="n">
        <v>92.39</v>
      </c>
      <c r="IH37" s="9" t="n">
        <v>112.32</v>
      </c>
      <c r="II37" s="9" t="n">
        <v>96.89</v>
      </c>
      <c r="IJ37" s="9" t="n">
        <v>86.26000000000001</v>
      </c>
      <c r="IK37" s="9" t="n">
        <v>44.24</v>
      </c>
      <c r="IL37" s="9" t="n">
        <v>23.92</v>
      </c>
      <c r="IM37" s="9" t="n">
        <v>54.06</v>
      </c>
      <c r="IN37" s="9" t="n">
        <v>43.97</v>
      </c>
      <c r="IO37" s="9" t="n">
        <v>27.05</v>
      </c>
      <c r="IP37" s="9" t="n">
        <v>61.52</v>
      </c>
      <c r="IQ37" s="9" t="n">
        <v>62.76</v>
      </c>
      <c r="IR37" s="9" t="n">
        <v>42</v>
      </c>
      <c r="IS37" s="9" t="n">
        <v>66.93000000000001</v>
      </c>
      <c r="IT37" s="33">
        <f>PERCENTRANK(IS$2:INDEX($IS:$IS,LOOKUP(2,1/(ISNUMBER($A$2:$A$1048576)),ROW($A$2:$A$1048576))),IS37)</f>
        <v/>
      </c>
      <c r="IU37" s="39">
        <f>1-(IS37-IS$106)/IS$107</f>
        <v/>
      </c>
      <c r="IV37" s="9" t="n">
        <v>1.78</v>
      </c>
      <c r="IW37" s="9" t="n">
        <v>0.57</v>
      </c>
      <c r="IX37" s="9" t="n">
        <v>31.82</v>
      </c>
      <c r="IY37" s="9" t="n">
        <v>18.92</v>
      </c>
      <c r="IZ37" s="9" t="n">
        <v>16.22</v>
      </c>
      <c r="JA37" s="9" t="n">
        <v>85.70999999999999</v>
      </c>
      <c r="JB37" s="9" t="n">
        <v>8.699999999999999</v>
      </c>
      <c r="JC37" s="9" t="n">
        <v>15.7</v>
      </c>
      <c r="JD37" s="9" t="n">
        <v>3.33</v>
      </c>
      <c r="JE37" s="9" t="n">
        <v>13.98</v>
      </c>
      <c r="JF37" s="9" t="n">
        <v>19.27</v>
      </c>
      <c r="JG37" s="9" t="n">
        <v>20.51</v>
      </c>
      <c r="JH37" s="9" t="n">
        <v>12.34</v>
      </c>
    </row>
    <row r="38">
      <c r="A38" s="12" t="n">
        <v>2022</v>
      </c>
      <c r="B38" s="31" t="inlineStr">
        <is>
          <t>Memphis 901</t>
        </is>
      </c>
      <c r="C38" s="12" t="n">
        <v>68</v>
      </c>
      <c r="D38" s="5">
        <f>(C38-AVERAGE($C$2:INDEX($C:$C,LOOKUP(2,1/(ISNUMBER($A$2:$A$1048576)),ROW($A$2:$A$1048576)))))/_xlfn.STDEV.P($C$2:INDEX($C:$C,LOOKUP(2,1/(ISNUMBER($A$2:$A$1048576)),ROW($A$2:$A$1048576))))</f>
        <v/>
      </c>
      <c r="E38" s="12" t="n">
        <v>2</v>
      </c>
      <c r="F38" s="6">
        <f>-E38</f>
        <v/>
      </c>
      <c r="G38" s="7">
        <f>(F38-AVERAGE($F$2:INDEX($F:$F,LOOKUP(2,1/(ISNUMBER($A$2:$A$1048576)),ROW($A$2:$A$1048576)))))/_xlfn.STDEV.P($F$2:INDEX($F:$F,LOOKUP(2,1/(ISNUMBER($A$2:$A$1048576)),ROW($A$2:$A$1048576))))</f>
        <v/>
      </c>
      <c r="H38" s="32">
        <f>sum(0.5*D38)+(0.5*G38)</f>
        <v/>
      </c>
      <c r="I38" s="12" t="inlineStr">
        <is>
          <t>East</t>
        </is>
      </c>
      <c r="J38" s="10">
        <f>sum(L38*L$105)+(N38*N$105)+(P38*P$105)+(T38*R$105)</f>
        <v/>
      </c>
      <c r="K38" s="33">
        <f>PERCENTRANK(J$2:INDEX($J:$J,LOOKUP(2,1/(ISNUMBER($A$2:$A$1048576)),ROW($A$2:$A$1048576))),J38)</f>
        <v/>
      </c>
      <c r="L38" s="10">
        <f>sum(AA38*0.66)+(AD38*0.55)+(AG38*0.59)+(CG38*0.51)+(CL38*0.6)+(EY38*0.31)</f>
        <v/>
      </c>
      <c r="M38" s="33">
        <f>PERCENTRANK(L$2:INDEX($L:$L,LOOKUP(2,1/(ISNUMBER($A$2:$A$1048576)),ROW($A$2:$A$1048576))),L38)</f>
        <v/>
      </c>
      <c r="N38" s="10">
        <f>sum(CT38*0.57)+(CW38*0.71)+(DJ38*0.08)+(FC38*0.33)+(FG38*0.69)+(FM38*0.26)+(IU38*0.54)+(AU38*0.4)</f>
        <v/>
      </c>
      <c r="O38" s="33">
        <f>PERCENTRANK(N$2:INDEX($N:$N,LOOKUP(2,1/(ISNUMBER($A$2:$A$1048576)),ROW($A$2:$A$1048576))),N38)</f>
        <v/>
      </c>
      <c r="P38" s="10">
        <f>sum(BG38*0.51)+(CD38*0.51)+(DR38*0.11)+(EF38*0.42)+(EK38*0.44)+(W38*0.6)</f>
        <v/>
      </c>
      <c r="Q38" s="33">
        <f>PERCENTRANK(P$2:INDEX($P:$P,LOOKUP(2,1/(ISNUMBER($A$2:$A$1048576)),ROW($A$2:$A$1048576))),P38)</f>
        <v/>
      </c>
      <c r="R38" s="10">
        <f>sum(Y38-FE38)</f>
        <v/>
      </c>
      <c r="S38" s="33">
        <f>PERCENTRANK(R$2:INDEX($R:$R,LOOKUP(2,1/(ISNUMBER($A$2:$A$1048576)),ROW($A$2:$A$1048576))),R38)</f>
        <v/>
      </c>
      <c r="T38" s="34">
        <f>sum(R38-R$106)/R$107</f>
        <v/>
      </c>
      <c r="U38" s="35">
        <f>sum(Y38/AI38)*100</f>
        <v/>
      </c>
      <c r="V38" s="33">
        <f>PERCENTRANK(U$2:INDEX($U:$U,LOOKUP(2,1/(ISNUMBER($A$2:$A$1048576)),ROW($A$2:$A$1048576))),U38)</f>
        <v/>
      </c>
      <c r="W38" s="36">
        <f>sum(U38-U$106)/U$107</f>
        <v/>
      </c>
      <c r="X38" s="9" t="n">
        <v>1.94</v>
      </c>
      <c r="Y38" s="9" t="n">
        <v>1.64</v>
      </c>
      <c r="Z38" s="33">
        <f>PERCENTRANK(Y$2:INDEX($Y:$Y,LOOKUP(2,1/(ISNUMBER($A$2:$A$1048576)),ROW($A$2:$A$1048576))),Y38)</f>
        <v/>
      </c>
      <c r="AA38" s="37">
        <f>sum(Y38-Y$106)/Y$107</f>
        <v/>
      </c>
      <c r="AB38" s="9" t="n">
        <v>12.72</v>
      </c>
      <c r="AC38" s="33">
        <f>PERCENTRANK(AB$2:INDEX($AB:$AB,LOOKUP(2,1/(ISNUMBER($A$2:$A$1048576)),ROW($A$2:$A$1048576))),AB38)</f>
        <v/>
      </c>
      <c r="AD38" s="38">
        <f>sum(AB38-AB$106)/AB$107</f>
        <v/>
      </c>
      <c r="AE38" s="9" t="n">
        <v>5.22</v>
      </c>
      <c r="AF38" s="33">
        <f>PERCENTRANK(AE$2:INDEX($AE:$AE,LOOKUP(2,1/(ISNUMBER($A$2:$A$1048576)),ROW($A$2:$A$1048576))),AE38)</f>
        <v/>
      </c>
      <c r="AG38" s="38">
        <f>sum(AE38-AE$106)/AE$107</f>
        <v/>
      </c>
      <c r="AH38" s="9" t="n">
        <v>41.05</v>
      </c>
      <c r="AI38" s="9" t="n">
        <v>398.97</v>
      </c>
      <c r="AJ38" s="9" t="n">
        <v>326.47</v>
      </c>
      <c r="AK38" s="9" t="n">
        <v>81.83</v>
      </c>
      <c r="AL38" s="9" t="n">
        <v>50.62</v>
      </c>
      <c r="AM38" s="9" t="n">
        <v>106.83</v>
      </c>
      <c r="AN38" s="9" t="n">
        <v>18.75</v>
      </c>
      <c r="AO38" s="9" t="n">
        <v>38.61</v>
      </c>
      <c r="AP38" s="9" t="n">
        <v>49.47</v>
      </c>
      <c r="AQ38" s="9" t="n">
        <v>83.61</v>
      </c>
      <c r="AR38" s="9" t="n">
        <v>37.22</v>
      </c>
      <c r="AS38" s="9" t="n">
        <v>34.44</v>
      </c>
      <c r="AT38" s="33">
        <f>PERCENTRANK(AS$2:INDEX($AS:$AS,LOOKUP(2,1/(ISNUMBER($A$2:$A$1048576)),ROW($A$2:$A$1048576))),AS38)</f>
        <v/>
      </c>
      <c r="AU38" s="39">
        <f>SUM(AS38-AS$106)/AS$107</f>
        <v/>
      </c>
      <c r="AV38" s="9" t="n">
        <v>11.94</v>
      </c>
      <c r="AW38" s="33">
        <f>PERCENTRANK(AV$2:INDEX($AV:$AV,LOOKUP(2,1/(ISNUMBER($A$2:$A$1048576)),ROW($A$2:$A$1048576))),AV38)</f>
        <v/>
      </c>
      <c r="AX38" s="9" t="n">
        <v>216.64</v>
      </c>
      <c r="AY38" s="9" t="n">
        <v>103.22</v>
      </c>
      <c r="AZ38" s="9" t="n">
        <v>47.65</v>
      </c>
      <c r="BA38" s="9" t="n">
        <v>5.25</v>
      </c>
      <c r="BB38" s="9" t="n">
        <v>1.64</v>
      </c>
      <c r="BC38" s="9" t="n">
        <v>31.22</v>
      </c>
      <c r="BD38" s="9" t="n">
        <v>30</v>
      </c>
      <c r="BE38" s="9" t="n">
        <v>7.47</v>
      </c>
      <c r="BF38" s="33">
        <f>PERCENTRANK(BE$2:INDEX($BE:$BE,LOOKUP(2,1/(ISNUMBER($A$2:$A$1048576)),ROW($A$2:$A$1048576))),BE38)</f>
        <v/>
      </c>
      <c r="BG38" s="40">
        <f>sum(BE38-BE$106)/BE$107</f>
        <v/>
      </c>
      <c r="BH38" s="9" t="n">
        <v>24.91</v>
      </c>
      <c r="BI38" s="9" t="n">
        <v>1.53</v>
      </c>
      <c r="BJ38" s="9" t="n">
        <v>0.83</v>
      </c>
      <c r="BK38" s="9" t="n">
        <v>54.55</v>
      </c>
      <c r="BL38" s="9" t="n">
        <v>27.11</v>
      </c>
      <c r="BM38" s="9" t="n">
        <v>3.83</v>
      </c>
      <c r="BN38" s="9" t="n">
        <v>14.14</v>
      </c>
      <c r="BO38" s="9" t="n">
        <v>4.72</v>
      </c>
      <c r="BP38" s="9" t="n">
        <v>1.25</v>
      </c>
      <c r="BQ38" s="9" t="n">
        <v>26.47</v>
      </c>
      <c r="BR38" s="9" t="n">
        <v>2.58</v>
      </c>
      <c r="BS38" s="9" t="n">
        <v>0.67</v>
      </c>
      <c r="BT38" s="9" t="n">
        <v>25.81</v>
      </c>
      <c r="BU38" s="9" t="n">
        <v>0.11</v>
      </c>
      <c r="BV38" s="9" t="n">
        <v>0.06</v>
      </c>
      <c r="BW38" s="9" t="n">
        <v>50</v>
      </c>
      <c r="BX38" s="9" t="n">
        <v>13.33</v>
      </c>
      <c r="BY38" s="9" t="n">
        <v>5.08</v>
      </c>
      <c r="BZ38" s="9" t="n">
        <v>38.13</v>
      </c>
      <c r="CA38" s="9" t="n">
        <v>4.94</v>
      </c>
      <c r="CB38" s="9" t="n">
        <v>8.67</v>
      </c>
      <c r="CC38" s="33">
        <f>PERCENTRANK(CD$2:INDEX($CD:$CD,LOOKUP(2,1/(ISNUMBER($A$2:$A$1048576)),ROW($A$2:$A$1048576))),CD38)</f>
        <v/>
      </c>
      <c r="CD38" s="40">
        <f>sum(CB38-CB$106)/CB$107</f>
        <v/>
      </c>
      <c r="CE38" s="9" t="n">
        <v>24.47</v>
      </c>
      <c r="CF38" s="33">
        <f>PERCENTRANK(CE$2:INDEX($CE:$CE,LOOKUP(2,1/(ISNUMBER($A$2:$A$1048576)),ROW($A$2:$A$1048576))),CE38)</f>
        <v/>
      </c>
      <c r="CG38" s="38">
        <f>sum(CE38-CE$106)/CE$107</f>
        <v/>
      </c>
      <c r="CH38" s="9" t="n">
        <v>4.36</v>
      </c>
      <c r="CI38" s="9" t="n">
        <v>7.22</v>
      </c>
      <c r="CJ38" s="9" t="n">
        <v>19.72</v>
      </c>
      <c r="CK38" s="33">
        <f>PERCENTRANK(CJ$2:INDEX($CJ:$CJ,LOOKUP(2,1/(ISNUMBER($A$2:$A$1048576)),ROW($A$2:$A$1048576))),CJ38)</f>
        <v/>
      </c>
      <c r="CL38" s="38">
        <f>sum(CJ38-CJ$106)/CJ$107</f>
        <v/>
      </c>
      <c r="CM38" s="9" t="n">
        <v>69.69</v>
      </c>
      <c r="CN38" s="9" t="n">
        <v>27.81</v>
      </c>
      <c r="CO38" s="9" t="n">
        <v>39.9</v>
      </c>
      <c r="CP38" s="9" t="n">
        <v>2.64</v>
      </c>
      <c r="CQ38" s="9" t="n">
        <v>0.97</v>
      </c>
      <c r="CR38" s="9" t="n">
        <v>10</v>
      </c>
      <c r="CS38" s="33">
        <f>PERCENTRANK(CR$2:INDEX($CR:$CR,LOOKUP(2,1/(ISNUMBER($A$2:$A$1048576)),ROW($A$2:$A$1048576))),CR38)</f>
        <v/>
      </c>
      <c r="CT38" s="39">
        <f>1-(CR38-CR$106)/CR$107</f>
        <v/>
      </c>
      <c r="CU38" s="9" t="n">
        <v>3.61</v>
      </c>
      <c r="CV38" s="33">
        <f>PERCENTRANK(CU$2:INDEX($CU:$CU,LOOKUP(2,1/(ISNUMBER($A$2:$A$1048576)),ROW($A$2:$A$1048576))),CU38)</f>
        <v/>
      </c>
      <c r="CW38" s="39">
        <f>1-(CU38-CU$106)/CU$107</f>
        <v/>
      </c>
      <c r="CX38" s="9" t="n">
        <v>36.11</v>
      </c>
      <c r="CY38" s="9" t="n">
        <v>68.31</v>
      </c>
      <c r="CZ38" s="9" t="n">
        <v>41.22</v>
      </c>
      <c r="DA38" s="9" t="n">
        <v>60.35</v>
      </c>
      <c r="DB38" s="9" t="n">
        <v>42.47</v>
      </c>
      <c r="DC38" s="9" t="n">
        <v>19.53</v>
      </c>
      <c r="DD38" s="9" t="n">
        <v>45.98</v>
      </c>
      <c r="DE38" s="9" t="n">
        <v>3.69</v>
      </c>
      <c r="DF38" s="9" t="n">
        <v>1.42</v>
      </c>
      <c r="DG38" s="9" t="n">
        <v>38.35</v>
      </c>
      <c r="DH38" s="9" t="n">
        <v>42.94</v>
      </c>
      <c r="DI38" s="33">
        <f>PERCENTRANK(DH$2:INDEX($DH:$DH,LOOKUP(2,1/(ISNUMBER($A$2:$A$1048576)),ROW($A$2:$A$1048576))),DH38)</f>
        <v/>
      </c>
      <c r="DJ38" s="39">
        <f>SUM(DH38-DH$106)/DH$107</f>
        <v/>
      </c>
      <c r="DK38" s="9" t="n">
        <v>17.47</v>
      </c>
      <c r="DL38" s="9" t="n">
        <v>13.83</v>
      </c>
      <c r="DM38" s="9" t="n">
        <v>2.22</v>
      </c>
      <c r="DN38" s="9" t="n">
        <v>0.22</v>
      </c>
      <c r="DO38" s="9" t="n">
        <v>140.83</v>
      </c>
      <c r="DP38" s="9" t="n">
        <v>99.5</v>
      </c>
      <c r="DQ38" s="33">
        <f>PERCENTRANK(DP$2:INDEX($DP:$DP,LOOKUP(2,1/(ISNUMBER($A$2:$A$1048576)),ROW($A$2:$A$1048576))),DP38)</f>
        <v/>
      </c>
      <c r="DR38" s="40">
        <f>sum(DP38-DP$106)/DP$107</f>
        <v/>
      </c>
      <c r="DS38" s="9" t="n">
        <v>70.65000000000001</v>
      </c>
      <c r="DT38" s="9" t="n">
        <v>63.56</v>
      </c>
      <c r="DU38" s="9" t="n">
        <v>59.5</v>
      </c>
      <c r="DV38" s="9" t="n">
        <v>93.62</v>
      </c>
      <c r="DW38" s="9" t="n">
        <v>140.92</v>
      </c>
      <c r="DX38" s="9" t="n">
        <v>124.89</v>
      </c>
      <c r="DY38" s="9" t="n">
        <v>88.63</v>
      </c>
      <c r="DZ38" s="9" t="n">
        <v>50.97</v>
      </c>
      <c r="EA38" s="9" t="n">
        <v>27.17</v>
      </c>
      <c r="EB38" s="9" t="n">
        <v>53.3</v>
      </c>
      <c r="EC38" s="9" t="n">
        <v>57.83</v>
      </c>
      <c r="ED38" s="9" t="n">
        <v>38.42</v>
      </c>
      <c r="EE38" s="33">
        <f>PERCENTRANK(ED$2:INDEX($ED:$ED,LOOKUP(2,1/(ISNUMBER($A$2:$A$1048576)),ROW($A$2:$A$1048576))),ED38)</f>
        <v/>
      </c>
      <c r="EF38" s="40">
        <f>sum(ED38-ED$106)/ED$107</f>
        <v/>
      </c>
      <c r="EG38" s="9" t="n">
        <v>66.43000000000001</v>
      </c>
      <c r="EH38" s="9" t="n">
        <v>77.39</v>
      </c>
      <c r="EI38" s="9" t="n">
        <v>57.75</v>
      </c>
      <c r="EJ38" s="33">
        <f>PERCENTRANK(EI$2:INDEX($EI:$EI,LOOKUP(2,1/(ISNUMBER($A$2:$A$1048576)),ROW($A$2:$A$1048576))),EI38)</f>
        <v/>
      </c>
      <c r="EK38" s="40">
        <f>sum(EI38-EI$106)/EI$107</f>
        <v/>
      </c>
      <c r="EL38" s="9" t="n">
        <v>74.62</v>
      </c>
      <c r="EM38" s="9" t="n">
        <v>5.69</v>
      </c>
      <c r="EN38" s="9" t="n">
        <v>2.44</v>
      </c>
      <c r="EO38" s="9" t="n">
        <v>42.93</v>
      </c>
      <c r="EP38" s="9" t="n">
        <v>23.33</v>
      </c>
      <c r="EQ38" s="9" t="n">
        <v>21.78</v>
      </c>
      <c r="ER38" s="9" t="n">
        <v>93.33</v>
      </c>
      <c r="ES38" s="9" t="n">
        <v>8.08</v>
      </c>
      <c r="ET38" s="9" t="n">
        <v>16.32</v>
      </c>
      <c r="EU38" s="9" t="n">
        <v>3.63</v>
      </c>
      <c r="EV38" s="9" t="n">
        <v>13.12</v>
      </c>
      <c r="EW38" s="9" t="n">
        <v>18.49</v>
      </c>
      <c r="EX38" s="33">
        <f>PERCENTRANK(EW$2:INDEX($EW:$EW,LOOKUP(2,1/(ISNUMBER($A$2:$A$1048576)),ROW($A$2:$A$1048576))),EW38)</f>
        <v/>
      </c>
      <c r="EY38" s="38">
        <f>1-(EW38-EW$106)/EW$107</f>
        <v/>
      </c>
      <c r="EZ38" s="9" t="n">
        <v>21.05</v>
      </c>
      <c r="FA38" s="9" t="n">
        <v>9.24</v>
      </c>
      <c r="FB38" s="33">
        <f>PERCENTRANK(FA$2:INDEX($FA:$FA,LOOKUP(2,1/(ISNUMBER($A$2:$A$1048576)),ROW($A$2:$A$1048576))),FA38)</f>
        <v/>
      </c>
      <c r="FC38" s="39">
        <f>1-(FA38-FA$106)/FA$107</f>
        <v/>
      </c>
      <c r="FD38" s="9" t="n">
        <v>0.97</v>
      </c>
      <c r="FE38" s="9" t="n">
        <v>1.19</v>
      </c>
      <c r="FF38" s="33">
        <f>PERCENTRANK(FE$2:INDEX($FE:$FE,LOOKUP(2,1/(ISNUMBER($A$2:$A$1048576)),ROW($A$2:$A$1048576))),FE38)</f>
        <v/>
      </c>
      <c r="FG38" s="39">
        <f>1-(FE38-FE$106)/FE$107</f>
        <v/>
      </c>
      <c r="FH38" s="9" t="n">
        <v>10</v>
      </c>
      <c r="FI38" s="9" t="n">
        <v>3.42</v>
      </c>
      <c r="FJ38" s="9" t="n">
        <v>34.17</v>
      </c>
      <c r="FK38" s="9" t="n">
        <v>388.25</v>
      </c>
      <c r="FL38" s="33">
        <f>PERCENTRANK(FK$2:INDEX($FK:$FK,LOOKUP(2,1/(ISNUMBER($A$2:$A$1048576)),ROW($A$2:$A$1048576))),FK38)</f>
        <v/>
      </c>
      <c r="FM38" s="39">
        <f>SWA37-(FK38-FK$106)/FK$107</f>
        <v/>
      </c>
      <c r="FN38" s="9" t="n">
        <v>312.75</v>
      </c>
      <c r="FO38" s="9" t="n">
        <v>80.55</v>
      </c>
      <c r="FP38" s="9" t="n">
        <v>49.38</v>
      </c>
      <c r="FQ38" s="9" t="n">
        <v>109.33</v>
      </c>
      <c r="FR38" s="9" t="n">
        <v>19.5</v>
      </c>
      <c r="FS38" s="9" t="n">
        <v>40.81</v>
      </c>
      <c r="FT38" s="9" t="n">
        <v>49.03</v>
      </c>
      <c r="FU38" s="9" t="n">
        <v>83.86</v>
      </c>
      <c r="FV38" s="9" t="n">
        <v>38.72</v>
      </c>
      <c r="FW38" s="9" t="n">
        <v>33.86</v>
      </c>
      <c r="FX38" s="9" t="n">
        <v>11.28</v>
      </c>
      <c r="FY38" s="9" t="n">
        <v>216.64</v>
      </c>
      <c r="FZ38" s="9" t="n">
        <v>103.39</v>
      </c>
      <c r="GA38" s="9" t="n">
        <v>47.72</v>
      </c>
      <c r="GB38" s="9" t="n">
        <v>3.64</v>
      </c>
      <c r="GC38" s="9" t="n">
        <v>0.83</v>
      </c>
      <c r="GD38" s="9" t="n">
        <v>22.9</v>
      </c>
      <c r="GE38" s="9" t="n">
        <v>25.89</v>
      </c>
      <c r="GF38" s="9" t="n">
        <v>5.83</v>
      </c>
      <c r="GG38" s="9" t="n">
        <v>22.53</v>
      </c>
      <c r="GH38" s="9" t="n">
        <v>1.22</v>
      </c>
      <c r="GI38" s="9" t="n">
        <v>0.64</v>
      </c>
      <c r="GJ38" s="9" t="n">
        <v>52.27</v>
      </c>
      <c r="GK38" s="9" t="n">
        <v>27.19</v>
      </c>
      <c r="GL38" s="9" t="n">
        <v>3.17</v>
      </c>
      <c r="GM38" s="9" t="n">
        <v>11.64</v>
      </c>
      <c r="GN38" s="9" t="n">
        <v>4</v>
      </c>
      <c r="GO38" s="9" t="n">
        <v>1.28</v>
      </c>
      <c r="GP38" s="9" t="n">
        <v>31.94</v>
      </c>
      <c r="GQ38" s="9" t="n">
        <v>2.44</v>
      </c>
      <c r="GR38" s="9" t="n">
        <v>0.6899999999999999</v>
      </c>
      <c r="GS38" s="9" t="n">
        <v>28.41</v>
      </c>
      <c r="GT38" s="9" t="n">
        <v>0.08</v>
      </c>
      <c r="GU38" s="9" t="n">
        <v>0.06</v>
      </c>
      <c r="GV38" s="9" t="n">
        <v>66.67</v>
      </c>
      <c r="GW38" s="9" t="n">
        <v>14.69</v>
      </c>
      <c r="GX38" s="9" t="n">
        <v>4.64</v>
      </c>
      <c r="GY38" s="9" t="n">
        <v>31.57</v>
      </c>
      <c r="GZ38" s="9" t="n">
        <v>4.47</v>
      </c>
      <c r="HA38" s="9" t="n">
        <v>6.14</v>
      </c>
      <c r="HB38" s="9" t="n">
        <v>24.42</v>
      </c>
      <c r="HC38" s="9" t="n">
        <v>4.31</v>
      </c>
      <c r="HD38" s="9" t="n">
        <v>8.890000000000001</v>
      </c>
      <c r="HE38" s="9" t="n">
        <v>16.67</v>
      </c>
      <c r="HF38" s="9" t="n">
        <v>68.31</v>
      </c>
      <c r="HG38" s="9" t="n">
        <v>27.08</v>
      </c>
      <c r="HH38" s="9" t="n">
        <v>39.65</v>
      </c>
      <c r="HI38" s="9" t="n">
        <v>2.44</v>
      </c>
      <c r="HJ38" s="9" t="n">
        <v>1.94</v>
      </c>
      <c r="HK38" s="9" t="n">
        <v>12.72</v>
      </c>
      <c r="HL38" s="9" t="n">
        <v>5.36</v>
      </c>
      <c r="HM38" s="9" t="n">
        <v>42.14</v>
      </c>
      <c r="HN38" s="9" t="n">
        <v>69.69</v>
      </c>
      <c r="HO38" s="9" t="n">
        <v>41.89</v>
      </c>
      <c r="HP38" s="9" t="n">
        <v>60.1</v>
      </c>
      <c r="HQ38" s="9" t="n">
        <v>42.47</v>
      </c>
      <c r="HR38" s="9" t="n">
        <v>19.89</v>
      </c>
      <c r="HS38" s="9" t="n">
        <v>46.83</v>
      </c>
      <c r="HT38" s="9" t="n">
        <v>4.14</v>
      </c>
      <c r="HU38" s="9" t="n">
        <v>2.03</v>
      </c>
      <c r="HV38" s="9" t="n">
        <v>48.99</v>
      </c>
      <c r="HW38" s="9" t="n">
        <v>39.31</v>
      </c>
      <c r="HX38" s="9" t="n">
        <v>16.06</v>
      </c>
      <c r="HY38" s="9" t="n">
        <v>13.75</v>
      </c>
      <c r="HZ38" s="9" t="n">
        <v>2.64</v>
      </c>
      <c r="IA38" s="9" t="n">
        <v>0.22</v>
      </c>
      <c r="IB38" s="9" t="n">
        <v>136.42</v>
      </c>
      <c r="IC38" s="9" t="n">
        <v>94.36</v>
      </c>
      <c r="ID38" s="9" t="n">
        <v>69.17</v>
      </c>
      <c r="IE38" s="9" t="n">
        <v>62.81</v>
      </c>
      <c r="IF38" s="9" t="n">
        <v>58.25</v>
      </c>
      <c r="IG38" s="9" t="n">
        <v>92.75</v>
      </c>
      <c r="IH38" s="9" t="n">
        <v>137.47</v>
      </c>
      <c r="II38" s="9" t="n">
        <v>118.92</v>
      </c>
      <c r="IJ38" s="9" t="n">
        <v>86.5</v>
      </c>
      <c r="IK38" s="9" t="n">
        <v>54.89</v>
      </c>
      <c r="IL38" s="9" t="n">
        <v>30.03</v>
      </c>
      <c r="IM38" s="9" t="n">
        <v>54.71</v>
      </c>
      <c r="IN38" s="9" t="n">
        <v>51.5</v>
      </c>
      <c r="IO38" s="9" t="n">
        <v>31.08</v>
      </c>
      <c r="IP38" s="9" t="n">
        <v>60.36</v>
      </c>
      <c r="IQ38" s="9" t="n">
        <v>70</v>
      </c>
      <c r="IR38" s="9" t="n">
        <v>49.19</v>
      </c>
      <c r="IS38" s="9" t="n">
        <v>70.28</v>
      </c>
      <c r="IT38" s="33">
        <f>PERCENTRANK(IS$2:INDEX($IS:$IS,LOOKUP(2,1/(ISNUMBER($A$2:$A$1048576)),ROW($A$2:$A$1048576))),IS38)</f>
        <v/>
      </c>
      <c r="IU38" s="39">
        <f>1-(IS38-IS$106)/IS$107</f>
        <v/>
      </c>
      <c r="IV38" s="9" t="n">
        <v>3.03</v>
      </c>
      <c r="IW38" s="9" t="n">
        <v>1.11</v>
      </c>
      <c r="IX38" s="9" t="n">
        <v>36.7</v>
      </c>
      <c r="IY38" s="9" t="n">
        <v>24.25</v>
      </c>
      <c r="IZ38" s="9" t="n">
        <v>20.78</v>
      </c>
      <c r="JA38" s="9" t="n">
        <v>85.68000000000001</v>
      </c>
      <c r="JB38" s="9" t="n">
        <v>8.529999999999999</v>
      </c>
      <c r="JC38" s="9" t="n">
        <v>16.14</v>
      </c>
      <c r="JD38" s="9" t="n">
        <v>3.55</v>
      </c>
      <c r="JE38" s="9" t="n">
        <v>14.7</v>
      </c>
      <c r="JF38" s="9" t="n">
        <v>17.97</v>
      </c>
      <c r="JG38" s="9" t="n">
        <v>20.87</v>
      </c>
      <c r="JH38" s="9" t="n">
        <v>9.779999999999999</v>
      </c>
    </row>
    <row r="39">
      <c r="A39" s="12" t="n">
        <v>2025</v>
      </c>
      <c r="B39" s="31" t="inlineStr">
        <is>
          <t>El Paso Locomotive</t>
        </is>
      </c>
      <c r="C39" s="12" t="n">
        <v>41</v>
      </c>
      <c r="D39" s="5">
        <f>(C39-AVERAGE($C$2:INDEX($C:$C,LOOKUP(2,1/(ISNUMBER($A$2:$A$1048576)),ROW($A$2:$A$1048576)))))/_xlfn.STDEV.P($C$2:INDEX($C:$C,LOOKUP(2,1/(ISNUMBER($A$2:$A$1048576)),ROW($A$2:$A$1048576))))</f>
        <v/>
      </c>
      <c r="E39" s="12" t="n">
        <v>4</v>
      </c>
      <c r="F39" s="6">
        <f>-E39</f>
        <v/>
      </c>
      <c r="G39" s="7">
        <f>(F39-AVERAGE($F$2:INDEX($F:$F,LOOKUP(2,1/(ISNUMBER($A$2:$A$1048576)),ROW($A$2:$A$1048576)))))/_xlfn.STDEV.P($F$2:INDEX($F:$F,LOOKUP(2,1/(ISNUMBER($A$2:$A$1048576)),ROW($A$2:$A$1048576))))</f>
        <v/>
      </c>
      <c r="H39" s="32">
        <f>sum(0.5*D39)+(0.5*G39)</f>
        <v/>
      </c>
      <c r="I39" s="12" t="inlineStr">
        <is>
          <t>West</t>
        </is>
      </c>
      <c r="J39" s="10">
        <f>sum(L39*L$105)+(N39*N$105)+(P39*P$105)+(T39*R$105)</f>
        <v/>
      </c>
      <c r="K39" s="33">
        <f>PERCENTRANK(J$2:INDEX($J:$J,LOOKUP(2,1/(ISNUMBER($A$2:$A$1048576)),ROW($A$2:$A$1048576))),J39)</f>
        <v/>
      </c>
      <c r="L39" s="10">
        <f>sum(AA39*0.66)+(AD39*0.55)+(AG39*0.59)+(CG39*0.51)+(CL39*0.6)+(EY39*0.31)</f>
        <v/>
      </c>
      <c r="M39" s="33">
        <f>PERCENTRANK(L$2:INDEX($L:$L,LOOKUP(2,1/(ISNUMBER($A$2:$A$1048576)),ROW($A$2:$A$1048576))),L39)</f>
        <v/>
      </c>
      <c r="N39" s="10">
        <f>sum(CT39*0.57)+(CW39*0.71)+(DJ39*0.08)+(FC39*0.33)+(FG39*0.69)+(FM39*0.26)+(IU39*0.54)+(AU39*0.4)</f>
        <v/>
      </c>
      <c r="O39" s="33">
        <f>PERCENTRANK(N$2:INDEX($N:$N,LOOKUP(2,1/(ISNUMBER($A$2:$A$1048576)),ROW($A$2:$A$1048576))),N39)</f>
        <v/>
      </c>
      <c r="P39" s="10">
        <f>sum(BG39*0.51)+(CD39*0.51)+(DR39*0.11)+(EF39*0.42)+(EK39*0.44)+(W39*0.6)</f>
        <v/>
      </c>
      <c r="Q39" s="33">
        <f>PERCENTRANK(P$2:INDEX($P:$P,LOOKUP(2,1/(ISNUMBER($A$2:$A$1048576)),ROW($A$2:$A$1048576))),P39)</f>
        <v/>
      </c>
      <c r="R39" s="10">
        <f>sum(Y39-FE39)</f>
        <v/>
      </c>
      <c r="S39" s="33">
        <f>PERCENTRANK(R$2:INDEX($R:$R,LOOKUP(2,1/(ISNUMBER($A$2:$A$1048576)),ROW($A$2:$A$1048576))),R39)</f>
        <v/>
      </c>
      <c r="T39" s="34">
        <f>sum(R39-R$106)/R$107</f>
        <v/>
      </c>
      <c r="U39" s="35">
        <f>sum(Y39/AI39)*100</f>
        <v/>
      </c>
      <c r="V39" s="33">
        <f>PERCENTRANK(U$2:INDEX($U:$U,LOOKUP(2,1/(ISNUMBER($A$2:$A$1048576)),ROW($A$2:$A$1048576))),U39)</f>
        <v/>
      </c>
      <c r="W39" s="36">
        <f>sum(U39-U$106)/U$107</f>
        <v/>
      </c>
      <c r="X39" s="9" t="n">
        <v>1.52</v>
      </c>
      <c r="Y39" s="9" t="n">
        <v>1.27</v>
      </c>
      <c r="Z39" s="33">
        <f>PERCENTRANK(Y$2:INDEX($Y:$Y,LOOKUP(2,1/(ISNUMBER($A$2:$A$1048576)),ROW($A$2:$A$1048576))),Y39)</f>
        <v/>
      </c>
      <c r="AA39" s="37">
        <f>sum(Y39-Y$106)/Y$107</f>
        <v/>
      </c>
      <c r="AB39" s="9" t="n">
        <v>11.74</v>
      </c>
      <c r="AC39" s="33">
        <f>PERCENTRANK(AB$2:INDEX($AB:$AB,LOOKUP(2,1/(ISNUMBER($A$2:$A$1048576)),ROW($A$2:$A$1048576))),AB39)</f>
        <v/>
      </c>
      <c r="AD39" s="38">
        <f>sum(AB39-AB$106)/AB$107</f>
        <v/>
      </c>
      <c r="AE39" s="9" t="n">
        <v>4.35</v>
      </c>
      <c r="AF39" s="33">
        <f>PERCENTRANK(AE$2:INDEX($AE:$AE,LOOKUP(2,1/(ISNUMBER($A$2:$A$1048576)),ROW($A$2:$A$1048576))),AE39)</f>
        <v/>
      </c>
      <c r="AG39" s="38">
        <f>sum(AE39-AE$106)/AE$107</f>
        <v/>
      </c>
      <c r="AH39" s="9" t="n">
        <v>37.09</v>
      </c>
      <c r="AI39" s="9" t="n">
        <v>419.29</v>
      </c>
      <c r="AJ39" s="9" t="n">
        <v>356.1</v>
      </c>
      <c r="AK39" s="9" t="n">
        <v>84.93000000000001</v>
      </c>
      <c r="AL39" s="9" t="n">
        <v>53.25</v>
      </c>
      <c r="AM39" s="9" t="n">
        <v>93.16</v>
      </c>
      <c r="AN39" s="9" t="n">
        <v>17.74</v>
      </c>
      <c r="AO39" s="9" t="n">
        <v>34</v>
      </c>
      <c r="AP39" s="9" t="n">
        <v>41.42</v>
      </c>
      <c r="AQ39" s="9" t="n">
        <v>67.09999999999999</v>
      </c>
      <c r="AR39" s="9" t="n">
        <v>32.9</v>
      </c>
      <c r="AS39" s="9" t="n">
        <v>25.23</v>
      </c>
      <c r="AT39" s="33">
        <f>PERCENTRANK(AS$2:INDEX($AS:$AS,LOOKUP(2,1/(ISNUMBER($A$2:$A$1048576)),ROW($A$2:$A$1048576))),AS39)</f>
        <v/>
      </c>
      <c r="AU39" s="39">
        <f>SUM(AS39-AS$106)/AS$107</f>
        <v/>
      </c>
      <c r="AV39" s="9" t="n">
        <v>8.970000000000001</v>
      </c>
      <c r="AW39" s="33">
        <f>PERCENTRANK(AV$2:INDEX($AV:$AV,LOOKUP(2,1/(ISNUMBER($A$2:$A$1048576)),ROW($A$2:$A$1048576))),AV39)</f>
        <v/>
      </c>
      <c r="AX39" s="9" t="n">
        <v>172.87</v>
      </c>
      <c r="AY39" s="9" t="n">
        <v>85.31999999999999</v>
      </c>
      <c r="AZ39" s="9" t="n">
        <v>49.36</v>
      </c>
      <c r="BA39" s="9" t="n">
        <v>5.29</v>
      </c>
      <c r="BB39" s="9" t="n">
        <v>1.58</v>
      </c>
      <c r="BC39" s="9" t="n">
        <v>29.88</v>
      </c>
      <c r="BD39" s="9" t="n">
        <v>23.9</v>
      </c>
      <c r="BE39" s="9" t="n">
        <v>6.65</v>
      </c>
      <c r="BF39" s="33">
        <f>PERCENTRANK(BE$2:INDEX($BE:$BE,LOOKUP(2,1/(ISNUMBER($A$2:$A$1048576)),ROW($A$2:$A$1048576))),BE39)</f>
        <v/>
      </c>
      <c r="BG39" s="40">
        <f>sum(BE39-BE$106)/BE$107</f>
        <v/>
      </c>
      <c r="BH39" s="9" t="n">
        <v>27.8</v>
      </c>
      <c r="BI39" s="9" t="n">
        <v>0.9399999999999999</v>
      </c>
      <c r="BJ39" s="9" t="n">
        <v>0.61</v>
      </c>
      <c r="BK39" s="9" t="n">
        <v>65.52</v>
      </c>
      <c r="BL39" s="9" t="n">
        <v>31.55</v>
      </c>
      <c r="BM39" s="9" t="n">
        <v>3.77</v>
      </c>
      <c r="BN39" s="9" t="n">
        <v>11.96</v>
      </c>
      <c r="BO39" s="9" t="n">
        <v>4.81</v>
      </c>
      <c r="BP39" s="9" t="n">
        <v>1.32</v>
      </c>
      <c r="BQ39" s="9" t="n">
        <v>27.52</v>
      </c>
      <c r="BR39" s="9" t="n">
        <v>2.65</v>
      </c>
      <c r="BS39" s="9" t="n">
        <v>0.9399999999999999</v>
      </c>
      <c r="BT39" s="9" t="n">
        <v>35.37</v>
      </c>
      <c r="BU39" s="9" t="n">
        <v>0.06</v>
      </c>
      <c r="BV39" s="9" t="n">
        <v>0.03</v>
      </c>
      <c r="BW39" s="9" t="n">
        <v>50</v>
      </c>
      <c r="BX39" s="9" t="n">
        <v>13.35</v>
      </c>
      <c r="BY39" s="9" t="n">
        <v>4.06</v>
      </c>
      <c r="BZ39" s="9" t="n">
        <v>30.43</v>
      </c>
      <c r="CA39" s="9" t="n">
        <v>4.19</v>
      </c>
      <c r="CB39" s="9" t="n">
        <v>6.45</v>
      </c>
      <c r="CC39" s="33">
        <f>PERCENTRANK(CD$2:INDEX($CD:$CD,LOOKUP(2,1/(ISNUMBER($A$2:$A$1048576)),ROW($A$2:$A$1048576))),CD39)</f>
        <v/>
      </c>
      <c r="CD39" s="40">
        <f>sum(CB39-CB$106)/CB$107</f>
        <v/>
      </c>
      <c r="CE39" s="9" t="n">
        <v>20.81</v>
      </c>
      <c r="CF39" s="33">
        <f>PERCENTRANK(CE$2:INDEX($CE:$CE,LOOKUP(2,1/(ISNUMBER($A$2:$A$1048576)),ROW($A$2:$A$1048576))),CE39)</f>
        <v/>
      </c>
      <c r="CG39" s="38">
        <f>sum(CE39-CE$106)/CE$107</f>
        <v/>
      </c>
      <c r="CH39" s="9" t="n">
        <v>4.19</v>
      </c>
      <c r="CI39" s="9" t="n">
        <v>7.84</v>
      </c>
      <c r="CJ39" s="9" t="n">
        <v>16.61</v>
      </c>
      <c r="CK39" s="33">
        <f>PERCENTRANK(CJ$2:INDEX($CJ:$CJ,LOOKUP(2,1/(ISNUMBER($A$2:$A$1048576)),ROW($A$2:$A$1048576))),CJ39)</f>
        <v/>
      </c>
      <c r="CL39" s="38">
        <f>sum(CJ39-CJ$106)/CJ$107</f>
        <v/>
      </c>
      <c r="CM39" s="9" t="n">
        <v>69.19</v>
      </c>
      <c r="CN39" s="9" t="n">
        <v>29.65</v>
      </c>
      <c r="CO39" s="9" t="n">
        <v>42.84</v>
      </c>
      <c r="CP39" s="9" t="n">
        <v>1.55</v>
      </c>
      <c r="CQ39" s="9" t="n">
        <v>1.48</v>
      </c>
      <c r="CR39" s="9" t="n">
        <v>8.84</v>
      </c>
      <c r="CS39" s="33">
        <f>PERCENTRANK(CR$2:INDEX($CR:$CR,LOOKUP(2,1/(ISNUMBER($A$2:$A$1048576)),ROW($A$2:$A$1048576))),CR39)</f>
        <v/>
      </c>
      <c r="CT39" s="39">
        <f>1-(CR39-CR$106)/CR$107</f>
        <v/>
      </c>
      <c r="CU39" s="9" t="n">
        <v>3.94</v>
      </c>
      <c r="CV39" s="33">
        <f>PERCENTRANK(CU$2:INDEX($CU:$CU,LOOKUP(2,1/(ISNUMBER($A$2:$A$1048576)),ROW($A$2:$A$1048576))),CU39)</f>
        <v/>
      </c>
      <c r="CW39" s="39">
        <f>1-(CU39-CU$106)/CU$107</f>
        <v/>
      </c>
      <c r="CX39" s="9" t="n">
        <v>44.53</v>
      </c>
      <c r="CY39" s="9" t="n">
        <v>58.9</v>
      </c>
      <c r="CZ39" s="9" t="n">
        <v>36.68</v>
      </c>
      <c r="DA39" s="9" t="n">
        <v>62.27</v>
      </c>
      <c r="DB39" s="9" t="n">
        <v>23.77</v>
      </c>
      <c r="DC39" s="9" t="n">
        <v>10.06</v>
      </c>
      <c r="DD39" s="9" t="n">
        <v>42.33</v>
      </c>
      <c r="DE39" s="9" t="n">
        <v>4.06</v>
      </c>
      <c r="DF39" s="9" t="n">
        <v>2.48</v>
      </c>
      <c r="DG39" s="9" t="n">
        <v>61.11</v>
      </c>
      <c r="DH39" s="9" t="n">
        <v>30.48</v>
      </c>
      <c r="DI39" s="33">
        <f>PERCENTRANK(DH$2:INDEX($DH:$DH,LOOKUP(2,1/(ISNUMBER($A$2:$A$1048576)),ROW($A$2:$A$1048576))),DH39)</f>
        <v/>
      </c>
      <c r="DJ39" s="39">
        <f>SUM(DH39-DH$106)/DH$107</f>
        <v/>
      </c>
      <c r="DK39" s="9" t="n">
        <v>13.19</v>
      </c>
      <c r="DL39" s="9" t="n">
        <v>13.06</v>
      </c>
      <c r="DM39" s="9" t="n">
        <v>2.52</v>
      </c>
      <c r="DN39" s="9" t="n">
        <v>0.19</v>
      </c>
      <c r="DO39" s="9" t="n">
        <v>137.94</v>
      </c>
      <c r="DP39" s="9" t="n">
        <v>103.84</v>
      </c>
      <c r="DQ39" s="33">
        <f>PERCENTRANK(DP$2:INDEX($DP:$DP,LOOKUP(2,1/(ISNUMBER($A$2:$A$1048576)),ROW($A$2:$A$1048576))),DP39)</f>
        <v/>
      </c>
      <c r="DR39" s="40">
        <f>sum(DP39-DP$106)/DP$107</f>
        <v/>
      </c>
      <c r="DS39" s="9" t="n">
        <v>75.28</v>
      </c>
      <c r="DT39" s="9" t="n">
        <v>68.90000000000001</v>
      </c>
      <c r="DU39" s="9" t="n">
        <v>64.73999999999999</v>
      </c>
      <c r="DV39" s="9" t="n">
        <v>93.95999999999999</v>
      </c>
      <c r="DW39" s="9" t="n">
        <v>156.39</v>
      </c>
      <c r="DX39" s="9" t="n">
        <v>141.23</v>
      </c>
      <c r="DY39" s="9" t="n">
        <v>90.31</v>
      </c>
      <c r="DZ39" s="9" t="n">
        <v>48.23</v>
      </c>
      <c r="EA39" s="9" t="n">
        <v>27.26</v>
      </c>
      <c r="EB39" s="9" t="n">
        <v>56.52</v>
      </c>
      <c r="EC39" s="9" t="n">
        <v>48.84</v>
      </c>
      <c r="ED39" s="9" t="n">
        <v>33.87</v>
      </c>
      <c r="EE39" s="33">
        <f>PERCENTRANK(ED$2:INDEX($ED:$ED,LOOKUP(2,1/(ISNUMBER($A$2:$A$1048576)),ROW($A$2:$A$1048576))),ED39)</f>
        <v/>
      </c>
      <c r="EF39" s="40">
        <f>sum(ED39-ED$106)/ED$107</f>
        <v/>
      </c>
      <c r="EG39" s="9" t="n">
        <v>69.34999999999999</v>
      </c>
      <c r="EH39" s="9" t="n">
        <v>69.48</v>
      </c>
      <c r="EI39" s="9" t="n">
        <v>49.61</v>
      </c>
      <c r="EJ39" s="33">
        <f>PERCENTRANK(EI$2:INDEX($EI:$EI,LOOKUP(2,1/(ISNUMBER($A$2:$A$1048576)),ROW($A$2:$A$1048576))),EI39)</f>
        <v/>
      </c>
      <c r="EK39" s="40">
        <f>sum(EI39-EI$106)/EI$107</f>
        <v/>
      </c>
      <c r="EL39" s="9" t="n">
        <v>71.40000000000001</v>
      </c>
      <c r="EM39" s="9" t="n">
        <v>1.06</v>
      </c>
      <c r="EN39" s="9" t="n">
        <v>0.42</v>
      </c>
      <c r="EO39" s="9" t="n">
        <v>39.39</v>
      </c>
      <c r="EP39" s="9" t="n">
        <v>20.52</v>
      </c>
      <c r="EQ39" s="9" t="n">
        <v>18.68</v>
      </c>
      <c r="ER39" s="9" t="n">
        <v>91.04000000000001</v>
      </c>
      <c r="ES39" s="9" t="n">
        <v>7.9</v>
      </c>
      <c r="ET39" s="9" t="n">
        <v>16.4</v>
      </c>
      <c r="EU39" s="9" t="n">
        <v>4.03</v>
      </c>
      <c r="EV39" s="9" t="n">
        <v>11.74</v>
      </c>
      <c r="EW39" s="9" t="n">
        <v>18.85</v>
      </c>
      <c r="EX39" s="33">
        <f>PERCENTRANK(EW$2:INDEX($EW:$EW,LOOKUP(2,1/(ISNUMBER($A$2:$A$1048576)),ROW($A$2:$A$1048576))),EW39)</f>
        <v/>
      </c>
      <c r="EY39" s="38">
        <f>1-(EW39-EW$106)/EW$107</f>
        <v/>
      </c>
      <c r="EZ39" s="9" t="n">
        <v>20.45</v>
      </c>
      <c r="FA39" s="9" t="n">
        <v>12.3</v>
      </c>
      <c r="FB39" s="33">
        <f>PERCENTRANK(FA$2:INDEX($FA:$FA,LOOKUP(2,1/(ISNUMBER($A$2:$A$1048576)),ROW($A$2:$A$1048576))),FA39)</f>
        <v/>
      </c>
      <c r="FC39" s="39">
        <f>1-(FA39-FA$106)/FA$107</f>
        <v/>
      </c>
      <c r="FD39" s="9" t="n">
        <v>1.48</v>
      </c>
      <c r="FE39" s="9" t="n">
        <v>1.31</v>
      </c>
      <c r="FF39" s="33">
        <f>PERCENTRANK(FE$2:INDEX($FE:$FE,LOOKUP(2,1/(ISNUMBER($A$2:$A$1048576)),ROW($A$2:$A$1048576))),FE39)</f>
        <v/>
      </c>
      <c r="FG39" s="39">
        <f>1-(FE39-FE$106)/FE$107</f>
        <v/>
      </c>
      <c r="FH39" s="9" t="n">
        <v>8.84</v>
      </c>
      <c r="FI39" s="9" t="n">
        <v>3.71</v>
      </c>
      <c r="FJ39" s="9" t="n">
        <v>41.97</v>
      </c>
      <c r="FK39" s="9" t="n">
        <v>351.9</v>
      </c>
      <c r="FL39" s="33">
        <f>PERCENTRANK(FK$2:INDEX($FK:$FK,LOOKUP(2,1/(ISNUMBER($A$2:$A$1048576)),ROW($A$2:$A$1048576))),FK39)</f>
        <v/>
      </c>
      <c r="FM39" s="39">
        <f>SWA38-(FK39-FK$106)/FK$107</f>
        <v/>
      </c>
      <c r="FN39" s="9" t="n">
        <v>290.19</v>
      </c>
      <c r="FO39" s="9" t="n">
        <v>82.45999999999999</v>
      </c>
      <c r="FP39" s="9" t="n">
        <v>46.75</v>
      </c>
      <c r="FQ39" s="9" t="n">
        <v>93.81</v>
      </c>
      <c r="FR39" s="9" t="n">
        <v>16.35</v>
      </c>
      <c r="FS39" s="9" t="n">
        <v>30</v>
      </c>
      <c r="FT39" s="9" t="n">
        <v>47.45</v>
      </c>
      <c r="FU39" s="9" t="n">
        <v>66.19</v>
      </c>
      <c r="FV39" s="9" t="n">
        <v>28.48</v>
      </c>
      <c r="FW39" s="9" t="n">
        <v>27.74</v>
      </c>
      <c r="FX39" s="9" t="n">
        <v>9.970000000000001</v>
      </c>
      <c r="FY39" s="9" t="n">
        <v>172.87</v>
      </c>
      <c r="FZ39" s="9" t="n">
        <v>81.77</v>
      </c>
      <c r="GA39" s="9" t="n">
        <v>47.3</v>
      </c>
      <c r="GB39" s="9" t="n">
        <v>3.29</v>
      </c>
      <c r="GC39" s="9" t="n">
        <v>1</v>
      </c>
      <c r="GD39" s="9" t="n">
        <v>30.39</v>
      </c>
      <c r="GE39" s="9" t="n">
        <v>25.58</v>
      </c>
      <c r="GF39" s="9" t="n">
        <v>5.52</v>
      </c>
      <c r="GG39" s="9" t="n">
        <v>21.56</v>
      </c>
      <c r="GH39" s="9" t="n">
        <v>0.35</v>
      </c>
      <c r="GI39" s="9" t="n">
        <v>0.32</v>
      </c>
      <c r="GJ39" s="9" t="n">
        <v>90.91</v>
      </c>
      <c r="GK39" s="9" t="n">
        <v>25.55</v>
      </c>
      <c r="GL39" s="9" t="n">
        <v>2.29</v>
      </c>
      <c r="GM39" s="9" t="n">
        <v>8.960000000000001</v>
      </c>
      <c r="GN39" s="9" t="n">
        <v>4.03</v>
      </c>
      <c r="GO39" s="9" t="n">
        <v>0.77</v>
      </c>
      <c r="GP39" s="9" t="n">
        <v>19.2</v>
      </c>
      <c r="GQ39" s="9" t="n">
        <v>3.06</v>
      </c>
      <c r="GR39" s="9" t="n">
        <v>0.8100000000000001</v>
      </c>
      <c r="GS39" s="9" t="n">
        <v>26.32</v>
      </c>
      <c r="GT39" s="9" t="n">
        <v>0.13</v>
      </c>
      <c r="GU39" s="9" t="n">
        <v>0.13</v>
      </c>
      <c r="GV39" s="9" t="n">
        <v>100</v>
      </c>
      <c r="GW39" s="9" t="n">
        <v>12.42</v>
      </c>
      <c r="GX39" s="9" t="n">
        <v>4.03</v>
      </c>
      <c r="GY39" s="9" t="n">
        <v>32.47</v>
      </c>
      <c r="GZ39" s="9" t="n">
        <v>4.13</v>
      </c>
      <c r="HA39" s="9" t="n">
        <v>5.77</v>
      </c>
      <c r="HB39" s="9" t="n">
        <v>21.03</v>
      </c>
      <c r="HC39" s="9" t="n">
        <v>2.77</v>
      </c>
      <c r="HD39" s="9" t="n">
        <v>7.32</v>
      </c>
      <c r="HE39" s="9" t="n">
        <v>14.29</v>
      </c>
      <c r="HF39" s="9" t="n">
        <v>58.9</v>
      </c>
      <c r="HG39" s="9" t="n">
        <v>22.23</v>
      </c>
      <c r="HH39" s="9" t="n">
        <v>37.73</v>
      </c>
      <c r="HI39" s="9" t="n">
        <v>1.97</v>
      </c>
      <c r="HJ39" s="9" t="n">
        <v>1.52</v>
      </c>
      <c r="HK39" s="9" t="n">
        <v>11.74</v>
      </c>
      <c r="HL39" s="9" t="n">
        <v>4.52</v>
      </c>
      <c r="HM39" s="9" t="n">
        <v>38.46</v>
      </c>
      <c r="HN39" s="9" t="n">
        <v>69.19</v>
      </c>
      <c r="HO39" s="9" t="n">
        <v>39.55</v>
      </c>
      <c r="HP39" s="9" t="n">
        <v>57.16</v>
      </c>
      <c r="HQ39" s="9" t="n">
        <v>23.77</v>
      </c>
      <c r="HR39" s="9" t="n">
        <v>11.26</v>
      </c>
      <c r="HS39" s="9" t="n">
        <v>47.35</v>
      </c>
      <c r="HT39" s="9" t="n">
        <v>2.48</v>
      </c>
      <c r="HU39" s="9" t="n">
        <v>1.06</v>
      </c>
      <c r="HV39" s="9" t="n">
        <v>42.86</v>
      </c>
      <c r="HW39" s="9" t="n">
        <v>34.13</v>
      </c>
      <c r="HX39" s="9" t="n">
        <v>13.77</v>
      </c>
      <c r="HY39" s="9" t="n">
        <v>18.48</v>
      </c>
      <c r="HZ39" s="9" t="n">
        <v>3.42</v>
      </c>
      <c r="IA39" s="9" t="n">
        <v>0.1</v>
      </c>
      <c r="IB39" s="9" t="n">
        <v>125.81</v>
      </c>
      <c r="IC39" s="9" t="n">
        <v>91.97</v>
      </c>
      <c r="ID39" s="9" t="n">
        <v>73.09999999999999</v>
      </c>
      <c r="IE39" s="9" t="n">
        <v>50.26</v>
      </c>
      <c r="IF39" s="9" t="n">
        <v>46.77</v>
      </c>
      <c r="IG39" s="9" t="n">
        <v>93.06999999999999</v>
      </c>
      <c r="IH39" s="9" t="n">
        <v>128.87</v>
      </c>
      <c r="II39" s="9" t="n">
        <v>113.23</v>
      </c>
      <c r="IJ39" s="9" t="n">
        <v>87.86</v>
      </c>
      <c r="IK39" s="9" t="n">
        <v>37.74</v>
      </c>
      <c r="IL39" s="9" t="n">
        <v>19.23</v>
      </c>
      <c r="IM39" s="9" t="n">
        <v>50.94</v>
      </c>
      <c r="IN39" s="9" t="n">
        <v>48.1</v>
      </c>
      <c r="IO39" s="9" t="n">
        <v>30.42</v>
      </c>
      <c r="IP39" s="9" t="n">
        <v>63.25</v>
      </c>
      <c r="IQ39" s="9" t="n">
        <v>59.32</v>
      </c>
      <c r="IR39" s="9" t="n">
        <v>44.03</v>
      </c>
      <c r="IS39" s="9" t="n">
        <v>74.23</v>
      </c>
      <c r="IT39" s="33">
        <f>PERCENTRANK(IS$2:INDEX($IS:$IS,LOOKUP(2,1/(ISNUMBER($A$2:$A$1048576)),ROW($A$2:$A$1048576))),IS39)</f>
        <v/>
      </c>
      <c r="IU39" s="39">
        <f>1-(IS39-IS$106)/IS$107</f>
        <v/>
      </c>
      <c r="IV39" s="9" t="n">
        <v>0.68</v>
      </c>
      <c r="IW39" s="9" t="n">
        <v>0.32</v>
      </c>
      <c r="IX39" s="9" t="n">
        <v>47.62</v>
      </c>
      <c r="IY39" s="9" t="n">
        <v>19.45</v>
      </c>
      <c r="IZ39" s="9" t="n">
        <v>16.71</v>
      </c>
      <c r="JA39" s="9" t="n">
        <v>85.90000000000001</v>
      </c>
      <c r="JB39" s="9" t="n">
        <v>7.94</v>
      </c>
      <c r="JC39" s="9" t="n">
        <v>15.66</v>
      </c>
      <c r="JD39" s="9" t="n">
        <v>3.64</v>
      </c>
      <c r="JE39" s="9" t="n">
        <v>11.24</v>
      </c>
      <c r="JF39" s="9" t="n">
        <v>17.5</v>
      </c>
      <c r="JG39" s="9" t="n">
        <v>20.29</v>
      </c>
      <c r="JH39" s="9" t="n">
        <v>10.37</v>
      </c>
    </row>
    <row r="40">
      <c r="A40" s="12" t="n">
        <v>2022</v>
      </c>
      <c r="B40" s="31" t="inlineStr">
        <is>
          <t>Miami</t>
        </is>
      </c>
      <c r="C40" s="12" t="n">
        <v>55</v>
      </c>
      <c r="D40" s="5">
        <f>(C40-AVERAGE($C$2:INDEX($C:$C,LOOKUP(2,1/(ISNUMBER($A$2:$A$1048576)),ROW($A$2:$A$1048576)))))/_xlfn.STDEV.P($C$2:INDEX($C:$C,LOOKUP(2,1/(ISNUMBER($A$2:$A$1048576)),ROW($A$2:$A$1048576))))</f>
        <v/>
      </c>
      <c r="E40" s="12" t="n">
        <v>6</v>
      </c>
      <c r="F40" s="6">
        <f>-E40</f>
        <v/>
      </c>
      <c r="G40" s="7">
        <f>(F40-AVERAGE($F$2:INDEX($F:$F,LOOKUP(2,1/(ISNUMBER($A$2:$A$1048576)),ROW($A$2:$A$1048576)))))/_xlfn.STDEV.P($F$2:INDEX($F:$F,LOOKUP(2,1/(ISNUMBER($A$2:$A$1048576)),ROW($A$2:$A$1048576))))</f>
        <v/>
      </c>
      <c r="H40" s="32">
        <f>sum(0.5*D40)+(0.5*G40)</f>
        <v/>
      </c>
      <c r="I40" s="12" t="inlineStr">
        <is>
          <t>East</t>
        </is>
      </c>
      <c r="J40" s="10">
        <f>sum(L40*L$105)+(N40*N$105)+(P40*P$105)+(T40*R$105)</f>
        <v/>
      </c>
      <c r="K40" s="33">
        <f>PERCENTRANK(J$2:INDEX($J:$J,LOOKUP(2,1/(ISNUMBER($A$2:$A$1048576)),ROW($A$2:$A$1048576))),J40)</f>
        <v/>
      </c>
      <c r="L40" s="10">
        <f>sum(AA40*0.66)+(AD40*0.55)+(AG40*0.59)+(CG40*0.51)+(CL40*0.6)+(EY40*0.31)</f>
        <v/>
      </c>
      <c r="M40" s="33">
        <f>PERCENTRANK(L$2:INDEX($L:$L,LOOKUP(2,1/(ISNUMBER($A$2:$A$1048576)),ROW($A$2:$A$1048576))),L40)</f>
        <v/>
      </c>
      <c r="N40" s="10">
        <f>sum(CT40*0.57)+(CW40*0.71)+(DJ40*0.08)+(FC40*0.33)+(FG40*0.69)+(FM40*0.26)+(IU40*0.54)+(AU40*0.4)</f>
        <v/>
      </c>
      <c r="O40" s="33">
        <f>PERCENTRANK(N$2:INDEX($N:$N,LOOKUP(2,1/(ISNUMBER($A$2:$A$1048576)),ROW($A$2:$A$1048576))),N40)</f>
        <v/>
      </c>
      <c r="P40" s="10">
        <f>sum(BG40*0.51)+(CD40*0.51)+(DR40*0.11)+(EF40*0.42)+(EK40*0.44)+(W40*0.6)</f>
        <v/>
      </c>
      <c r="Q40" s="33">
        <f>PERCENTRANK(P$2:INDEX($P:$P,LOOKUP(2,1/(ISNUMBER($A$2:$A$1048576)),ROW($A$2:$A$1048576))),P40)</f>
        <v/>
      </c>
      <c r="R40" s="10">
        <f>sum(Y40-FE40)</f>
        <v/>
      </c>
      <c r="S40" s="33">
        <f>PERCENTRANK(R$2:INDEX($R:$R,LOOKUP(2,1/(ISNUMBER($A$2:$A$1048576)),ROW($A$2:$A$1048576))),R40)</f>
        <v/>
      </c>
      <c r="T40" s="34">
        <f>sum(R40-R$106)/R$107</f>
        <v/>
      </c>
      <c r="U40" s="35">
        <f>sum(Y40/AI40)*100</f>
        <v/>
      </c>
      <c r="V40" s="33">
        <f>PERCENTRANK(U$2:INDEX($U:$U,LOOKUP(2,1/(ISNUMBER($A$2:$A$1048576)),ROW($A$2:$A$1048576))),U40)</f>
        <v/>
      </c>
      <c r="W40" s="36">
        <f>sum(U40-U$106)/U$107</f>
        <v/>
      </c>
      <c r="X40" s="9" t="n">
        <v>1.37</v>
      </c>
      <c r="Y40" s="9" t="n">
        <v>1.35</v>
      </c>
      <c r="Z40" s="33">
        <f>PERCENTRANK(Y$2:INDEX($Y:$Y,LOOKUP(2,1/(ISNUMBER($A$2:$A$1048576)),ROW($A$2:$A$1048576))),Y40)</f>
        <v/>
      </c>
      <c r="AA40" s="37">
        <f>sum(Y40-Y$106)/Y$107</f>
        <v/>
      </c>
      <c r="AB40" s="9" t="n">
        <v>10.63</v>
      </c>
      <c r="AC40" s="33">
        <f>PERCENTRANK(AB$2:INDEX($AB:$AB,LOOKUP(2,1/(ISNUMBER($A$2:$A$1048576)),ROW($A$2:$A$1048576))),AB40)</f>
        <v/>
      </c>
      <c r="AD40" s="38">
        <f>sum(AB40-AB$106)/AB$107</f>
        <v/>
      </c>
      <c r="AE40" s="9" t="n">
        <v>4.26</v>
      </c>
      <c r="AF40" s="33">
        <f>PERCENTRANK(AE$2:INDEX($AE:$AE,LOOKUP(2,1/(ISNUMBER($A$2:$A$1048576)),ROW($A$2:$A$1048576))),AE40)</f>
        <v/>
      </c>
      <c r="AG40" s="38">
        <f>sum(AE40-AE$106)/AE$107</f>
        <v/>
      </c>
      <c r="AH40" s="9" t="n">
        <v>40.05</v>
      </c>
      <c r="AI40" s="9" t="n">
        <v>419.6</v>
      </c>
      <c r="AJ40" s="9" t="n">
        <v>351.37</v>
      </c>
      <c r="AK40" s="9" t="n">
        <v>83.73999999999999</v>
      </c>
      <c r="AL40" s="9" t="n">
        <v>49.1</v>
      </c>
      <c r="AM40" s="9" t="n">
        <v>101.77</v>
      </c>
      <c r="AN40" s="9" t="n">
        <v>19.03</v>
      </c>
      <c r="AO40" s="9" t="n">
        <v>35.89</v>
      </c>
      <c r="AP40" s="9" t="n">
        <v>46.86</v>
      </c>
      <c r="AQ40" s="9" t="n">
        <v>78.59999999999999</v>
      </c>
      <c r="AR40" s="9" t="n">
        <v>35.63</v>
      </c>
      <c r="AS40" s="9" t="n">
        <v>31.17</v>
      </c>
      <c r="AT40" s="33">
        <f>PERCENTRANK(AS$2:INDEX($AS:$AS,LOOKUP(2,1/(ISNUMBER($A$2:$A$1048576)),ROW($A$2:$A$1048576))),AS40)</f>
        <v/>
      </c>
      <c r="AU40" s="39">
        <f>SUM(AS40-AS$106)/AS$107</f>
        <v/>
      </c>
      <c r="AV40" s="9" t="n">
        <v>11.8</v>
      </c>
      <c r="AW40" s="33">
        <f>PERCENTRANK(AV$2:INDEX($AV:$AV,LOOKUP(2,1/(ISNUMBER($A$2:$A$1048576)),ROW($A$2:$A$1048576))),AV40)</f>
        <v/>
      </c>
      <c r="AX40" s="9" t="n">
        <v>194</v>
      </c>
      <c r="AY40" s="9" t="n">
        <v>90.54000000000001</v>
      </c>
      <c r="AZ40" s="9" t="n">
        <v>46.67</v>
      </c>
      <c r="BA40" s="9" t="n">
        <v>3.8</v>
      </c>
      <c r="BB40" s="9" t="n">
        <v>1.11</v>
      </c>
      <c r="BC40" s="9" t="n">
        <v>29.32</v>
      </c>
      <c r="BD40" s="9" t="n">
        <v>25.66</v>
      </c>
      <c r="BE40" s="9" t="n">
        <v>6.26</v>
      </c>
      <c r="BF40" s="33">
        <f>PERCENTRANK(BE$2:INDEX($BE:$BE,LOOKUP(2,1/(ISNUMBER($A$2:$A$1048576)),ROW($A$2:$A$1048576))),BE40)</f>
        <v/>
      </c>
      <c r="BG40" s="40">
        <f>sum(BE40-BE$106)/BE$107</f>
        <v/>
      </c>
      <c r="BH40" s="9" t="n">
        <v>24.39</v>
      </c>
      <c r="BI40" s="9" t="n">
        <v>1.34</v>
      </c>
      <c r="BJ40" s="9" t="n">
        <v>0.66</v>
      </c>
      <c r="BK40" s="9" t="n">
        <v>48.94</v>
      </c>
      <c r="BL40" s="9" t="n">
        <v>26.71</v>
      </c>
      <c r="BM40" s="9" t="n">
        <v>3.17</v>
      </c>
      <c r="BN40" s="9" t="n">
        <v>11.87</v>
      </c>
      <c r="BO40" s="9" t="n">
        <v>3.83</v>
      </c>
      <c r="BP40" s="9" t="n">
        <v>1.14</v>
      </c>
      <c r="BQ40" s="9" t="n">
        <v>29.85</v>
      </c>
      <c r="BR40" s="9" t="n">
        <v>3.2</v>
      </c>
      <c r="BS40" s="9" t="n">
        <v>0.89</v>
      </c>
      <c r="BT40" s="9" t="n">
        <v>27.68</v>
      </c>
      <c r="BU40" s="9" t="n">
        <v>0.06</v>
      </c>
      <c r="BV40" s="9" t="n">
        <v>0.06</v>
      </c>
      <c r="BW40" s="9" t="n">
        <v>100</v>
      </c>
      <c r="BX40" s="9" t="n">
        <v>11.57</v>
      </c>
      <c r="BY40" s="9" t="n">
        <v>4</v>
      </c>
      <c r="BZ40" s="9" t="n">
        <v>34.57</v>
      </c>
      <c r="CA40" s="9" t="n">
        <v>3.77</v>
      </c>
      <c r="CB40" s="9" t="n">
        <v>6.94</v>
      </c>
      <c r="CC40" s="33">
        <f>PERCENTRANK(CD$2:INDEX($CD:$CD,LOOKUP(2,1/(ISNUMBER($A$2:$A$1048576)),ROW($A$2:$A$1048576))),CD40)</f>
        <v/>
      </c>
      <c r="CD40" s="40">
        <f>sum(CB40-CB$106)/CB$107</f>
        <v/>
      </c>
      <c r="CE40" s="9" t="n">
        <v>21.4</v>
      </c>
      <c r="CF40" s="33">
        <f>PERCENTRANK(CE$2:INDEX($CE:$CE,LOOKUP(2,1/(ISNUMBER($A$2:$A$1048576)),ROW($A$2:$A$1048576))),CE40)</f>
        <v/>
      </c>
      <c r="CG40" s="38">
        <f>sum(CE40-CE$106)/CE$107</f>
        <v/>
      </c>
      <c r="CH40" s="9" t="n">
        <v>4.29</v>
      </c>
      <c r="CI40" s="9" t="n">
        <v>6.34</v>
      </c>
      <c r="CJ40" s="9" t="n">
        <v>16.34</v>
      </c>
      <c r="CK40" s="33">
        <f>PERCENTRANK(CJ$2:INDEX($CJ:$CJ,LOOKUP(2,1/(ISNUMBER($A$2:$A$1048576)),ROW($A$2:$A$1048576))),CJ40)</f>
        <v/>
      </c>
      <c r="CL40" s="38">
        <f>sum(CJ40-CJ$106)/CJ$107</f>
        <v/>
      </c>
      <c r="CM40" s="9" t="n">
        <v>64.29000000000001</v>
      </c>
      <c r="CN40" s="9" t="n">
        <v>25.49</v>
      </c>
      <c r="CO40" s="9" t="n">
        <v>39.64</v>
      </c>
      <c r="CP40" s="9" t="n">
        <v>1.77</v>
      </c>
      <c r="CQ40" s="9" t="n">
        <v>1</v>
      </c>
      <c r="CR40" s="9" t="n">
        <v>11.31</v>
      </c>
      <c r="CS40" s="33">
        <f>PERCENTRANK(CR$2:INDEX($CR:$CR,LOOKUP(2,1/(ISNUMBER($A$2:$A$1048576)),ROW($A$2:$A$1048576))),CR40)</f>
        <v/>
      </c>
      <c r="CT40" s="39">
        <f>1-(CR40-CR$106)/CR$107</f>
        <v/>
      </c>
      <c r="CU40" s="9" t="n">
        <v>3.86</v>
      </c>
      <c r="CV40" s="33">
        <f>PERCENTRANK(CU$2:INDEX($CU:$CU,LOOKUP(2,1/(ISNUMBER($A$2:$A$1048576)),ROW($A$2:$A$1048576))),CU40)</f>
        <v/>
      </c>
      <c r="CW40" s="39">
        <f>1-(CU40-CU$106)/CU$107</f>
        <v/>
      </c>
      <c r="CX40" s="9" t="n">
        <v>34.09</v>
      </c>
      <c r="CY40" s="9" t="n">
        <v>59.66</v>
      </c>
      <c r="CZ40" s="9" t="n">
        <v>34.17</v>
      </c>
      <c r="DA40" s="9" t="n">
        <v>57.28</v>
      </c>
      <c r="DB40" s="9" t="n">
        <v>39.03</v>
      </c>
      <c r="DC40" s="9" t="n">
        <v>18.34</v>
      </c>
      <c r="DD40" s="9" t="n">
        <v>47</v>
      </c>
      <c r="DE40" s="9" t="n">
        <v>3.69</v>
      </c>
      <c r="DF40" s="9" t="n">
        <v>1.71</v>
      </c>
      <c r="DG40" s="9" t="n">
        <v>46.51</v>
      </c>
      <c r="DH40" s="9" t="n">
        <v>38.29</v>
      </c>
      <c r="DI40" s="33">
        <f>PERCENTRANK(DH$2:INDEX($DH:$DH,LOOKUP(2,1/(ISNUMBER($A$2:$A$1048576)),ROW($A$2:$A$1048576))),DH40)</f>
        <v/>
      </c>
      <c r="DJ40" s="39">
        <f>SUM(DH40-DH$106)/DH$107</f>
        <v/>
      </c>
      <c r="DK40" s="9" t="n">
        <v>14.97</v>
      </c>
      <c r="DL40" s="9" t="n">
        <v>12.4</v>
      </c>
      <c r="DM40" s="9" t="n">
        <v>2.26</v>
      </c>
      <c r="DN40" s="9" t="n">
        <v>0</v>
      </c>
      <c r="DO40" s="9" t="n">
        <v>136.51</v>
      </c>
      <c r="DP40" s="9" t="n">
        <v>96.97</v>
      </c>
      <c r="DQ40" s="33">
        <f>PERCENTRANK(DP$2:INDEX($DP:$DP,LOOKUP(2,1/(ISNUMBER($A$2:$A$1048576)),ROW($A$2:$A$1048576))),DP40)</f>
        <v/>
      </c>
      <c r="DR40" s="40">
        <f>sum(DP40-DP$106)/DP$107</f>
        <v/>
      </c>
      <c r="DS40" s="9" t="n">
        <v>71.03</v>
      </c>
      <c r="DT40" s="9" t="n">
        <v>66.43000000000001</v>
      </c>
      <c r="DU40" s="9" t="n">
        <v>62.63</v>
      </c>
      <c r="DV40" s="9" t="n">
        <v>94.28</v>
      </c>
      <c r="DW40" s="9" t="n">
        <v>158.06</v>
      </c>
      <c r="DX40" s="9" t="n">
        <v>143.83</v>
      </c>
      <c r="DY40" s="9" t="n">
        <v>91</v>
      </c>
      <c r="DZ40" s="9" t="n">
        <v>45.66</v>
      </c>
      <c r="EA40" s="9" t="n">
        <v>23.74</v>
      </c>
      <c r="EB40" s="9" t="n">
        <v>52</v>
      </c>
      <c r="EC40" s="9" t="n">
        <v>56.63</v>
      </c>
      <c r="ED40" s="9" t="n">
        <v>36.6</v>
      </c>
      <c r="EE40" s="33">
        <f>PERCENTRANK(ED$2:INDEX($ED:$ED,LOOKUP(2,1/(ISNUMBER($A$2:$A$1048576)),ROW($A$2:$A$1048576))),ED40)</f>
        <v/>
      </c>
      <c r="EF40" s="40">
        <f>sum(ED40-ED$106)/ED$107</f>
        <v/>
      </c>
      <c r="EG40" s="9" t="n">
        <v>64.63</v>
      </c>
      <c r="EH40" s="9" t="n">
        <v>69.94</v>
      </c>
      <c r="EI40" s="9" t="n">
        <v>52.51</v>
      </c>
      <c r="EJ40" s="33">
        <f>PERCENTRANK(EI$2:INDEX($EI:$EI,LOOKUP(2,1/(ISNUMBER($A$2:$A$1048576)),ROW($A$2:$A$1048576))),EI40)</f>
        <v/>
      </c>
      <c r="EK40" s="40">
        <f>sum(EI40-EI$106)/EI$107</f>
        <v/>
      </c>
      <c r="EL40" s="9" t="n">
        <v>75.08</v>
      </c>
      <c r="EM40" s="9" t="n">
        <v>3.57</v>
      </c>
      <c r="EN40" s="9" t="n">
        <v>1.34</v>
      </c>
      <c r="EO40" s="9" t="n">
        <v>37.6</v>
      </c>
      <c r="EP40" s="9" t="n">
        <v>20.8</v>
      </c>
      <c r="EQ40" s="9" t="n">
        <v>18.54</v>
      </c>
      <c r="ER40" s="9" t="n">
        <v>89.15000000000001</v>
      </c>
      <c r="ES40" s="9" t="n">
        <v>8.94</v>
      </c>
      <c r="ET40" s="9" t="n">
        <v>16.78</v>
      </c>
      <c r="EU40" s="9" t="n">
        <v>4.11</v>
      </c>
      <c r="EV40" s="9" t="n">
        <v>11.51</v>
      </c>
      <c r="EW40" s="9" t="n">
        <v>17.62</v>
      </c>
      <c r="EX40" s="33">
        <f>PERCENTRANK(EW$2:INDEX($EW:$EW,LOOKUP(2,1/(ISNUMBER($A$2:$A$1048576)),ROW($A$2:$A$1048576))),EW40)</f>
        <v/>
      </c>
      <c r="EY40" s="38">
        <f>1-(EW40-EW$106)/EW$107</f>
        <v/>
      </c>
      <c r="EZ40" s="9" t="n">
        <v>20.12</v>
      </c>
      <c r="FA40" s="9" t="n">
        <v>12.14</v>
      </c>
      <c r="FB40" s="33">
        <f>PERCENTRANK(FA$2:INDEX($FA:$FA,LOOKUP(2,1/(ISNUMBER($A$2:$A$1048576)),ROW($A$2:$A$1048576))),FA40)</f>
        <v/>
      </c>
      <c r="FC40" s="39">
        <f>1-(FA40-FA$106)/FA$107</f>
        <v/>
      </c>
      <c r="FD40" s="9" t="n">
        <v>1</v>
      </c>
      <c r="FE40" s="9" t="n">
        <v>1.19</v>
      </c>
      <c r="FF40" s="33">
        <f>PERCENTRANK(FE$2:INDEX($FE:$FE,LOOKUP(2,1/(ISNUMBER($A$2:$A$1048576)),ROW($A$2:$A$1048576))),FE40)</f>
        <v/>
      </c>
      <c r="FG40" s="39">
        <f>1-(FE40-FE$106)/FE$107</f>
        <v/>
      </c>
      <c r="FH40" s="9" t="n">
        <v>11.31</v>
      </c>
      <c r="FI40" s="9" t="n">
        <v>3.69</v>
      </c>
      <c r="FJ40" s="9" t="n">
        <v>32.58</v>
      </c>
      <c r="FK40" s="9" t="n">
        <v>432.63</v>
      </c>
      <c r="FL40" s="33">
        <f>PERCENTRANK(FK$2:INDEX($FK:$FK,LOOKUP(2,1/(ISNUMBER($A$2:$A$1048576)),ROW($A$2:$A$1048576))),FK40)</f>
        <v/>
      </c>
      <c r="FM40" s="39">
        <f>SWA39-(FK40-FK$106)/FK$107</f>
        <v/>
      </c>
      <c r="FN40" s="9" t="n">
        <v>362.8</v>
      </c>
      <c r="FO40" s="9" t="n">
        <v>83.86</v>
      </c>
      <c r="FP40" s="9" t="n">
        <v>50.9</v>
      </c>
      <c r="FQ40" s="9" t="n">
        <v>101.17</v>
      </c>
      <c r="FR40" s="9" t="n">
        <v>17.51</v>
      </c>
      <c r="FS40" s="9" t="n">
        <v>37.57</v>
      </c>
      <c r="FT40" s="9" t="n">
        <v>46.09</v>
      </c>
      <c r="FU40" s="9" t="n">
        <v>77.26000000000001</v>
      </c>
      <c r="FV40" s="9" t="n">
        <v>36.2</v>
      </c>
      <c r="FW40" s="9" t="n">
        <v>30.03</v>
      </c>
      <c r="FX40" s="9" t="n">
        <v>11.03</v>
      </c>
      <c r="FY40" s="9" t="n">
        <v>194</v>
      </c>
      <c r="FZ40" s="9" t="n">
        <v>94.91</v>
      </c>
      <c r="GA40" s="9" t="n">
        <v>48.92</v>
      </c>
      <c r="GB40" s="9" t="n">
        <v>5.03</v>
      </c>
      <c r="GC40" s="9" t="n">
        <v>1.49</v>
      </c>
      <c r="GD40" s="9" t="n">
        <v>29.55</v>
      </c>
      <c r="GE40" s="9" t="n">
        <v>26.86</v>
      </c>
      <c r="GF40" s="9" t="n">
        <v>6.49</v>
      </c>
      <c r="GG40" s="9" t="n">
        <v>24.15</v>
      </c>
      <c r="GH40" s="9" t="n">
        <v>1.66</v>
      </c>
      <c r="GI40" s="9" t="n">
        <v>0.6899999999999999</v>
      </c>
      <c r="GJ40" s="9" t="n">
        <v>41.38</v>
      </c>
      <c r="GK40" s="9" t="n">
        <v>25.74</v>
      </c>
      <c r="GL40" s="9" t="n">
        <v>3.46</v>
      </c>
      <c r="GM40" s="9" t="n">
        <v>13.43</v>
      </c>
      <c r="GN40" s="9" t="n">
        <v>5.37</v>
      </c>
      <c r="GO40" s="9" t="n">
        <v>1.63</v>
      </c>
      <c r="GP40" s="9" t="n">
        <v>30.32</v>
      </c>
      <c r="GQ40" s="9" t="n">
        <v>2.57</v>
      </c>
      <c r="GR40" s="9" t="n">
        <v>0.51</v>
      </c>
      <c r="GS40" s="9" t="n">
        <v>20</v>
      </c>
      <c r="GT40" s="9" t="n">
        <v>0.11</v>
      </c>
      <c r="GU40" s="9" t="n">
        <v>0.06</v>
      </c>
      <c r="GV40" s="9" t="n">
        <v>50</v>
      </c>
      <c r="GW40" s="9" t="n">
        <v>15.94</v>
      </c>
      <c r="GX40" s="9" t="n">
        <v>5.63</v>
      </c>
      <c r="GY40" s="9" t="n">
        <v>35.3</v>
      </c>
      <c r="GZ40" s="9" t="n">
        <v>6</v>
      </c>
      <c r="HA40" s="9" t="n">
        <v>6.26</v>
      </c>
      <c r="HB40" s="9" t="n">
        <v>24.4</v>
      </c>
      <c r="HC40" s="9" t="n">
        <v>4.4</v>
      </c>
      <c r="HD40" s="9" t="n">
        <v>10.03</v>
      </c>
      <c r="HE40" s="9" t="n">
        <v>16.69</v>
      </c>
      <c r="HF40" s="9" t="n">
        <v>59.63</v>
      </c>
      <c r="HG40" s="9" t="n">
        <v>25.46</v>
      </c>
      <c r="HH40" s="9" t="n">
        <v>42.69</v>
      </c>
      <c r="HI40" s="9" t="n">
        <v>1.34</v>
      </c>
      <c r="HJ40" s="9" t="n">
        <v>1.37</v>
      </c>
      <c r="HK40" s="9" t="n">
        <v>10.63</v>
      </c>
      <c r="HL40" s="9" t="n">
        <v>4.49</v>
      </c>
      <c r="HM40" s="9" t="n">
        <v>42.2</v>
      </c>
      <c r="HN40" s="9" t="n">
        <v>64.31</v>
      </c>
      <c r="HO40" s="9" t="n">
        <v>38.8</v>
      </c>
      <c r="HP40" s="9" t="n">
        <v>60.33</v>
      </c>
      <c r="HQ40" s="9" t="n">
        <v>39.03</v>
      </c>
      <c r="HR40" s="9" t="n">
        <v>17.74</v>
      </c>
      <c r="HS40" s="9" t="n">
        <v>45.46</v>
      </c>
      <c r="HT40" s="9" t="n">
        <v>3.26</v>
      </c>
      <c r="HU40" s="9" t="n">
        <v>1.43</v>
      </c>
      <c r="HV40" s="9" t="n">
        <v>43.86</v>
      </c>
      <c r="HW40" s="9" t="n">
        <v>36.09</v>
      </c>
      <c r="HX40" s="9" t="n">
        <v>13.43</v>
      </c>
      <c r="HY40" s="9" t="n">
        <v>14.57</v>
      </c>
      <c r="HZ40" s="9" t="n">
        <v>2.51</v>
      </c>
      <c r="IA40" s="9" t="n">
        <v>0.14</v>
      </c>
      <c r="IB40" s="9" t="n">
        <v>140.37</v>
      </c>
      <c r="IC40" s="9" t="n">
        <v>104.2</v>
      </c>
      <c r="ID40" s="9" t="n">
        <v>74.23</v>
      </c>
      <c r="IE40" s="9" t="n">
        <v>63.31</v>
      </c>
      <c r="IF40" s="9" t="n">
        <v>59.29</v>
      </c>
      <c r="IG40" s="9" t="n">
        <v>93.64</v>
      </c>
      <c r="IH40" s="9" t="n">
        <v>170.34</v>
      </c>
      <c r="II40" s="9" t="n">
        <v>151.66</v>
      </c>
      <c r="IJ40" s="9" t="n">
        <v>89.03</v>
      </c>
      <c r="IK40" s="9" t="n">
        <v>44.51</v>
      </c>
      <c r="IL40" s="9" t="n">
        <v>24.57</v>
      </c>
      <c r="IM40" s="9" t="n">
        <v>55.2</v>
      </c>
      <c r="IN40" s="9" t="n">
        <v>51.71</v>
      </c>
      <c r="IO40" s="9" t="n">
        <v>35.63</v>
      </c>
      <c r="IP40" s="9" t="n">
        <v>68.90000000000001</v>
      </c>
      <c r="IQ40" s="9" t="n">
        <v>71.2</v>
      </c>
      <c r="IR40" s="9" t="n">
        <v>52.26</v>
      </c>
      <c r="IS40" s="9" t="n">
        <v>73.39</v>
      </c>
      <c r="IT40" s="33">
        <f>PERCENTRANK(IS$2:INDEX($IS:$IS,LOOKUP(2,1/(ISNUMBER($A$2:$A$1048576)),ROW($A$2:$A$1048576))),IS40)</f>
        <v/>
      </c>
      <c r="IU40" s="39">
        <f>1-(IS40-IS$106)/IS$107</f>
        <v/>
      </c>
      <c r="IV40" s="9" t="n">
        <v>2.29</v>
      </c>
      <c r="IW40" s="9" t="n">
        <v>1.17</v>
      </c>
      <c r="IX40" s="9" t="n">
        <v>51.25</v>
      </c>
      <c r="IY40" s="9" t="n">
        <v>18.83</v>
      </c>
      <c r="IZ40" s="9" t="n">
        <v>16.6</v>
      </c>
      <c r="JA40" s="9" t="n">
        <v>88.16</v>
      </c>
      <c r="JB40" s="9" t="n">
        <v>7.54</v>
      </c>
      <c r="JC40" s="9" t="n">
        <v>16.73</v>
      </c>
      <c r="JD40" s="9" t="n">
        <v>4.29</v>
      </c>
      <c r="JE40" s="9" t="n">
        <v>10.68</v>
      </c>
      <c r="JF40" s="9" t="n">
        <v>18.7</v>
      </c>
      <c r="JG40" s="9" t="n">
        <v>19.92</v>
      </c>
      <c r="JH40" s="9" t="n">
        <v>12.11</v>
      </c>
    </row>
    <row r="41">
      <c r="A41" s="12" t="n">
        <v>2023</v>
      </c>
      <c r="B41" s="31" t="inlineStr">
        <is>
          <t>Miami</t>
        </is>
      </c>
      <c r="C41" s="12" t="n">
        <v>41</v>
      </c>
      <c r="D41" s="5">
        <f>(C41-AVERAGE($C$2:INDEX($C:$C,LOOKUP(2,1/(ISNUMBER($A$2:$A$1048576)),ROW($A$2:$A$1048576)))))/_xlfn.STDEV.P($C$2:INDEX($C:$C,LOOKUP(2,1/(ISNUMBER($A$2:$A$1048576)),ROW($A$2:$A$1048576))))</f>
        <v/>
      </c>
      <c r="E41" s="12" t="n">
        <v>9</v>
      </c>
      <c r="F41" s="6">
        <f>-E41</f>
        <v/>
      </c>
      <c r="G41" s="7">
        <f>(F41-AVERAGE($F$2:INDEX($F:$F,LOOKUP(2,1/(ISNUMBER($A$2:$A$1048576)),ROW($A$2:$A$1048576)))))/_xlfn.STDEV.P($F$2:INDEX($F:$F,LOOKUP(2,1/(ISNUMBER($A$2:$A$1048576)),ROW($A$2:$A$1048576))))</f>
        <v/>
      </c>
      <c r="H41" s="32">
        <f>sum(0.5*D41)+(0.5*G41)</f>
        <v/>
      </c>
      <c r="I41" s="12" t="inlineStr">
        <is>
          <t>East</t>
        </is>
      </c>
      <c r="J41" s="10">
        <f>sum(L41*L$105)+(N41*N$105)+(P41*P$105)+(T41*R$105)</f>
        <v/>
      </c>
      <c r="K41" s="33">
        <f>PERCENTRANK(J$2:INDEX($J:$J,LOOKUP(2,1/(ISNUMBER($A$2:$A$1048576)),ROW($A$2:$A$1048576))),J41)</f>
        <v/>
      </c>
      <c r="L41" s="10">
        <f>sum(AA41*0.66)+(AD41*0.55)+(AG41*0.59)+(CG41*0.51)+(CL41*0.6)+(EY41*0.31)</f>
        <v/>
      </c>
      <c r="M41" s="33">
        <f>PERCENTRANK(L$2:INDEX($L:$L,LOOKUP(2,1/(ISNUMBER($A$2:$A$1048576)),ROW($A$2:$A$1048576))),L41)</f>
        <v/>
      </c>
      <c r="N41" s="10">
        <f>sum(CT41*0.57)+(CW41*0.71)+(DJ41*0.08)+(FC41*0.33)+(FG41*0.69)+(FM41*0.26)+(IU41*0.54)+(AU41*0.4)</f>
        <v/>
      </c>
      <c r="O41" s="33">
        <f>PERCENTRANK(N$2:INDEX($N:$N,LOOKUP(2,1/(ISNUMBER($A$2:$A$1048576)),ROW($A$2:$A$1048576))),N41)</f>
        <v/>
      </c>
      <c r="P41" s="10">
        <f>sum(BG41*0.51)+(CD41*0.51)+(DR41*0.11)+(EF41*0.42)+(EK41*0.44)+(W41*0.6)</f>
        <v/>
      </c>
      <c r="Q41" s="33">
        <f>PERCENTRANK(P$2:INDEX($P:$P,LOOKUP(2,1/(ISNUMBER($A$2:$A$1048576)),ROW($A$2:$A$1048576))),P41)</f>
        <v/>
      </c>
      <c r="R41" s="10">
        <f>sum(Y41-FE41)</f>
        <v/>
      </c>
      <c r="S41" s="33">
        <f>PERCENTRANK(R$2:INDEX($R:$R,LOOKUP(2,1/(ISNUMBER($A$2:$A$1048576)),ROW($A$2:$A$1048576))),R41)</f>
        <v/>
      </c>
      <c r="T41" s="34">
        <f>sum(R41-R$106)/R$107</f>
        <v/>
      </c>
      <c r="U41" s="35">
        <f>sum(Y41/AI41)*100</f>
        <v/>
      </c>
      <c r="V41" s="33">
        <f>PERCENTRANK(U$2:INDEX($U:$U,LOOKUP(2,1/(ISNUMBER($A$2:$A$1048576)),ROW($A$2:$A$1048576))),U41)</f>
        <v/>
      </c>
      <c r="W41" s="36">
        <f>sum(U41-U$106)/U$107</f>
        <v/>
      </c>
      <c r="X41" s="9" t="n">
        <v>1.26</v>
      </c>
      <c r="Y41" s="9" t="n">
        <v>1.23</v>
      </c>
      <c r="Z41" s="33">
        <f>PERCENTRANK(Y$2:INDEX($Y:$Y,LOOKUP(2,1/(ISNUMBER($A$2:$A$1048576)),ROW($A$2:$A$1048576))),Y41)</f>
        <v/>
      </c>
      <c r="AA41" s="37">
        <f>sum(Y41-Y$106)/Y$107</f>
        <v/>
      </c>
      <c r="AB41" s="9" t="n">
        <v>8.970000000000001</v>
      </c>
      <c r="AC41" s="33">
        <f>PERCENTRANK(AB$2:INDEX($AB:$AB,LOOKUP(2,1/(ISNUMBER($A$2:$A$1048576)),ROW($A$2:$A$1048576))),AB41)</f>
        <v/>
      </c>
      <c r="AD41" s="38">
        <f>sum(AB41-AB$106)/AB$107</f>
        <v/>
      </c>
      <c r="AE41" s="9" t="n">
        <v>3.71</v>
      </c>
      <c r="AF41" s="33">
        <f>PERCENTRANK(AE$2:INDEX($AE:$AE,LOOKUP(2,1/(ISNUMBER($A$2:$A$1048576)),ROW($A$2:$A$1048576))),AE41)</f>
        <v/>
      </c>
      <c r="AG41" s="38">
        <f>sum(AE41-AE$106)/AE$107</f>
        <v/>
      </c>
      <c r="AH41" s="9" t="n">
        <v>41.31</v>
      </c>
      <c r="AI41" s="9" t="n">
        <v>426.47</v>
      </c>
      <c r="AJ41" s="9" t="n">
        <v>356.91</v>
      </c>
      <c r="AK41" s="9" t="n">
        <v>83.69</v>
      </c>
      <c r="AL41" s="9" t="n">
        <v>48.81</v>
      </c>
      <c r="AM41" s="9" t="n">
        <v>99.59</v>
      </c>
      <c r="AN41" s="9" t="n">
        <v>17.24</v>
      </c>
      <c r="AO41" s="9" t="n">
        <v>37.35</v>
      </c>
      <c r="AP41" s="9" t="n">
        <v>45</v>
      </c>
      <c r="AQ41" s="9" t="n">
        <v>78.12</v>
      </c>
      <c r="AR41" s="9" t="n">
        <v>34.41</v>
      </c>
      <c r="AS41" s="9" t="n">
        <v>32</v>
      </c>
      <c r="AT41" s="33">
        <f>PERCENTRANK(AS$2:INDEX($AS:$AS,LOOKUP(2,1/(ISNUMBER($A$2:$A$1048576)),ROW($A$2:$A$1048576))),AS41)</f>
        <v/>
      </c>
      <c r="AU41" s="39">
        <f>SUM(AS41-AS$106)/AS$107</f>
        <v/>
      </c>
      <c r="AV41" s="9" t="n">
        <v>11.71</v>
      </c>
      <c r="AW41" s="33">
        <f>PERCENTRANK(AV$2:INDEX($AV:$AV,LOOKUP(2,1/(ISNUMBER($A$2:$A$1048576)),ROW($A$2:$A$1048576))),AV41)</f>
        <v/>
      </c>
      <c r="AX41" s="9" t="n">
        <v>175.97</v>
      </c>
      <c r="AY41" s="9" t="n">
        <v>86.23999999999999</v>
      </c>
      <c r="AZ41" s="9" t="n">
        <v>49.01</v>
      </c>
      <c r="BA41" s="9" t="n">
        <v>3.59</v>
      </c>
      <c r="BB41" s="9" t="n">
        <v>1.35</v>
      </c>
      <c r="BC41" s="9" t="n">
        <v>37.7</v>
      </c>
      <c r="BD41" s="9" t="n">
        <v>25.68</v>
      </c>
      <c r="BE41" s="9" t="n">
        <v>4.82</v>
      </c>
      <c r="BF41" s="33">
        <f>PERCENTRANK(BE$2:INDEX($BE:$BE,LOOKUP(2,1/(ISNUMBER($A$2:$A$1048576)),ROW($A$2:$A$1048576))),BE41)</f>
        <v/>
      </c>
      <c r="BG41" s="40">
        <f>sum(BE41-BE$106)/BE$107</f>
        <v/>
      </c>
      <c r="BH41" s="9" t="n">
        <v>18.79</v>
      </c>
      <c r="BI41" s="9" t="n">
        <v>1.18</v>
      </c>
      <c r="BJ41" s="9" t="n">
        <v>0.44</v>
      </c>
      <c r="BK41" s="9" t="n">
        <v>37.5</v>
      </c>
      <c r="BL41" s="9" t="n">
        <v>25.88</v>
      </c>
      <c r="BM41" s="9" t="n">
        <v>2.88</v>
      </c>
      <c r="BN41" s="9" t="n">
        <v>11.14</v>
      </c>
      <c r="BO41" s="9" t="n">
        <v>3.85</v>
      </c>
      <c r="BP41" s="9" t="n">
        <v>1.24</v>
      </c>
      <c r="BQ41" s="9" t="n">
        <v>32.06</v>
      </c>
      <c r="BR41" s="9" t="n">
        <v>2.74</v>
      </c>
      <c r="BS41" s="9" t="n">
        <v>0.68</v>
      </c>
      <c r="BT41" s="9" t="n">
        <v>24.73</v>
      </c>
      <c r="BU41" s="9" t="n">
        <v>0.29</v>
      </c>
      <c r="BV41" s="9" t="n">
        <v>0.24</v>
      </c>
      <c r="BW41" s="9" t="n">
        <v>80</v>
      </c>
      <c r="BX41" s="9" t="n">
        <v>11.29</v>
      </c>
      <c r="BY41" s="9" t="n">
        <v>3.5</v>
      </c>
      <c r="BZ41" s="9" t="n">
        <v>30.99</v>
      </c>
      <c r="CA41" s="9" t="n">
        <v>3.38</v>
      </c>
      <c r="CB41" s="9" t="n">
        <v>5.32</v>
      </c>
      <c r="CC41" s="33">
        <f>PERCENTRANK(CD$2:INDEX($CD:$CD,LOOKUP(2,1/(ISNUMBER($A$2:$A$1048576)),ROW($A$2:$A$1048576))),CD41)</f>
        <v/>
      </c>
      <c r="CD41" s="40">
        <f>sum(CB41-CB$106)/CB$107</f>
        <v/>
      </c>
      <c r="CE41" s="9" t="n">
        <v>18.53</v>
      </c>
      <c r="CF41" s="33">
        <f>PERCENTRANK(CE$2:INDEX($CE:$CE,LOOKUP(2,1/(ISNUMBER($A$2:$A$1048576)),ROW($A$2:$A$1048576))),CE41)</f>
        <v/>
      </c>
      <c r="CG41" s="38">
        <f>sum(CE41-CE$106)/CE$107</f>
        <v/>
      </c>
      <c r="CH41" s="9" t="n">
        <v>2.35</v>
      </c>
      <c r="CI41" s="9" t="n">
        <v>7.09</v>
      </c>
      <c r="CJ41" s="9" t="n">
        <v>12.44</v>
      </c>
      <c r="CK41" s="33">
        <f>PERCENTRANK(CJ$2:INDEX($CJ:$CJ,LOOKUP(2,1/(ISNUMBER($A$2:$A$1048576)),ROW($A$2:$A$1048576))),CJ41)</f>
        <v/>
      </c>
      <c r="CL41" s="38">
        <f>sum(CJ41-CJ$106)/CJ$107</f>
        <v/>
      </c>
      <c r="CM41" s="9" t="n">
        <v>56.74</v>
      </c>
      <c r="CN41" s="9" t="n">
        <v>24.09</v>
      </c>
      <c r="CO41" s="9" t="n">
        <v>42.46</v>
      </c>
      <c r="CP41" s="9" t="n">
        <v>1.74</v>
      </c>
      <c r="CQ41" s="9" t="n">
        <v>1.29</v>
      </c>
      <c r="CR41" s="9" t="n">
        <v>11.85</v>
      </c>
      <c r="CS41" s="33">
        <f>PERCENTRANK(CR$2:INDEX($CR:$CR,LOOKUP(2,1/(ISNUMBER($A$2:$A$1048576)),ROW($A$2:$A$1048576))),CR41)</f>
        <v/>
      </c>
      <c r="CT41" s="39">
        <f>1-(CR41-CR$106)/CR$107</f>
        <v/>
      </c>
      <c r="CU41" s="9" t="n">
        <v>4.44</v>
      </c>
      <c r="CV41" s="33">
        <f>PERCENTRANK(CU$2:INDEX($CU:$CU,LOOKUP(2,1/(ISNUMBER($A$2:$A$1048576)),ROW($A$2:$A$1048576))),CU41)</f>
        <v/>
      </c>
      <c r="CW41" s="39">
        <f>1-(CU41-CU$106)/CU$107</f>
        <v/>
      </c>
      <c r="CX41" s="9" t="n">
        <v>37.47</v>
      </c>
      <c r="CY41" s="9" t="n">
        <v>54.97</v>
      </c>
      <c r="CZ41" s="9" t="n">
        <v>32.82</v>
      </c>
      <c r="DA41" s="9" t="n">
        <v>59.71</v>
      </c>
      <c r="DB41" s="9" t="n">
        <v>36.29</v>
      </c>
      <c r="DC41" s="9" t="n">
        <v>17.82</v>
      </c>
      <c r="DD41" s="9" t="n">
        <v>49.11</v>
      </c>
      <c r="DE41" s="9" t="n">
        <v>3.91</v>
      </c>
      <c r="DF41" s="9" t="n">
        <v>1.97</v>
      </c>
      <c r="DG41" s="9" t="n">
        <v>50.38</v>
      </c>
      <c r="DH41" s="9" t="n">
        <v>37.29</v>
      </c>
      <c r="DI41" s="33">
        <f>PERCENTRANK(DH$2:INDEX($DH:$DH,LOOKUP(2,1/(ISNUMBER($A$2:$A$1048576)),ROW($A$2:$A$1048576))),DH41)</f>
        <v/>
      </c>
      <c r="DJ41" s="39">
        <f>SUM(DH41-DH$106)/DH$107</f>
        <v/>
      </c>
      <c r="DK41" s="9" t="n">
        <v>14.62</v>
      </c>
      <c r="DL41" s="9" t="n">
        <v>11.94</v>
      </c>
      <c r="DM41" s="9" t="n">
        <v>2.24</v>
      </c>
      <c r="DN41" s="9" t="n">
        <v>0.12</v>
      </c>
      <c r="DO41" s="9" t="n">
        <v>132.62</v>
      </c>
      <c r="DP41" s="9" t="n">
        <v>93.79000000000001</v>
      </c>
      <c r="DQ41" s="33">
        <f>PERCENTRANK(DP$2:INDEX($DP:$DP,LOOKUP(2,1/(ISNUMBER($A$2:$A$1048576)),ROW($A$2:$A$1048576))),DP41)</f>
        <v/>
      </c>
      <c r="DR41" s="40">
        <f>sum(DP41-DP$106)/DP$107</f>
        <v/>
      </c>
      <c r="DS41" s="9" t="n">
        <v>70.73</v>
      </c>
      <c r="DT41" s="9" t="n">
        <v>65.70999999999999</v>
      </c>
      <c r="DU41" s="9" t="n">
        <v>61.88</v>
      </c>
      <c r="DV41" s="9" t="n">
        <v>94.18000000000001</v>
      </c>
      <c r="DW41" s="9" t="n">
        <v>162.65</v>
      </c>
      <c r="DX41" s="9" t="n">
        <v>147.12</v>
      </c>
      <c r="DY41" s="9" t="n">
        <v>90.45</v>
      </c>
      <c r="DZ41" s="9" t="n">
        <v>47.29</v>
      </c>
      <c r="EA41" s="9" t="n">
        <v>23.97</v>
      </c>
      <c r="EB41" s="9" t="n">
        <v>50.68</v>
      </c>
      <c r="EC41" s="9" t="n">
        <v>52.62</v>
      </c>
      <c r="ED41" s="9" t="n">
        <v>33.91</v>
      </c>
      <c r="EE41" s="33">
        <f>PERCENTRANK(ED$2:INDEX($ED:$ED,LOOKUP(2,1/(ISNUMBER($A$2:$A$1048576)),ROW($A$2:$A$1048576))),ED41)</f>
        <v/>
      </c>
      <c r="EF41" s="40">
        <f>sum(ED41-ED$106)/ED$107</f>
        <v/>
      </c>
      <c r="EG41" s="9" t="n">
        <v>64.45</v>
      </c>
      <c r="EH41" s="9" t="n">
        <v>64.56</v>
      </c>
      <c r="EI41" s="9" t="n">
        <v>46.35</v>
      </c>
      <c r="EJ41" s="33">
        <f>PERCENTRANK(EI$2:INDEX($EI:$EI,LOOKUP(2,1/(ISNUMBER($A$2:$A$1048576)),ROW($A$2:$A$1048576))),EI41)</f>
        <v/>
      </c>
      <c r="EK41" s="40">
        <f>sum(EI41-EI$106)/EI$107</f>
        <v/>
      </c>
      <c r="EL41" s="9" t="n">
        <v>71.8</v>
      </c>
      <c r="EM41" s="9" t="n">
        <v>2.44</v>
      </c>
      <c r="EN41" s="9" t="n">
        <v>0.9399999999999999</v>
      </c>
      <c r="EO41" s="9" t="n">
        <v>38.55</v>
      </c>
      <c r="EP41" s="9" t="n">
        <v>19.24</v>
      </c>
      <c r="EQ41" s="9" t="n">
        <v>16.38</v>
      </c>
      <c r="ER41" s="9" t="n">
        <v>85.17</v>
      </c>
      <c r="ES41" s="9" t="n">
        <v>8.380000000000001</v>
      </c>
      <c r="ET41" s="9" t="n">
        <v>16.7</v>
      </c>
      <c r="EU41" s="9" t="n">
        <v>4.23</v>
      </c>
      <c r="EV41" s="9" t="n">
        <v>11.41</v>
      </c>
      <c r="EW41" s="9" t="n">
        <v>18.22</v>
      </c>
      <c r="EX41" s="33">
        <f>PERCENTRANK(EW$2:INDEX($EW:$EW,LOOKUP(2,1/(ISNUMBER($A$2:$A$1048576)),ROW($A$2:$A$1048576))),EW41)</f>
        <v/>
      </c>
      <c r="EY41" s="38">
        <f>1-(EW41-EW$106)/EW$107</f>
        <v/>
      </c>
      <c r="EZ41" s="9" t="n">
        <v>19.51</v>
      </c>
      <c r="FA41" s="9" t="n">
        <v>12.63</v>
      </c>
      <c r="FB41" s="33">
        <f>PERCENTRANK(FA$2:INDEX($FA:$FA,LOOKUP(2,1/(ISNUMBER($A$2:$A$1048576)),ROW($A$2:$A$1048576))),FA41)</f>
        <v/>
      </c>
      <c r="FC41" s="39">
        <f>1-(FA41-FA$106)/FA$107</f>
        <v/>
      </c>
      <c r="FD41" s="9" t="n">
        <v>1.29</v>
      </c>
      <c r="FE41" s="9" t="n">
        <v>1.41</v>
      </c>
      <c r="FF41" s="33">
        <f>PERCENTRANK(FE$2:INDEX($FE:$FE,LOOKUP(2,1/(ISNUMBER($A$2:$A$1048576)),ROW($A$2:$A$1048576))),FE41)</f>
        <v/>
      </c>
      <c r="FG41" s="39">
        <f>1-(FE41-FE$106)/FE$107</f>
        <v/>
      </c>
      <c r="FH41" s="9" t="n">
        <v>11.85</v>
      </c>
      <c r="FI41" s="9" t="n">
        <v>4.18</v>
      </c>
      <c r="FJ41" s="9" t="n">
        <v>35.24</v>
      </c>
      <c r="FK41" s="9" t="n">
        <v>444.76</v>
      </c>
      <c r="FL41" s="33">
        <f>PERCENTRANK(FK$2:INDEX($FK:$FK,LOOKUP(2,1/(ISNUMBER($A$2:$A$1048576)),ROW($A$2:$A$1048576))),FK41)</f>
        <v/>
      </c>
      <c r="FM41" s="39">
        <f>SWA40-(FK41-FK$106)/FK$107</f>
        <v/>
      </c>
      <c r="FN41" s="9" t="n">
        <v>376.29</v>
      </c>
      <c r="FO41" s="9" t="n">
        <v>84.61</v>
      </c>
      <c r="FP41" s="9" t="n">
        <v>51.19</v>
      </c>
      <c r="FQ41" s="9" t="n">
        <v>98.29000000000001</v>
      </c>
      <c r="FR41" s="9" t="n">
        <v>17.44</v>
      </c>
      <c r="FS41" s="9" t="n">
        <v>37.18</v>
      </c>
      <c r="FT41" s="9" t="n">
        <v>43.68</v>
      </c>
      <c r="FU41" s="9" t="n">
        <v>75.84999999999999</v>
      </c>
      <c r="FV41" s="9" t="n">
        <v>34.56</v>
      </c>
      <c r="FW41" s="9" t="n">
        <v>30.85</v>
      </c>
      <c r="FX41" s="9" t="n">
        <v>10.44</v>
      </c>
      <c r="FY41" s="9" t="n">
        <v>175.97</v>
      </c>
      <c r="FZ41" s="9" t="n">
        <v>82.26000000000001</v>
      </c>
      <c r="GA41" s="9" t="n">
        <v>46.75</v>
      </c>
      <c r="GB41" s="9" t="n">
        <v>5.47</v>
      </c>
      <c r="GC41" s="9" t="n">
        <v>1.15</v>
      </c>
      <c r="GD41" s="9" t="n">
        <v>20.97</v>
      </c>
      <c r="GE41" s="9" t="n">
        <v>27.44</v>
      </c>
      <c r="GF41" s="9" t="n">
        <v>7.06</v>
      </c>
      <c r="GG41" s="9" t="n">
        <v>25.72</v>
      </c>
      <c r="GH41" s="9" t="n">
        <v>1.41</v>
      </c>
      <c r="GI41" s="9" t="n">
        <v>0.5</v>
      </c>
      <c r="GJ41" s="9" t="n">
        <v>35.42</v>
      </c>
      <c r="GK41" s="9" t="n">
        <v>23.71</v>
      </c>
      <c r="GL41" s="9" t="n">
        <v>3.44</v>
      </c>
      <c r="GM41" s="9" t="n">
        <v>14.52</v>
      </c>
      <c r="GN41" s="9" t="n">
        <v>4.97</v>
      </c>
      <c r="GO41" s="9" t="n">
        <v>1.35</v>
      </c>
      <c r="GP41" s="9" t="n">
        <v>27.22</v>
      </c>
      <c r="GQ41" s="9" t="n">
        <v>2.29</v>
      </c>
      <c r="GR41" s="9" t="n">
        <v>0.74</v>
      </c>
      <c r="GS41" s="9" t="n">
        <v>32.05</v>
      </c>
      <c r="GT41" s="9" t="n">
        <v>0.26</v>
      </c>
      <c r="GU41" s="9" t="n">
        <v>0.24</v>
      </c>
      <c r="GV41" s="9" t="n">
        <v>88.89</v>
      </c>
      <c r="GW41" s="9" t="n">
        <v>14.56</v>
      </c>
      <c r="GX41" s="9" t="n">
        <v>4.62</v>
      </c>
      <c r="GY41" s="9" t="n">
        <v>31.72</v>
      </c>
      <c r="GZ41" s="9" t="n">
        <v>4.68</v>
      </c>
      <c r="HA41" s="9" t="n">
        <v>7.09</v>
      </c>
      <c r="HB41" s="9" t="n">
        <v>24.12</v>
      </c>
      <c r="HC41" s="9" t="n">
        <v>4.06</v>
      </c>
      <c r="HD41" s="9" t="n">
        <v>8.91</v>
      </c>
      <c r="HE41" s="9" t="n">
        <v>17.09</v>
      </c>
      <c r="HF41" s="9" t="n">
        <v>54.97</v>
      </c>
      <c r="HG41" s="9" t="n">
        <v>22.15</v>
      </c>
      <c r="HH41" s="9" t="n">
        <v>40.29</v>
      </c>
      <c r="HI41" s="9" t="n">
        <v>1.18</v>
      </c>
      <c r="HJ41" s="9" t="n">
        <v>1.26</v>
      </c>
      <c r="HK41" s="9" t="n">
        <v>8.970000000000001</v>
      </c>
      <c r="HL41" s="9" t="n">
        <v>3.82</v>
      </c>
      <c r="HM41" s="9" t="n">
        <v>42.62</v>
      </c>
      <c r="HN41" s="9" t="n">
        <v>56.74</v>
      </c>
      <c r="HO41" s="9" t="n">
        <v>32.65</v>
      </c>
      <c r="HP41" s="9" t="n">
        <v>57.54</v>
      </c>
      <c r="HQ41" s="9" t="n">
        <v>36.29</v>
      </c>
      <c r="HR41" s="9" t="n">
        <v>15.97</v>
      </c>
      <c r="HS41" s="9" t="n">
        <v>44</v>
      </c>
      <c r="HT41" s="9" t="n">
        <v>3.09</v>
      </c>
      <c r="HU41" s="9" t="n">
        <v>1.12</v>
      </c>
      <c r="HV41" s="9" t="n">
        <v>36.19</v>
      </c>
      <c r="HW41" s="9" t="n">
        <v>37.59</v>
      </c>
      <c r="HX41" s="9" t="n">
        <v>14.41</v>
      </c>
      <c r="HY41" s="9" t="n">
        <v>14.06</v>
      </c>
      <c r="HZ41" s="9" t="n">
        <v>2.59</v>
      </c>
      <c r="IA41" s="9" t="n">
        <v>0.03</v>
      </c>
      <c r="IB41" s="9" t="n">
        <v>142.71</v>
      </c>
      <c r="IC41" s="9" t="n">
        <v>106.35</v>
      </c>
      <c r="ID41" s="9" t="n">
        <v>74.53</v>
      </c>
      <c r="IE41" s="9" t="n">
        <v>68.65000000000001</v>
      </c>
      <c r="IF41" s="9" t="n">
        <v>64.91</v>
      </c>
      <c r="IG41" s="9" t="n">
        <v>94.56</v>
      </c>
      <c r="IH41" s="9" t="n">
        <v>168.91</v>
      </c>
      <c r="II41" s="9" t="n">
        <v>151.88</v>
      </c>
      <c r="IJ41" s="9" t="n">
        <v>89.92</v>
      </c>
      <c r="IK41" s="9" t="n">
        <v>44.09</v>
      </c>
      <c r="IL41" s="9" t="n">
        <v>25.18</v>
      </c>
      <c r="IM41" s="9" t="n">
        <v>57.1</v>
      </c>
      <c r="IN41" s="9" t="n">
        <v>52.41</v>
      </c>
      <c r="IO41" s="9" t="n">
        <v>37.32</v>
      </c>
      <c r="IP41" s="9" t="n">
        <v>71.20999999999999</v>
      </c>
      <c r="IQ41" s="9" t="n">
        <v>71.38</v>
      </c>
      <c r="IR41" s="9" t="n">
        <v>52.56</v>
      </c>
      <c r="IS41" s="9" t="n">
        <v>73.63</v>
      </c>
      <c r="IT41" s="33">
        <f>PERCENTRANK(IS$2:INDEX($IS:$IS,LOOKUP(2,1/(ISNUMBER($A$2:$A$1048576)),ROW($A$2:$A$1048576))),IS41)</f>
        <v/>
      </c>
      <c r="IU41" s="39">
        <f>1-(IS41-IS$106)/IS$107</f>
        <v/>
      </c>
      <c r="IV41" s="9" t="n">
        <v>3.24</v>
      </c>
      <c r="IW41" s="9" t="n">
        <v>1.29</v>
      </c>
      <c r="IX41" s="9" t="n">
        <v>40</v>
      </c>
      <c r="IY41" s="9" t="n">
        <v>19.82</v>
      </c>
      <c r="IZ41" s="9" t="n">
        <v>18.29</v>
      </c>
      <c r="JA41" s="9" t="n">
        <v>92.28</v>
      </c>
      <c r="JB41" s="9" t="n">
        <v>6.38</v>
      </c>
      <c r="JC41" s="9" t="n">
        <v>16.65</v>
      </c>
      <c r="JD41" s="9" t="n">
        <v>4.51</v>
      </c>
      <c r="JE41" s="9" t="n">
        <v>10.19</v>
      </c>
      <c r="JF41" s="9" t="n">
        <v>18.72</v>
      </c>
      <c r="JG41" s="9" t="n">
        <v>19.39</v>
      </c>
      <c r="JH41" s="9" t="n">
        <v>12.05</v>
      </c>
    </row>
    <row r="42">
      <c r="A42" s="12" t="n">
        <v>2024</v>
      </c>
      <c r="B42" s="31" t="inlineStr">
        <is>
          <t>San Antonio</t>
        </is>
      </c>
      <c r="C42" s="12" t="n">
        <v>39</v>
      </c>
      <c r="D42" s="5">
        <f>(C42-AVERAGE($C$2:INDEX($C:$C,LOOKUP(2,1/(ISNUMBER($A$2:$A$1048576)),ROW($A$2:$A$1048576)))))/_xlfn.STDEV.P($C$2:INDEX($C:$C,LOOKUP(2,1/(ISNUMBER($A$2:$A$1048576)),ROW($A$2:$A$1048576))))</f>
        <v/>
      </c>
      <c r="E42" s="12" t="n">
        <v>9</v>
      </c>
      <c r="F42" s="6">
        <f>-E42</f>
        <v/>
      </c>
      <c r="G42" s="7">
        <f>(F42-AVERAGE($F$2:INDEX($F:$F,LOOKUP(2,1/(ISNUMBER($A$2:$A$1048576)),ROW($A$2:$A$1048576)))))/_xlfn.STDEV.P($F$2:INDEX($F:$F,LOOKUP(2,1/(ISNUMBER($A$2:$A$1048576)),ROW($A$2:$A$1048576))))</f>
        <v/>
      </c>
      <c r="H42" s="32">
        <f>sum(0.5*D42)+(0.5*G42)</f>
        <v/>
      </c>
      <c r="I42" s="12" t="inlineStr">
        <is>
          <t>West</t>
        </is>
      </c>
      <c r="J42" s="10">
        <f>sum(L42*L$105)+(N42*N$105)+(P42*P$105)+(T42*R$105)</f>
        <v/>
      </c>
      <c r="K42" s="33">
        <f>PERCENTRANK(J$2:INDEX($J:$J,LOOKUP(2,1/(ISNUMBER($A$2:$A$1048576)),ROW($A$2:$A$1048576))),J42)</f>
        <v/>
      </c>
      <c r="L42" s="10">
        <f>sum(AA42*0.66)+(AD42*0.55)+(AG42*0.59)+(CG42*0.51)+(CL42*0.6)+(EY42*0.31)</f>
        <v/>
      </c>
      <c r="M42" s="33">
        <f>PERCENTRANK(L$2:INDEX($L:$L,LOOKUP(2,1/(ISNUMBER($A$2:$A$1048576)),ROW($A$2:$A$1048576))),L42)</f>
        <v/>
      </c>
      <c r="N42" s="10">
        <f>sum(CT42*0.57)+(CW42*0.71)+(DJ42*0.08)+(FC42*0.33)+(FG42*0.69)+(FM42*0.26)+(IU42*0.54)+(AU42*0.4)</f>
        <v/>
      </c>
      <c r="O42" s="33">
        <f>PERCENTRANK(N$2:INDEX($N:$N,LOOKUP(2,1/(ISNUMBER($A$2:$A$1048576)),ROW($A$2:$A$1048576))),N42)</f>
        <v/>
      </c>
      <c r="P42" s="10">
        <f>sum(BG42*0.51)+(CD42*0.51)+(DR42*0.11)+(EF42*0.42)+(EK42*0.44)+(W42*0.6)</f>
        <v/>
      </c>
      <c r="Q42" s="33">
        <f>PERCENTRANK(P$2:INDEX($P:$P,LOOKUP(2,1/(ISNUMBER($A$2:$A$1048576)),ROW($A$2:$A$1048576))),P42)</f>
        <v/>
      </c>
      <c r="R42" s="10">
        <f>sum(Y42-FE42)</f>
        <v/>
      </c>
      <c r="S42" s="33">
        <f>PERCENTRANK(R$2:INDEX($R:$R,LOOKUP(2,1/(ISNUMBER($A$2:$A$1048576)),ROW($A$2:$A$1048576))),R42)</f>
        <v/>
      </c>
      <c r="T42" s="34">
        <f>sum(R42-R$106)/R$107</f>
        <v/>
      </c>
      <c r="U42" s="35">
        <f>sum(Y42/AI42)*100</f>
        <v/>
      </c>
      <c r="V42" s="33">
        <f>PERCENTRANK(U$2:INDEX($U:$U,LOOKUP(2,1/(ISNUMBER($A$2:$A$1048576)),ROW($A$2:$A$1048576))),U42)</f>
        <v/>
      </c>
      <c r="W42" s="36">
        <f>sum(U42-U$106)/U$107</f>
        <v/>
      </c>
      <c r="X42" s="9" t="n">
        <v>1.06</v>
      </c>
      <c r="Y42" s="9" t="n">
        <v>1</v>
      </c>
      <c r="Z42" s="33">
        <f>PERCENTRANK(Y$2:INDEX($Y:$Y,LOOKUP(2,1/(ISNUMBER($A$2:$A$1048576)),ROW($A$2:$A$1048576))),Y42)</f>
        <v/>
      </c>
      <c r="AA42" s="37">
        <f>sum(Y42-Y$106)/Y$107</f>
        <v/>
      </c>
      <c r="AB42" s="9" t="n">
        <v>9.41</v>
      </c>
      <c r="AC42" s="33">
        <f>PERCENTRANK(AB$2:INDEX($AB:$AB,LOOKUP(2,1/(ISNUMBER($A$2:$A$1048576)),ROW($A$2:$A$1048576))),AB42)</f>
        <v/>
      </c>
      <c r="AD42" s="38">
        <f>sum(AB42-AB$106)/AB$107</f>
        <v/>
      </c>
      <c r="AE42" s="9" t="n">
        <v>3.09</v>
      </c>
      <c r="AF42" s="33">
        <f>PERCENTRANK(AE$2:INDEX($AE:$AE,LOOKUP(2,1/(ISNUMBER($A$2:$A$1048576)),ROW($A$2:$A$1048576))),AE42)</f>
        <v/>
      </c>
      <c r="AG42" s="38">
        <f>sum(AE42-AE$106)/AE$107</f>
        <v/>
      </c>
      <c r="AH42" s="9" t="n">
        <v>32.81</v>
      </c>
      <c r="AI42" s="9" t="n">
        <v>324.91</v>
      </c>
      <c r="AJ42" s="9" t="n">
        <v>251.71</v>
      </c>
      <c r="AK42" s="9" t="n">
        <v>77.47</v>
      </c>
      <c r="AL42" s="9" t="n">
        <v>47.59</v>
      </c>
      <c r="AM42" s="9" t="n">
        <v>109.71</v>
      </c>
      <c r="AN42" s="9" t="n">
        <v>18.71</v>
      </c>
      <c r="AO42" s="9" t="n">
        <v>37.88</v>
      </c>
      <c r="AP42" s="9" t="n">
        <v>53.12</v>
      </c>
      <c r="AQ42" s="9" t="n">
        <v>81.70999999999999</v>
      </c>
      <c r="AR42" s="9" t="n">
        <v>37.79</v>
      </c>
      <c r="AS42" s="9" t="n">
        <v>32.21</v>
      </c>
      <c r="AT42" s="33">
        <f>PERCENTRANK(AS$2:INDEX($AS:$AS,LOOKUP(2,1/(ISNUMBER($A$2:$A$1048576)),ROW($A$2:$A$1048576))),AS42)</f>
        <v/>
      </c>
      <c r="AU42" s="39">
        <f>SUM(AS42-AS$106)/AS$107</f>
        <v/>
      </c>
      <c r="AV42" s="9" t="n">
        <v>11.71</v>
      </c>
      <c r="AW42" s="33">
        <f>PERCENTRANK(AV$2:INDEX($AV:$AV,LOOKUP(2,1/(ISNUMBER($A$2:$A$1048576)),ROW($A$2:$A$1048576))),AV42)</f>
        <v/>
      </c>
      <c r="AX42" s="9" t="n">
        <v>210.03</v>
      </c>
      <c r="AY42" s="9" t="n">
        <v>101.94</v>
      </c>
      <c r="AZ42" s="9" t="n">
        <v>48.54</v>
      </c>
      <c r="BA42" s="9" t="n">
        <v>3.56</v>
      </c>
      <c r="BB42" s="9" t="n">
        <v>0.88</v>
      </c>
      <c r="BC42" s="9" t="n">
        <v>24.79</v>
      </c>
      <c r="BD42" s="9" t="n">
        <v>27.32</v>
      </c>
      <c r="BE42" s="9" t="n">
        <v>5.62</v>
      </c>
      <c r="BF42" s="33">
        <f>PERCENTRANK(BE$2:INDEX($BE:$BE,LOOKUP(2,1/(ISNUMBER($A$2:$A$1048576)),ROW($A$2:$A$1048576))),BE42)</f>
        <v/>
      </c>
      <c r="BG42" s="40">
        <f>sum(BE42-BE$106)/BE$107</f>
        <v/>
      </c>
      <c r="BH42" s="9" t="n">
        <v>20.56</v>
      </c>
      <c r="BI42" s="9" t="n">
        <v>0.74</v>
      </c>
      <c r="BJ42" s="9" t="n">
        <v>0.35</v>
      </c>
      <c r="BK42" s="9" t="n">
        <v>48</v>
      </c>
      <c r="BL42" s="9" t="n">
        <v>24.62</v>
      </c>
      <c r="BM42" s="9" t="n">
        <v>2.91</v>
      </c>
      <c r="BN42" s="9" t="n">
        <v>11.83</v>
      </c>
      <c r="BO42" s="9" t="n">
        <v>4.82</v>
      </c>
      <c r="BP42" s="9" t="n">
        <v>1.38</v>
      </c>
      <c r="BQ42" s="9" t="n">
        <v>28.66</v>
      </c>
      <c r="BR42" s="9" t="n">
        <v>2.91</v>
      </c>
      <c r="BS42" s="9" t="n">
        <v>0.59</v>
      </c>
      <c r="BT42" s="9" t="n">
        <v>20.2</v>
      </c>
      <c r="BU42" s="9" t="n">
        <v>0.15</v>
      </c>
      <c r="BV42" s="9" t="n">
        <v>0.09</v>
      </c>
      <c r="BW42" s="9" t="n">
        <v>60</v>
      </c>
      <c r="BX42" s="9" t="n">
        <v>15.09</v>
      </c>
      <c r="BY42" s="9" t="n">
        <v>4.68</v>
      </c>
      <c r="BZ42" s="9" t="n">
        <v>30.99</v>
      </c>
      <c r="CA42" s="9" t="n">
        <v>4.56</v>
      </c>
      <c r="CB42" s="9" t="n">
        <v>5.44</v>
      </c>
      <c r="CC42" s="33">
        <f>PERCENTRANK(CD$2:INDEX($CD:$CD,LOOKUP(2,1/(ISNUMBER($A$2:$A$1048576)),ROW($A$2:$A$1048576))),CD42)</f>
        <v/>
      </c>
      <c r="CD42" s="40">
        <f>sum(CB42-CB$106)/CB$107</f>
        <v/>
      </c>
      <c r="CE42" s="9" t="n">
        <v>22.47</v>
      </c>
      <c r="CF42" s="33">
        <f>PERCENTRANK(CE$2:INDEX($CE:$CE,LOOKUP(2,1/(ISNUMBER($A$2:$A$1048576)),ROW($A$2:$A$1048576))),CE42)</f>
        <v/>
      </c>
      <c r="CG42" s="38">
        <f>sum(CE42-CE$106)/CE$107</f>
        <v/>
      </c>
      <c r="CH42" s="9" t="n">
        <v>2.94</v>
      </c>
      <c r="CI42" s="9" t="n">
        <v>8.91</v>
      </c>
      <c r="CJ42" s="9" t="n">
        <v>14.32</v>
      </c>
      <c r="CK42" s="33">
        <f>PERCENTRANK(CJ$2:INDEX($CJ:$CJ,LOOKUP(2,1/(ISNUMBER($A$2:$A$1048576)),ROW($A$2:$A$1048576))),CJ42)</f>
        <v/>
      </c>
      <c r="CL42" s="38">
        <f>sum(CJ42-CJ$106)/CJ$107</f>
        <v/>
      </c>
      <c r="CM42" s="9" t="n">
        <v>66.88</v>
      </c>
      <c r="CN42" s="9" t="n">
        <v>24.91</v>
      </c>
      <c r="CO42" s="9" t="n">
        <v>37.25</v>
      </c>
      <c r="CP42" s="9" t="n">
        <v>2.18</v>
      </c>
      <c r="CQ42" s="9" t="n">
        <v>1.44</v>
      </c>
      <c r="CR42" s="9" t="n">
        <v>11.91</v>
      </c>
      <c r="CS42" s="33">
        <f>PERCENTRANK(CR$2:INDEX($CR:$CR,LOOKUP(2,1/(ISNUMBER($A$2:$A$1048576)),ROW($A$2:$A$1048576))),CR42)</f>
        <v/>
      </c>
      <c r="CT42" s="39">
        <f>1-(CR42-CR$106)/CR$107</f>
        <v/>
      </c>
      <c r="CU42" s="9" t="n">
        <v>4.59</v>
      </c>
      <c r="CV42" s="33">
        <f>PERCENTRANK(CU$2:INDEX($CU:$CU,LOOKUP(2,1/(ISNUMBER($A$2:$A$1048576)),ROW($A$2:$A$1048576))),CU42)</f>
        <v/>
      </c>
      <c r="CW42" s="39">
        <f>1-(CU42-CU$106)/CU$107</f>
        <v/>
      </c>
      <c r="CX42" s="9" t="n">
        <v>38.52</v>
      </c>
      <c r="CY42" s="9" t="n">
        <v>71.88</v>
      </c>
      <c r="CZ42" s="9" t="n">
        <v>44.47</v>
      </c>
      <c r="DA42" s="9" t="n">
        <v>61.87</v>
      </c>
      <c r="DB42" s="9" t="n">
        <v>42</v>
      </c>
      <c r="DC42" s="9" t="n">
        <v>20.5</v>
      </c>
      <c r="DD42" s="9" t="n">
        <v>48.81</v>
      </c>
      <c r="DE42" s="9" t="n">
        <v>3.03</v>
      </c>
      <c r="DF42" s="9" t="n">
        <v>1.47</v>
      </c>
      <c r="DG42" s="9" t="n">
        <v>48.54</v>
      </c>
      <c r="DH42" s="9" t="n">
        <v>36.91</v>
      </c>
      <c r="DI42" s="33">
        <f>PERCENTRANK(DH$2:INDEX($DH:$DH,LOOKUP(2,1/(ISNUMBER($A$2:$A$1048576)),ROW($A$2:$A$1048576))),DH42)</f>
        <v/>
      </c>
      <c r="DJ42" s="39">
        <f>SUM(DH42-DH$106)/DH$107</f>
        <v/>
      </c>
      <c r="DK42" s="9" t="n">
        <v>15.5</v>
      </c>
      <c r="DL42" s="9" t="n">
        <v>15.91</v>
      </c>
      <c r="DM42" s="9" t="n">
        <v>2.74</v>
      </c>
      <c r="DN42" s="9" t="n">
        <v>0.09</v>
      </c>
      <c r="DO42" s="9" t="n">
        <v>130.76</v>
      </c>
      <c r="DP42" s="9" t="n">
        <v>87.38</v>
      </c>
      <c r="DQ42" s="33">
        <f>PERCENTRANK(DP$2:INDEX($DP:$DP,LOOKUP(2,1/(ISNUMBER($A$2:$A$1048576)),ROW($A$2:$A$1048576))),DP42)</f>
        <v/>
      </c>
      <c r="DR42" s="40">
        <f>sum(DP42-DP$106)/DP$107</f>
        <v/>
      </c>
      <c r="DS42" s="9" t="n">
        <v>66.81999999999999</v>
      </c>
      <c r="DT42" s="9" t="n">
        <v>49.56</v>
      </c>
      <c r="DU42" s="9" t="n">
        <v>45.97</v>
      </c>
      <c r="DV42" s="9" t="n">
        <v>92.76000000000001</v>
      </c>
      <c r="DW42" s="9" t="n">
        <v>99.18000000000001</v>
      </c>
      <c r="DX42" s="9" t="n">
        <v>83.76000000000001</v>
      </c>
      <c r="DY42" s="9" t="n">
        <v>84.45999999999999</v>
      </c>
      <c r="DZ42" s="9" t="n">
        <v>47.21</v>
      </c>
      <c r="EA42" s="9" t="n">
        <v>22.91</v>
      </c>
      <c r="EB42" s="9" t="n">
        <v>48.54</v>
      </c>
      <c r="EC42" s="9" t="n">
        <v>50.94</v>
      </c>
      <c r="ED42" s="9" t="n">
        <v>30.91</v>
      </c>
      <c r="EE42" s="33">
        <f>PERCENTRANK(ED$2:INDEX($ED:$ED,LOOKUP(2,1/(ISNUMBER($A$2:$A$1048576)),ROW($A$2:$A$1048576))),ED42)</f>
        <v/>
      </c>
      <c r="EF42" s="40">
        <f>sum(ED42-ED$106)/ED$107</f>
        <v/>
      </c>
      <c r="EG42" s="9" t="n">
        <v>60.68</v>
      </c>
      <c r="EH42" s="9" t="n">
        <v>66.26000000000001</v>
      </c>
      <c r="EI42" s="9" t="n">
        <v>45.53</v>
      </c>
      <c r="EJ42" s="33">
        <f>PERCENTRANK(EI$2:INDEX($EI:$EI,LOOKUP(2,1/(ISNUMBER($A$2:$A$1048576)),ROW($A$2:$A$1048576))),EI42)</f>
        <v/>
      </c>
      <c r="EK42" s="40">
        <f>sum(EI42-EI$106)/EI$107</f>
        <v/>
      </c>
      <c r="EL42" s="9" t="n">
        <v>68.70999999999999</v>
      </c>
      <c r="EM42" s="9" t="n">
        <v>1.09</v>
      </c>
      <c r="EN42" s="9" t="n">
        <v>0.5</v>
      </c>
      <c r="EO42" s="9" t="n">
        <v>45.95</v>
      </c>
      <c r="EP42" s="9" t="n">
        <v>21.91</v>
      </c>
      <c r="EQ42" s="9" t="n">
        <v>19.06</v>
      </c>
      <c r="ER42" s="9" t="n">
        <v>86.98</v>
      </c>
      <c r="ES42" s="9" t="n">
        <v>8.970000000000001</v>
      </c>
      <c r="ET42" s="9" t="n">
        <v>14.86</v>
      </c>
      <c r="EU42" s="9" t="n">
        <v>3.11</v>
      </c>
      <c r="EV42" s="9" t="n">
        <v>15.23</v>
      </c>
      <c r="EW42" s="9" t="n">
        <v>18.61</v>
      </c>
      <c r="EX42" s="33">
        <f>PERCENTRANK(EW$2:INDEX($EW:$EW,LOOKUP(2,1/(ISNUMBER($A$2:$A$1048576)),ROW($A$2:$A$1048576))),EW42)</f>
        <v/>
      </c>
      <c r="EY42" s="38">
        <f>1-(EW42-EW$106)/EW$107</f>
        <v/>
      </c>
      <c r="EZ42" s="9" t="n">
        <v>20.98</v>
      </c>
      <c r="FA42" s="9" t="n">
        <v>9.119999999999999</v>
      </c>
      <c r="FB42" s="33">
        <f>PERCENTRANK(FA$2:INDEX($FA:$FA,LOOKUP(2,1/(ISNUMBER($A$2:$A$1048576)),ROW($A$2:$A$1048576))),FA42)</f>
        <v/>
      </c>
      <c r="FC42" s="39">
        <f>1-(FA42-FA$106)/FA$107</f>
        <v/>
      </c>
      <c r="FD42" s="9" t="n">
        <v>1.44</v>
      </c>
      <c r="FE42" s="9" t="n">
        <v>1.18</v>
      </c>
      <c r="FF42" s="33">
        <f>PERCENTRANK(FE$2:INDEX($FE:$FE,LOOKUP(2,1/(ISNUMBER($A$2:$A$1048576)),ROW($A$2:$A$1048576))),FE42)</f>
        <v/>
      </c>
      <c r="FG42" s="39">
        <f>1-(FE42-FE$106)/FE$107</f>
        <v/>
      </c>
      <c r="FH42" s="9" t="n">
        <v>11.91</v>
      </c>
      <c r="FI42" s="9" t="n">
        <v>4.26</v>
      </c>
      <c r="FJ42" s="9" t="n">
        <v>35.8</v>
      </c>
      <c r="FK42" s="9" t="n">
        <v>364.76</v>
      </c>
      <c r="FL42" s="33">
        <f>PERCENTRANK(FK$2:INDEX($FK:$FK,LOOKUP(2,1/(ISNUMBER($A$2:$A$1048576)),ROW($A$2:$A$1048576))),FK42)</f>
        <v/>
      </c>
      <c r="FM42" s="39">
        <f>SWA41-(FK42-FK$106)/FK$107</f>
        <v/>
      </c>
      <c r="FN42" s="9" t="n">
        <v>294.29</v>
      </c>
      <c r="FO42" s="9" t="n">
        <v>80.68000000000001</v>
      </c>
      <c r="FP42" s="9" t="n">
        <v>52.42</v>
      </c>
      <c r="FQ42" s="9" t="n">
        <v>109.03</v>
      </c>
      <c r="FR42" s="9" t="n">
        <v>20.09</v>
      </c>
      <c r="FS42" s="9" t="n">
        <v>39.03</v>
      </c>
      <c r="FT42" s="9" t="n">
        <v>49.91</v>
      </c>
      <c r="FU42" s="9" t="n">
        <v>80.97</v>
      </c>
      <c r="FV42" s="9" t="n">
        <v>39.71</v>
      </c>
      <c r="FW42" s="9" t="n">
        <v>30.71</v>
      </c>
      <c r="FX42" s="9" t="n">
        <v>10.56</v>
      </c>
      <c r="FY42" s="9" t="n">
        <v>210.03</v>
      </c>
      <c r="FZ42" s="9" t="n">
        <v>99.97</v>
      </c>
      <c r="GA42" s="9" t="n">
        <v>47.6</v>
      </c>
      <c r="GB42" s="9" t="n">
        <v>5.47</v>
      </c>
      <c r="GC42" s="9" t="n">
        <v>1.53</v>
      </c>
      <c r="GD42" s="9" t="n">
        <v>27.96</v>
      </c>
      <c r="GE42" s="9" t="n">
        <v>29.71</v>
      </c>
      <c r="GF42" s="9" t="n">
        <v>7.12</v>
      </c>
      <c r="GG42" s="9" t="n">
        <v>23.96</v>
      </c>
      <c r="GH42" s="9" t="n">
        <v>0.5600000000000001</v>
      </c>
      <c r="GI42" s="9" t="n">
        <v>0.18</v>
      </c>
      <c r="GJ42" s="9" t="n">
        <v>31.58</v>
      </c>
      <c r="GK42" s="9" t="n">
        <v>29.03</v>
      </c>
      <c r="GL42" s="9" t="n">
        <v>4.09</v>
      </c>
      <c r="GM42" s="9" t="n">
        <v>14.08</v>
      </c>
      <c r="GN42" s="9" t="n">
        <v>6.06</v>
      </c>
      <c r="GO42" s="9" t="n">
        <v>1.71</v>
      </c>
      <c r="GP42" s="9" t="n">
        <v>28.16</v>
      </c>
      <c r="GQ42" s="9" t="n">
        <v>2.21</v>
      </c>
      <c r="GR42" s="9" t="n">
        <v>0.65</v>
      </c>
      <c r="GS42" s="9" t="n">
        <v>29.33</v>
      </c>
      <c r="GT42" s="9" t="n">
        <v>0.09</v>
      </c>
      <c r="GU42" s="9" t="n">
        <v>0.09</v>
      </c>
      <c r="GV42" s="9" t="n">
        <v>100</v>
      </c>
      <c r="GW42" s="9" t="n">
        <v>15.74</v>
      </c>
      <c r="GX42" s="9" t="n">
        <v>4.94</v>
      </c>
      <c r="GY42" s="9" t="n">
        <v>31.4</v>
      </c>
      <c r="GZ42" s="9" t="n">
        <v>4.56</v>
      </c>
      <c r="HA42" s="9" t="n">
        <v>7.44</v>
      </c>
      <c r="HB42" s="9" t="n">
        <v>24.35</v>
      </c>
      <c r="HC42" s="9" t="n">
        <v>3.76</v>
      </c>
      <c r="HD42" s="9" t="n">
        <v>9.15</v>
      </c>
      <c r="HE42" s="9" t="n">
        <v>16.12</v>
      </c>
      <c r="HF42" s="9" t="n">
        <v>71.88</v>
      </c>
      <c r="HG42" s="9" t="n">
        <v>27.41</v>
      </c>
      <c r="HH42" s="9" t="n">
        <v>38.13</v>
      </c>
      <c r="HI42" s="9" t="n">
        <v>0.97</v>
      </c>
      <c r="HJ42" s="9" t="n">
        <v>1.06</v>
      </c>
      <c r="HK42" s="9" t="n">
        <v>9.41</v>
      </c>
      <c r="HL42" s="9" t="n">
        <v>3.35</v>
      </c>
      <c r="HM42" s="9" t="n">
        <v>35.63</v>
      </c>
      <c r="HN42" s="9" t="n">
        <v>66.88</v>
      </c>
      <c r="HO42" s="9" t="n">
        <v>41.97</v>
      </c>
      <c r="HP42" s="9" t="n">
        <v>62.75</v>
      </c>
      <c r="HQ42" s="9" t="n">
        <v>42</v>
      </c>
      <c r="HR42" s="9" t="n">
        <v>18.59</v>
      </c>
      <c r="HS42" s="9" t="n">
        <v>44.26</v>
      </c>
      <c r="HT42" s="9" t="n">
        <v>3.18</v>
      </c>
      <c r="HU42" s="9" t="n">
        <v>1.47</v>
      </c>
      <c r="HV42" s="9" t="n">
        <v>46.3</v>
      </c>
      <c r="HW42" s="9" t="n">
        <v>37.76</v>
      </c>
      <c r="HX42" s="9" t="n">
        <v>14.47</v>
      </c>
      <c r="HY42" s="9" t="n">
        <v>12.24</v>
      </c>
      <c r="HZ42" s="9" t="n">
        <v>2.91</v>
      </c>
      <c r="IA42" s="9" t="n">
        <v>0.15</v>
      </c>
      <c r="IB42" s="9" t="n">
        <v>133.82</v>
      </c>
      <c r="IC42" s="9" t="n">
        <v>95.68000000000001</v>
      </c>
      <c r="ID42" s="9" t="n">
        <v>71.48999999999999</v>
      </c>
      <c r="IE42" s="9" t="n">
        <v>55.18</v>
      </c>
      <c r="IF42" s="9" t="n">
        <v>51.91</v>
      </c>
      <c r="IG42" s="9" t="n">
        <v>94.08</v>
      </c>
      <c r="IH42" s="9" t="n">
        <v>125.71</v>
      </c>
      <c r="II42" s="9" t="n">
        <v>108.29</v>
      </c>
      <c r="IJ42" s="9" t="n">
        <v>86.15000000000001</v>
      </c>
      <c r="IK42" s="9" t="n">
        <v>44.38</v>
      </c>
      <c r="IL42" s="9" t="n">
        <v>24.09</v>
      </c>
      <c r="IM42" s="9" t="n">
        <v>54.27</v>
      </c>
      <c r="IN42" s="9" t="n">
        <v>53.68</v>
      </c>
      <c r="IO42" s="9" t="n">
        <v>37</v>
      </c>
      <c r="IP42" s="9" t="n">
        <v>68.93000000000001</v>
      </c>
      <c r="IQ42" s="9" t="n">
        <v>73.06</v>
      </c>
      <c r="IR42" s="9" t="n">
        <v>53.18</v>
      </c>
      <c r="IS42" s="9" t="n">
        <v>72.79000000000001</v>
      </c>
      <c r="IT42" s="33">
        <f>PERCENTRANK(IS$2:INDEX($IS:$IS,LOOKUP(2,1/(ISNUMBER($A$2:$A$1048576)),ROW($A$2:$A$1048576))),IS42)</f>
        <v/>
      </c>
      <c r="IU42" s="39">
        <f>1-(IS42-IS$106)/IS$107</f>
        <v/>
      </c>
      <c r="IV42" s="9" t="n">
        <v>1.94</v>
      </c>
      <c r="IW42" s="9" t="n">
        <v>1.18</v>
      </c>
      <c r="IX42" s="9" t="n">
        <v>60.61</v>
      </c>
      <c r="IY42" s="9" t="n">
        <v>23.09</v>
      </c>
      <c r="IZ42" s="9" t="n">
        <v>19.79</v>
      </c>
      <c r="JA42" s="9" t="n">
        <v>85.73</v>
      </c>
      <c r="JB42" s="9" t="n">
        <v>7.26</v>
      </c>
      <c r="JC42" s="9" t="n">
        <v>14.85</v>
      </c>
      <c r="JD42" s="9" t="n">
        <v>3.4</v>
      </c>
      <c r="JE42" s="9" t="n">
        <v>12.97</v>
      </c>
      <c r="JF42" s="9" t="n">
        <v>19.38</v>
      </c>
      <c r="JG42" s="9" t="n">
        <v>20.83</v>
      </c>
      <c r="JH42" s="9" t="n">
        <v>9.25</v>
      </c>
    </row>
    <row r="43">
      <c r="A43" s="12" t="n">
        <v>2024</v>
      </c>
      <c r="B43" s="31" t="inlineStr">
        <is>
          <t>North Carolina FC</t>
        </is>
      </c>
      <c r="C43" s="12" t="n">
        <v>48</v>
      </c>
      <c r="D43" s="5">
        <f>(C43-AVERAGE($C$2:INDEX($C:$C,LOOKUP(2,1/(ISNUMBER($A$2:$A$1048576)),ROW($A$2:$A$1048576)))))/_xlfn.STDEV.P($C$2:INDEX($C:$C,LOOKUP(2,1/(ISNUMBER($A$2:$A$1048576)),ROW($A$2:$A$1048576))))</f>
        <v/>
      </c>
      <c r="E43" s="12" t="n">
        <v>8</v>
      </c>
      <c r="F43" s="6">
        <f>-E43</f>
        <v/>
      </c>
      <c r="G43" s="7">
        <f>(F43-AVERAGE($F$2:INDEX($F:$F,LOOKUP(2,1/(ISNUMBER($A$2:$A$1048576)),ROW($A$2:$A$1048576)))))/_xlfn.STDEV.P($F$2:INDEX($F:$F,LOOKUP(2,1/(ISNUMBER($A$2:$A$1048576)),ROW($A$2:$A$1048576))))</f>
        <v/>
      </c>
      <c r="H43" s="32">
        <f>sum(0.5*D43)+(0.5*G43)</f>
        <v/>
      </c>
      <c r="I43" s="12" t="inlineStr">
        <is>
          <t>East</t>
        </is>
      </c>
      <c r="J43" s="10">
        <f>sum(L43*L$105)+(N43*N$105)+(P43*P$105)+(T43*R$105)</f>
        <v/>
      </c>
      <c r="K43" s="33">
        <f>PERCENTRANK(J$2:INDEX($J:$J,LOOKUP(2,1/(ISNUMBER($A$2:$A$1048576)),ROW($A$2:$A$1048576))),J43)</f>
        <v/>
      </c>
      <c r="L43" s="10">
        <f>sum(AA43*0.66)+(AD43*0.55)+(AG43*0.59)+(CG43*0.51)+(CL43*0.6)+(EY43*0.31)</f>
        <v/>
      </c>
      <c r="M43" s="33">
        <f>PERCENTRANK(L$2:INDEX($L:$L,LOOKUP(2,1/(ISNUMBER($A$2:$A$1048576)),ROW($A$2:$A$1048576))),L43)</f>
        <v/>
      </c>
      <c r="N43" s="10">
        <f>sum(CT43*0.57)+(CW43*0.71)+(DJ43*0.08)+(FC43*0.33)+(FG43*0.69)+(FM43*0.26)+(IU43*0.54)+(AU43*0.4)</f>
        <v/>
      </c>
      <c r="O43" s="33">
        <f>PERCENTRANK(N$2:INDEX($N:$N,LOOKUP(2,1/(ISNUMBER($A$2:$A$1048576)),ROW($A$2:$A$1048576))),N43)</f>
        <v/>
      </c>
      <c r="P43" s="10">
        <f>sum(BG43*0.51)+(CD43*0.51)+(DR43*0.11)+(EF43*0.42)+(EK43*0.44)+(W43*0.6)</f>
        <v/>
      </c>
      <c r="Q43" s="33">
        <f>PERCENTRANK(P$2:INDEX($P:$P,LOOKUP(2,1/(ISNUMBER($A$2:$A$1048576)),ROW($A$2:$A$1048576))),P43)</f>
        <v/>
      </c>
      <c r="R43" s="10">
        <f>sum(Y43-FE43)</f>
        <v/>
      </c>
      <c r="S43" s="33">
        <f>PERCENTRANK(R$2:INDEX($R:$R,LOOKUP(2,1/(ISNUMBER($A$2:$A$1048576)),ROW($A$2:$A$1048576))),R43)</f>
        <v/>
      </c>
      <c r="T43" s="34">
        <f>sum(R43-R$106)/R$107</f>
        <v/>
      </c>
      <c r="U43" s="35">
        <f>sum(Y43/AI43)*100</f>
        <v/>
      </c>
      <c r="V43" s="33">
        <f>PERCENTRANK(U$2:INDEX($U:$U,LOOKUP(2,1/(ISNUMBER($A$2:$A$1048576)),ROW($A$2:$A$1048576))),U43)</f>
        <v/>
      </c>
      <c r="W43" s="36">
        <f>sum(U43-U$106)/U$107</f>
        <v/>
      </c>
      <c r="X43" s="9" t="n">
        <v>1.6</v>
      </c>
      <c r="Y43" s="9" t="n">
        <v>1.39</v>
      </c>
      <c r="Z43" s="33">
        <f>PERCENTRANK(Y$2:INDEX($Y:$Y,LOOKUP(2,1/(ISNUMBER($A$2:$A$1048576)),ROW($A$2:$A$1048576))),Y43)</f>
        <v/>
      </c>
      <c r="AA43" s="37">
        <f>sum(Y43-Y$106)/Y$107</f>
        <v/>
      </c>
      <c r="AB43" s="9" t="n">
        <v>11.6</v>
      </c>
      <c r="AC43" s="33">
        <f>PERCENTRANK(AB$2:INDEX($AB:$AB,LOOKUP(2,1/(ISNUMBER($A$2:$A$1048576)),ROW($A$2:$A$1048576))),AB43)</f>
        <v/>
      </c>
      <c r="AD43" s="38">
        <f>sum(AB43-AB$106)/AB$107</f>
        <v/>
      </c>
      <c r="AE43" s="9" t="n">
        <v>4.06</v>
      </c>
      <c r="AF43" s="33">
        <f>PERCENTRANK(AE$2:INDEX($AE:$AE,LOOKUP(2,1/(ISNUMBER($A$2:$A$1048576)),ROW($A$2:$A$1048576))),AE43)</f>
        <v/>
      </c>
      <c r="AG43" s="38">
        <f>sum(AE43-AE$106)/AE$107</f>
        <v/>
      </c>
      <c r="AH43" s="9" t="n">
        <v>34.98</v>
      </c>
      <c r="AI43" s="9" t="n">
        <v>378.4</v>
      </c>
      <c r="AJ43" s="9" t="n">
        <v>314.71</v>
      </c>
      <c r="AK43" s="9" t="n">
        <v>83.17</v>
      </c>
      <c r="AL43" s="9" t="n">
        <v>46.54</v>
      </c>
      <c r="AM43" s="9" t="n">
        <v>98.29000000000001</v>
      </c>
      <c r="AN43" s="9" t="n">
        <v>18.06</v>
      </c>
      <c r="AO43" s="9" t="n">
        <v>37.66</v>
      </c>
      <c r="AP43" s="9" t="n">
        <v>42.57</v>
      </c>
      <c r="AQ43" s="9" t="n">
        <v>72.70999999999999</v>
      </c>
      <c r="AR43" s="9" t="n">
        <v>34.29</v>
      </c>
      <c r="AS43" s="9" t="n">
        <v>26.91</v>
      </c>
      <c r="AT43" s="33">
        <f>PERCENTRANK(AS$2:INDEX($AS:$AS,LOOKUP(2,1/(ISNUMBER($A$2:$A$1048576)),ROW($A$2:$A$1048576))),AS43)</f>
        <v/>
      </c>
      <c r="AU43" s="39">
        <f>SUM(AS43-AS$106)/AS$107</f>
        <v/>
      </c>
      <c r="AV43" s="9" t="n">
        <v>11.51</v>
      </c>
      <c r="AW43" s="33">
        <f>PERCENTRANK(AV$2:INDEX($AV:$AV,LOOKUP(2,1/(ISNUMBER($A$2:$A$1048576)),ROW($A$2:$A$1048576))),AV43)</f>
        <v/>
      </c>
      <c r="AX43" s="9" t="n">
        <v>175.89</v>
      </c>
      <c r="AY43" s="9" t="n">
        <v>84.54000000000001</v>
      </c>
      <c r="AZ43" s="9" t="n">
        <v>48.07</v>
      </c>
      <c r="BA43" s="9" t="n">
        <v>4.77</v>
      </c>
      <c r="BB43" s="9" t="n">
        <v>1.14</v>
      </c>
      <c r="BC43" s="9" t="n">
        <v>23.95</v>
      </c>
      <c r="BD43" s="9" t="n">
        <v>24.23</v>
      </c>
      <c r="BE43" s="9" t="n">
        <v>7.03</v>
      </c>
      <c r="BF43" s="33">
        <f>PERCENTRANK(BE$2:INDEX($BE:$BE,LOOKUP(2,1/(ISNUMBER($A$2:$A$1048576)),ROW($A$2:$A$1048576))),BE43)</f>
        <v/>
      </c>
      <c r="BG43" s="40">
        <f>sum(BE43-BE$106)/BE$107</f>
        <v/>
      </c>
      <c r="BH43" s="9" t="n">
        <v>29.01</v>
      </c>
      <c r="BI43" s="9" t="n">
        <v>1.09</v>
      </c>
      <c r="BJ43" s="9" t="n">
        <v>0.57</v>
      </c>
      <c r="BK43" s="9" t="n">
        <v>52.63</v>
      </c>
      <c r="BL43" s="9" t="n">
        <v>26.74</v>
      </c>
      <c r="BM43" s="9" t="n">
        <v>3.29</v>
      </c>
      <c r="BN43" s="9" t="n">
        <v>12.29</v>
      </c>
      <c r="BO43" s="9" t="n">
        <v>4.57</v>
      </c>
      <c r="BP43" s="9" t="n">
        <v>1.46</v>
      </c>
      <c r="BQ43" s="9" t="n">
        <v>31.88</v>
      </c>
      <c r="BR43" s="9" t="n">
        <v>2.66</v>
      </c>
      <c r="BS43" s="9" t="n">
        <v>0.49</v>
      </c>
      <c r="BT43" s="9" t="n">
        <v>18.28</v>
      </c>
      <c r="BU43" s="9" t="n">
        <v>0.17</v>
      </c>
      <c r="BV43" s="9" t="n">
        <v>0.14</v>
      </c>
      <c r="BW43" s="9" t="n">
        <v>83.33</v>
      </c>
      <c r="BX43" s="9" t="n">
        <v>11.2</v>
      </c>
      <c r="BY43" s="9" t="n">
        <v>3.69</v>
      </c>
      <c r="BZ43" s="9" t="n">
        <v>32.91</v>
      </c>
      <c r="CA43" s="9" t="n">
        <v>3.63</v>
      </c>
      <c r="CB43" s="9" t="n">
        <v>5.66</v>
      </c>
      <c r="CC43" s="33">
        <f>PERCENTRANK(CD$2:INDEX($CD:$CD,LOOKUP(2,1/(ISNUMBER($A$2:$A$1048576)),ROW($A$2:$A$1048576))),CD43)</f>
        <v/>
      </c>
      <c r="CD43" s="40">
        <f>sum(CB43-CB$106)/CB$107</f>
        <v/>
      </c>
      <c r="CE43" s="9" t="n">
        <v>19.8</v>
      </c>
      <c r="CF43" s="33">
        <f>PERCENTRANK(CE$2:INDEX($CE:$CE,LOOKUP(2,1/(ISNUMBER($A$2:$A$1048576)),ROW($A$2:$A$1048576))),CE43)</f>
        <v/>
      </c>
      <c r="CG43" s="38">
        <f>sum(CE43-CE$106)/CE$107</f>
        <v/>
      </c>
      <c r="CH43" s="9" t="n">
        <v>4.26</v>
      </c>
      <c r="CI43" s="9" t="n">
        <v>6.57</v>
      </c>
      <c r="CJ43" s="9" t="n">
        <v>16.06</v>
      </c>
      <c r="CK43" s="33">
        <f>PERCENTRANK(CJ$2:INDEX($CJ:$CJ,LOOKUP(2,1/(ISNUMBER($A$2:$A$1048576)),ROW($A$2:$A$1048576))),CJ43)</f>
        <v/>
      </c>
      <c r="CL43" s="38">
        <f>sum(CJ43-CJ$106)/CJ$107</f>
        <v/>
      </c>
      <c r="CM43" s="9" t="n">
        <v>60.2</v>
      </c>
      <c r="CN43" s="9" t="n">
        <v>24.91</v>
      </c>
      <c r="CO43" s="9" t="n">
        <v>41.39</v>
      </c>
      <c r="CP43" s="9" t="n">
        <v>1.43</v>
      </c>
      <c r="CQ43" s="9" t="n">
        <v>1.31</v>
      </c>
      <c r="CR43" s="9" t="n">
        <v>8.890000000000001</v>
      </c>
      <c r="CS43" s="33">
        <f>PERCENTRANK(CR$2:INDEX($CR:$CR,LOOKUP(2,1/(ISNUMBER($A$2:$A$1048576)),ROW($A$2:$A$1048576))),CR43)</f>
        <v/>
      </c>
      <c r="CT43" s="39">
        <f>1-(CR43-CR$106)/CR$107</f>
        <v/>
      </c>
      <c r="CU43" s="9" t="n">
        <v>3.51</v>
      </c>
      <c r="CV43" s="33">
        <f>PERCENTRANK(CU$2:INDEX($CU:$CU,LOOKUP(2,1/(ISNUMBER($A$2:$A$1048576)),ROW($A$2:$A$1048576))),CU43)</f>
        <v/>
      </c>
      <c r="CW43" s="39">
        <f>1-(CU43-CU$106)/CU$107</f>
        <v/>
      </c>
      <c r="CX43" s="9" t="n">
        <v>39.55</v>
      </c>
      <c r="CY43" s="9" t="n">
        <v>55.83</v>
      </c>
      <c r="CZ43" s="9" t="n">
        <v>34.43</v>
      </c>
      <c r="DA43" s="9" t="n">
        <v>61.67</v>
      </c>
      <c r="DB43" s="9" t="n">
        <v>35.57</v>
      </c>
      <c r="DC43" s="9" t="n">
        <v>15.37</v>
      </c>
      <c r="DD43" s="9" t="n">
        <v>43.21</v>
      </c>
      <c r="DE43" s="9" t="n">
        <v>3.23</v>
      </c>
      <c r="DF43" s="9" t="n">
        <v>1.71</v>
      </c>
      <c r="DG43" s="9" t="n">
        <v>53.1</v>
      </c>
      <c r="DH43" s="9" t="n">
        <v>36.77</v>
      </c>
      <c r="DI43" s="33">
        <f>PERCENTRANK(DH$2:INDEX($DH:$DH,LOOKUP(2,1/(ISNUMBER($A$2:$A$1048576)),ROW($A$2:$A$1048576))),DH43)</f>
        <v/>
      </c>
      <c r="DJ43" s="39">
        <f>SUM(DH43-DH$106)/DH$107</f>
        <v/>
      </c>
      <c r="DK43" s="9" t="n">
        <v>14.54</v>
      </c>
      <c r="DL43" s="9" t="n">
        <v>12.8</v>
      </c>
      <c r="DM43" s="9" t="n">
        <v>2.37</v>
      </c>
      <c r="DN43" s="9" t="n">
        <v>0.11</v>
      </c>
      <c r="DO43" s="9" t="n">
        <v>129.26</v>
      </c>
      <c r="DP43" s="9" t="n">
        <v>93.54000000000001</v>
      </c>
      <c r="DQ43" s="33">
        <f>PERCENTRANK(DP$2:INDEX($DP:$DP,LOOKUP(2,1/(ISNUMBER($A$2:$A$1048576)),ROW($A$2:$A$1048576))),DP43)</f>
        <v/>
      </c>
      <c r="DR43" s="40">
        <f>sum(DP43-DP$106)/DP$107</f>
        <v/>
      </c>
      <c r="DS43" s="9" t="n">
        <v>72.37</v>
      </c>
      <c r="DT43" s="9" t="n">
        <v>57.89</v>
      </c>
      <c r="DU43" s="9" t="n">
        <v>54.29</v>
      </c>
      <c r="DV43" s="9" t="n">
        <v>93.78</v>
      </c>
      <c r="DW43" s="9" t="n">
        <v>140.51</v>
      </c>
      <c r="DX43" s="9" t="n">
        <v>125.31</v>
      </c>
      <c r="DY43" s="9" t="n">
        <v>89.18000000000001</v>
      </c>
      <c r="DZ43" s="9" t="n">
        <v>39.94</v>
      </c>
      <c r="EA43" s="9" t="n">
        <v>21.06</v>
      </c>
      <c r="EB43" s="9" t="n">
        <v>52.72</v>
      </c>
      <c r="EC43" s="9" t="n">
        <v>45.97</v>
      </c>
      <c r="ED43" s="9" t="n">
        <v>30.77</v>
      </c>
      <c r="EE43" s="33">
        <f>PERCENTRANK(ED$2:INDEX($ED:$ED,LOOKUP(2,1/(ISNUMBER($A$2:$A$1048576)),ROW($A$2:$A$1048576))),ED43)</f>
        <v/>
      </c>
      <c r="EF43" s="40">
        <f>sum(ED43-ED$106)/ED$107</f>
        <v/>
      </c>
      <c r="EG43" s="9" t="n">
        <v>66.94</v>
      </c>
      <c r="EH43" s="9" t="n">
        <v>64.2</v>
      </c>
      <c r="EI43" s="9" t="n">
        <v>45.77</v>
      </c>
      <c r="EJ43" s="33">
        <f>PERCENTRANK(EI$2:INDEX($EI:$EI,LOOKUP(2,1/(ISNUMBER($A$2:$A$1048576)),ROW($A$2:$A$1048576))),EI43)</f>
        <v/>
      </c>
      <c r="EK43" s="40">
        <f>sum(EI43-EI$106)/EI$107</f>
        <v/>
      </c>
      <c r="EL43" s="9" t="n">
        <v>71.3</v>
      </c>
      <c r="EM43" s="9" t="n">
        <v>2.11</v>
      </c>
      <c r="EN43" s="9" t="n">
        <v>0.86</v>
      </c>
      <c r="EO43" s="9" t="n">
        <v>40.54</v>
      </c>
      <c r="EP43" s="9" t="n">
        <v>18.66</v>
      </c>
      <c r="EQ43" s="9" t="n">
        <v>15.26</v>
      </c>
      <c r="ER43" s="9" t="n">
        <v>81.78</v>
      </c>
      <c r="ES43" s="9" t="n">
        <v>7.54</v>
      </c>
      <c r="ET43" s="9" t="n">
        <v>15.99</v>
      </c>
      <c r="EU43" s="9" t="n">
        <v>3.84</v>
      </c>
      <c r="EV43" s="9" t="n">
        <v>11.12</v>
      </c>
      <c r="EW43" s="9" t="n">
        <v>18.36</v>
      </c>
      <c r="EX43" s="33">
        <f>PERCENTRANK(EW$2:INDEX($EW:$EW,LOOKUP(2,1/(ISNUMBER($A$2:$A$1048576)),ROW($A$2:$A$1048576))),EW43)</f>
        <v/>
      </c>
      <c r="EY43" s="38">
        <f>1-(EW43-EW$106)/EW$107</f>
        <v/>
      </c>
      <c r="EZ43" s="9" t="n">
        <v>19.76</v>
      </c>
      <c r="FA43" s="9" t="n">
        <v>13.52</v>
      </c>
      <c r="FB43" s="33">
        <f>PERCENTRANK(FA$2:INDEX($FA:$FA,LOOKUP(2,1/(ISNUMBER($A$2:$A$1048576)),ROW($A$2:$A$1048576))),FA43)</f>
        <v/>
      </c>
      <c r="FC43" s="39">
        <f>1-(FA43-FA$106)/FA$107</f>
        <v/>
      </c>
      <c r="FD43" s="9" t="n">
        <v>1.31</v>
      </c>
      <c r="FE43" s="9" t="n">
        <v>1.05</v>
      </c>
      <c r="FF43" s="33">
        <f>PERCENTRANK(FE$2:INDEX($FE:$FE,LOOKUP(2,1/(ISNUMBER($A$2:$A$1048576)),ROW($A$2:$A$1048576))),FE43)</f>
        <v/>
      </c>
      <c r="FG43" s="39">
        <f>1-(FE43-FE$106)/FE$107</f>
        <v/>
      </c>
      <c r="FH43" s="9" t="n">
        <v>8.890000000000001</v>
      </c>
      <c r="FI43" s="9" t="n">
        <v>3.26</v>
      </c>
      <c r="FJ43" s="9" t="n">
        <v>36.66</v>
      </c>
      <c r="FK43" s="9" t="n">
        <v>439.34</v>
      </c>
      <c r="FL43" s="33">
        <f>PERCENTRANK(FK$2:INDEX($FK:$FK,LOOKUP(2,1/(ISNUMBER($A$2:$A$1048576)),ROW($A$2:$A$1048576))),FK43)</f>
        <v/>
      </c>
      <c r="FM43" s="39">
        <f>SWA42-(FK43-FK$106)/FK$107</f>
        <v/>
      </c>
      <c r="FN43" s="9" t="n">
        <v>365.57</v>
      </c>
      <c r="FO43" s="9" t="n">
        <v>83.20999999999999</v>
      </c>
      <c r="FP43" s="9" t="n">
        <v>53.46</v>
      </c>
      <c r="FQ43" s="9" t="n">
        <v>99.89</v>
      </c>
      <c r="FR43" s="9" t="n">
        <v>17.46</v>
      </c>
      <c r="FS43" s="9" t="n">
        <v>34.23</v>
      </c>
      <c r="FT43" s="9" t="n">
        <v>48.2</v>
      </c>
      <c r="FU43" s="9" t="n">
        <v>73.29000000000001</v>
      </c>
      <c r="FV43" s="9" t="n">
        <v>31.09</v>
      </c>
      <c r="FW43" s="9" t="n">
        <v>32.26</v>
      </c>
      <c r="FX43" s="9" t="n">
        <v>9.94</v>
      </c>
      <c r="FY43" s="9" t="n">
        <v>175.89</v>
      </c>
      <c r="FZ43" s="9" t="n">
        <v>84.23</v>
      </c>
      <c r="GA43" s="9" t="n">
        <v>47.89</v>
      </c>
      <c r="GB43" s="9" t="n">
        <v>4.06</v>
      </c>
      <c r="GC43" s="9" t="n">
        <v>1.34</v>
      </c>
      <c r="GD43" s="9" t="n">
        <v>33.1</v>
      </c>
      <c r="GE43" s="9" t="n">
        <v>26.63</v>
      </c>
      <c r="GF43" s="9" t="n">
        <v>5.31</v>
      </c>
      <c r="GG43" s="9" t="n">
        <v>19.96</v>
      </c>
      <c r="GH43" s="9" t="n">
        <v>0.46</v>
      </c>
      <c r="GI43" s="9" t="n">
        <v>0.2</v>
      </c>
      <c r="GJ43" s="9" t="n">
        <v>43.75</v>
      </c>
      <c r="GK43" s="9" t="n">
        <v>25.91</v>
      </c>
      <c r="GL43" s="9" t="n">
        <v>2.91</v>
      </c>
      <c r="GM43" s="9" t="n">
        <v>11.25</v>
      </c>
      <c r="GN43" s="9" t="n">
        <v>4.46</v>
      </c>
      <c r="GO43" s="9" t="n">
        <v>1.2</v>
      </c>
      <c r="GP43" s="9" t="n">
        <v>26.92</v>
      </c>
      <c r="GQ43" s="9" t="n">
        <v>2.06</v>
      </c>
      <c r="GR43" s="9" t="n">
        <v>0.37</v>
      </c>
      <c r="GS43" s="9" t="n">
        <v>18.06</v>
      </c>
      <c r="GT43" s="9" t="n">
        <v>0.14</v>
      </c>
      <c r="GU43" s="9" t="n">
        <v>0.14</v>
      </c>
      <c r="GV43" s="9" t="n">
        <v>100</v>
      </c>
      <c r="GW43" s="9" t="n">
        <v>12.34</v>
      </c>
      <c r="GX43" s="9" t="n">
        <v>3.71</v>
      </c>
      <c r="GY43" s="9" t="n">
        <v>30.09</v>
      </c>
      <c r="GZ43" s="9" t="n">
        <v>3.57</v>
      </c>
      <c r="HA43" s="9" t="n">
        <v>5.11</v>
      </c>
      <c r="HB43" s="9" t="n">
        <v>21.54</v>
      </c>
      <c r="HC43" s="9" t="n">
        <v>3.17</v>
      </c>
      <c r="HD43" s="9" t="n">
        <v>7.69</v>
      </c>
      <c r="HE43" s="9" t="n">
        <v>12.14</v>
      </c>
      <c r="HF43" s="9" t="n">
        <v>55.86</v>
      </c>
      <c r="HG43" s="9" t="n">
        <v>21.4</v>
      </c>
      <c r="HH43" s="9" t="n">
        <v>38.31</v>
      </c>
      <c r="HI43" s="9" t="n">
        <v>3.86</v>
      </c>
      <c r="HJ43" s="9" t="n">
        <v>1.6</v>
      </c>
      <c r="HK43" s="9" t="n">
        <v>11.6</v>
      </c>
      <c r="HL43" s="9" t="n">
        <v>4.34</v>
      </c>
      <c r="HM43" s="9" t="n">
        <v>37.44</v>
      </c>
      <c r="HN43" s="9" t="n">
        <v>60.17</v>
      </c>
      <c r="HO43" s="9" t="n">
        <v>35.26</v>
      </c>
      <c r="HP43" s="9" t="n">
        <v>58.59</v>
      </c>
      <c r="HQ43" s="9" t="n">
        <v>35.57</v>
      </c>
      <c r="HR43" s="9" t="n">
        <v>17.31</v>
      </c>
      <c r="HS43" s="9" t="n">
        <v>48.67</v>
      </c>
      <c r="HT43" s="9" t="n">
        <v>3.2</v>
      </c>
      <c r="HU43" s="9" t="n">
        <v>1.8</v>
      </c>
      <c r="HV43" s="9" t="n">
        <v>56.25</v>
      </c>
      <c r="HW43" s="9" t="n">
        <v>34.71</v>
      </c>
      <c r="HX43" s="9" t="n">
        <v>11.91</v>
      </c>
      <c r="HY43" s="9" t="n">
        <v>12.69</v>
      </c>
      <c r="HZ43" s="9" t="n">
        <v>2.29</v>
      </c>
      <c r="IA43" s="9" t="n">
        <v>0.06</v>
      </c>
      <c r="IB43" s="9" t="n">
        <v>144.86</v>
      </c>
      <c r="IC43" s="9" t="n">
        <v>102.34</v>
      </c>
      <c r="ID43" s="9" t="n">
        <v>70.65000000000001</v>
      </c>
      <c r="IE43" s="9" t="n">
        <v>64.63</v>
      </c>
      <c r="IF43" s="9" t="n">
        <v>60.86</v>
      </c>
      <c r="IG43" s="9" t="n">
        <v>94.16</v>
      </c>
      <c r="IH43" s="9" t="n">
        <v>175.17</v>
      </c>
      <c r="II43" s="9" t="n">
        <v>157.97</v>
      </c>
      <c r="IJ43" s="9" t="n">
        <v>90.18000000000001</v>
      </c>
      <c r="IK43" s="9" t="n">
        <v>49.91</v>
      </c>
      <c r="IL43" s="9" t="n">
        <v>24.6</v>
      </c>
      <c r="IM43" s="9" t="n">
        <v>49.28</v>
      </c>
      <c r="IN43" s="9" t="n">
        <v>59.54</v>
      </c>
      <c r="IO43" s="9" t="n">
        <v>36.91</v>
      </c>
      <c r="IP43" s="9" t="n">
        <v>62</v>
      </c>
      <c r="IQ43" s="9" t="n">
        <v>71.56999999999999</v>
      </c>
      <c r="IR43" s="9" t="n">
        <v>49.69</v>
      </c>
      <c r="IS43" s="9" t="n">
        <v>69.42</v>
      </c>
      <c r="IT43" s="33">
        <f>PERCENTRANK(IS$2:INDEX($IS:$IS,LOOKUP(2,1/(ISNUMBER($A$2:$A$1048576)),ROW($A$2:$A$1048576))),IS43)</f>
        <v/>
      </c>
      <c r="IU43" s="39">
        <f>1-(IS43-IS$106)/IS$107</f>
        <v/>
      </c>
      <c r="IV43" s="9" t="n">
        <v>2.43</v>
      </c>
      <c r="IW43" s="9" t="n">
        <v>0.74</v>
      </c>
      <c r="IX43" s="9" t="n">
        <v>30.59</v>
      </c>
      <c r="IY43" s="9" t="n">
        <v>19.71</v>
      </c>
      <c r="IZ43" s="9" t="n">
        <v>18.63</v>
      </c>
      <c r="JA43" s="9" t="n">
        <v>94.48999999999999</v>
      </c>
      <c r="JB43" s="9" t="n">
        <v>8.31</v>
      </c>
      <c r="JC43" s="9" t="n">
        <v>16.21</v>
      </c>
      <c r="JD43" s="9" t="n">
        <v>4.43</v>
      </c>
      <c r="JE43" s="9" t="n">
        <v>11.9</v>
      </c>
      <c r="JF43" s="9" t="n">
        <v>18.91</v>
      </c>
      <c r="JG43" s="9" t="n">
        <v>20.44</v>
      </c>
      <c r="JH43" s="9" t="n">
        <v>11.77</v>
      </c>
    </row>
    <row r="44">
      <c r="A44" s="12" t="n">
        <v>2025</v>
      </c>
      <c r="B44" s="31" t="inlineStr">
        <is>
          <t>Detroit City</t>
        </is>
      </c>
      <c r="C44" s="12" t="n">
        <v>37</v>
      </c>
      <c r="D44" s="5">
        <f>(C44-AVERAGE($C$2:INDEX($C:$C,LOOKUP(2,1/(ISNUMBER($A$2:$A$1048576)),ROW($A$2:$A$1048576)))))/_xlfn.STDEV.P($C$2:INDEX($C:$C,LOOKUP(2,1/(ISNUMBER($A$2:$A$1048576)),ROW($A$2:$A$1048576))))</f>
        <v/>
      </c>
      <c r="E44" s="12" t="n">
        <v>8</v>
      </c>
      <c r="F44" s="6">
        <f>-E44</f>
        <v/>
      </c>
      <c r="G44" s="7">
        <f>(F44-AVERAGE($F$2:INDEX($F:$F,LOOKUP(2,1/(ISNUMBER($A$2:$A$1048576)),ROW($A$2:$A$1048576)))))/_xlfn.STDEV.P($F$2:INDEX($F:$F,LOOKUP(2,1/(ISNUMBER($A$2:$A$1048576)),ROW($A$2:$A$1048576))))</f>
        <v/>
      </c>
      <c r="H44" s="32">
        <f>sum(0.5*D44)+(0.5*G44)</f>
        <v/>
      </c>
      <c r="I44" s="12" t="inlineStr">
        <is>
          <t>East</t>
        </is>
      </c>
      <c r="J44" s="10">
        <f>sum(L44*L$105)+(N44*N$105)+(P44*P$105)+(T44*R$105)</f>
        <v/>
      </c>
      <c r="K44" s="33">
        <f>PERCENTRANK(J$2:INDEX($J:$J,LOOKUP(2,1/(ISNUMBER($A$2:$A$1048576)),ROW($A$2:$A$1048576))),J44)</f>
        <v/>
      </c>
      <c r="L44" s="10">
        <f>sum(AA44*0.66)+(AD44*0.55)+(AG44*0.59)+(CG44*0.51)+(CL44*0.6)+(EY44*0.31)</f>
        <v/>
      </c>
      <c r="M44" s="33">
        <f>PERCENTRANK(L$2:INDEX($L:$L,LOOKUP(2,1/(ISNUMBER($A$2:$A$1048576)),ROW($A$2:$A$1048576))),L44)</f>
        <v/>
      </c>
      <c r="N44" s="10">
        <f>sum(CT44*0.57)+(CW44*0.71)+(DJ44*0.08)+(FC44*0.33)+(FG44*0.69)+(FM44*0.26)+(IU44*0.54)+(AU44*0.4)</f>
        <v/>
      </c>
      <c r="O44" s="33">
        <f>PERCENTRANK(N$2:INDEX($N:$N,LOOKUP(2,1/(ISNUMBER($A$2:$A$1048576)),ROW($A$2:$A$1048576))),N44)</f>
        <v/>
      </c>
      <c r="P44" s="10">
        <f>sum(BG44*0.51)+(CD44*0.51)+(DR44*0.11)+(EF44*0.42)+(EK44*0.44)+(W44*0.6)</f>
        <v/>
      </c>
      <c r="Q44" s="33">
        <f>PERCENTRANK(P$2:INDEX($P:$P,LOOKUP(2,1/(ISNUMBER($A$2:$A$1048576)),ROW($A$2:$A$1048576))),P44)</f>
        <v/>
      </c>
      <c r="R44" s="10">
        <f>sum(Y44-FE44)</f>
        <v/>
      </c>
      <c r="S44" s="33">
        <f>PERCENTRANK(R$2:INDEX($R:$R,LOOKUP(2,1/(ISNUMBER($A$2:$A$1048576)),ROW($A$2:$A$1048576))),R44)</f>
        <v/>
      </c>
      <c r="T44" s="34">
        <f>sum(R44-R$106)/R$107</f>
        <v/>
      </c>
      <c r="U44" s="35">
        <f>sum(Y44/AI44)*100</f>
        <v/>
      </c>
      <c r="V44" s="33">
        <f>PERCENTRANK(U$2:INDEX($U:$U,LOOKUP(2,1/(ISNUMBER($A$2:$A$1048576)),ROW($A$2:$A$1048576))),U44)</f>
        <v/>
      </c>
      <c r="W44" s="36">
        <f>sum(U44-U$106)/U$107</f>
        <v/>
      </c>
      <c r="X44" s="9" t="n">
        <v>1.06</v>
      </c>
      <c r="Y44" s="9" t="n">
        <v>0.91</v>
      </c>
      <c r="Z44" s="33">
        <f>PERCENTRANK(Y$2:INDEX($Y:$Y,LOOKUP(2,1/(ISNUMBER($A$2:$A$1048576)),ROW($A$2:$A$1048576))),Y44)</f>
        <v/>
      </c>
      <c r="AA44" s="37">
        <f>sum(Y44-Y$106)/Y$107</f>
        <v/>
      </c>
      <c r="AB44" s="9" t="n">
        <v>8.880000000000001</v>
      </c>
      <c r="AC44" s="33">
        <f>PERCENTRANK(AB$2:INDEX($AB:$AB,LOOKUP(2,1/(ISNUMBER($A$2:$A$1048576)),ROW($A$2:$A$1048576))),AB44)</f>
        <v/>
      </c>
      <c r="AD44" s="38">
        <f>sum(AB44-AB$106)/AB$107</f>
        <v/>
      </c>
      <c r="AE44" s="9" t="n">
        <v>3.16</v>
      </c>
      <c r="AF44" s="33">
        <f>PERCENTRANK(AE$2:INDEX($AE:$AE,LOOKUP(2,1/(ISNUMBER($A$2:$A$1048576)),ROW($A$2:$A$1048576))),AE44)</f>
        <v/>
      </c>
      <c r="AG44" s="38">
        <f>sum(AE44-AE$106)/AE$107</f>
        <v/>
      </c>
      <c r="AH44" s="9" t="n">
        <v>35.56</v>
      </c>
      <c r="AI44" s="9" t="n">
        <v>386.28</v>
      </c>
      <c r="AJ44" s="9" t="n">
        <v>313.25</v>
      </c>
      <c r="AK44" s="9" t="n">
        <v>81.09</v>
      </c>
      <c r="AL44" s="9" t="n">
        <v>52.57</v>
      </c>
      <c r="AM44" s="9" t="n">
        <v>112.13</v>
      </c>
      <c r="AN44" s="9" t="n">
        <v>20.91</v>
      </c>
      <c r="AO44" s="9" t="n">
        <v>40.5</v>
      </c>
      <c r="AP44" s="9" t="n">
        <v>50.72</v>
      </c>
      <c r="AQ44" s="9" t="n">
        <v>80.47</v>
      </c>
      <c r="AR44" s="9" t="n">
        <v>36.09</v>
      </c>
      <c r="AS44" s="9" t="n">
        <v>32.88</v>
      </c>
      <c r="AT44" s="33">
        <f>PERCENTRANK(AS$2:INDEX($AS:$AS,LOOKUP(2,1/(ISNUMBER($A$2:$A$1048576)),ROW($A$2:$A$1048576))),AS44)</f>
        <v/>
      </c>
      <c r="AU44" s="39">
        <f>SUM(AS44-AS$106)/AS$107</f>
        <v/>
      </c>
      <c r="AV44" s="9" t="n">
        <v>11.5</v>
      </c>
      <c r="AW44" s="33">
        <f>PERCENTRANK(AV$2:INDEX($AV:$AV,LOOKUP(2,1/(ISNUMBER($A$2:$A$1048576)),ROW($A$2:$A$1048576))),AV44)</f>
        <v/>
      </c>
      <c r="AX44" s="9" t="n">
        <v>199.47</v>
      </c>
      <c r="AY44" s="9" t="n">
        <v>95.06</v>
      </c>
      <c r="AZ44" s="9" t="n">
        <v>47.66</v>
      </c>
      <c r="BA44" s="9" t="n">
        <v>4.06</v>
      </c>
      <c r="BB44" s="9" t="n">
        <v>1.25</v>
      </c>
      <c r="BC44" s="9" t="n">
        <v>30.77</v>
      </c>
      <c r="BD44" s="9" t="n">
        <v>25.84</v>
      </c>
      <c r="BE44" s="9" t="n">
        <v>4.97</v>
      </c>
      <c r="BF44" s="33">
        <f>PERCENTRANK(BE$2:INDEX($BE:$BE,LOOKUP(2,1/(ISNUMBER($A$2:$A$1048576)),ROW($A$2:$A$1048576))),BE44)</f>
        <v/>
      </c>
      <c r="BG44" s="40">
        <f>sum(BE44-BE$106)/BE$107</f>
        <v/>
      </c>
      <c r="BH44" s="9" t="n">
        <v>19.23</v>
      </c>
      <c r="BI44" s="9" t="n">
        <v>0.5</v>
      </c>
      <c r="BJ44" s="9" t="n">
        <v>0.22</v>
      </c>
      <c r="BK44" s="9" t="n">
        <v>43.75</v>
      </c>
      <c r="BL44" s="9" t="n">
        <v>28.25</v>
      </c>
      <c r="BM44" s="9" t="n">
        <v>3.09</v>
      </c>
      <c r="BN44" s="9" t="n">
        <v>10.95</v>
      </c>
      <c r="BO44" s="9" t="n">
        <v>3.91</v>
      </c>
      <c r="BP44" s="9" t="n">
        <v>0.97</v>
      </c>
      <c r="BQ44" s="9" t="n">
        <v>24.8</v>
      </c>
      <c r="BR44" s="9" t="n">
        <v>2.72</v>
      </c>
      <c r="BS44" s="9" t="n">
        <v>0.41</v>
      </c>
      <c r="BT44" s="9" t="n">
        <v>14.94</v>
      </c>
      <c r="BU44" s="9" t="n">
        <v>0.06</v>
      </c>
      <c r="BV44" s="9" t="n">
        <v>0.03</v>
      </c>
      <c r="BW44" s="9" t="n">
        <v>50</v>
      </c>
      <c r="BX44" s="9" t="n">
        <v>13.66</v>
      </c>
      <c r="BY44" s="9" t="n">
        <v>4.63</v>
      </c>
      <c r="BZ44" s="9" t="n">
        <v>33.87</v>
      </c>
      <c r="CA44" s="9" t="n">
        <v>4.41</v>
      </c>
      <c r="CB44" s="9" t="n">
        <v>5.38</v>
      </c>
      <c r="CC44" s="33">
        <f>PERCENTRANK(CD$2:INDEX($CD:$CD,LOOKUP(2,1/(ISNUMBER($A$2:$A$1048576)),ROW($A$2:$A$1048576))),CD44)</f>
        <v/>
      </c>
      <c r="CD44" s="40">
        <f>sum(CB44-CB$106)/CB$107</f>
        <v/>
      </c>
      <c r="CE44" s="9" t="n">
        <v>21.69</v>
      </c>
      <c r="CF44" s="33">
        <f>PERCENTRANK(CE$2:INDEX($CE:$CE,LOOKUP(2,1/(ISNUMBER($A$2:$A$1048576)),ROW($A$2:$A$1048576))),CE44)</f>
        <v/>
      </c>
      <c r="CG44" s="38">
        <f>sum(CE44-CE$106)/CE$107</f>
        <v/>
      </c>
      <c r="CH44" s="9" t="n">
        <v>3.38</v>
      </c>
      <c r="CI44" s="9" t="n">
        <v>8.59</v>
      </c>
      <c r="CJ44" s="9" t="n">
        <v>13.78</v>
      </c>
      <c r="CK44" s="33">
        <f>PERCENTRANK(CJ$2:INDEX($CJ:$CJ,LOOKUP(2,1/(ISNUMBER($A$2:$A$1048576)),ROW($A$2:$A$1048576))),CJ44)</f>
        <v/>
      </c>
      <c r="CL44" s="38">
        <f>sum(CJ44-CJ$106)/CJ$107</f>
        <v/>
      </c>
      <c r="CM44" s="9" t="n">
        <v>68.03</v>
      </c>
      <c r="CN44" s="9" t="n">
        <v>27.81</v>
      </c>
      <c r="CO44" s="9" t="n">
        <v>40.88</v>
      </c>
      <c r="CP44" s="9" t="n">
        <v>1.41</v>
      </c>
      <c r="CQ44" s="9" t="n">
        <v>1.09</v>
      </c>
      <c r="CR44" s="9" t="n">
        <v>9.06</v>
      </c>
      <c r="CS44" s="33">
        <f>PERCENTRANK(CR$2:INDEX($CR:$CR,LOOKUP(2,1/(ISNUMBER($A$2:$A$1048576)),ROW($A$2:$A$1048576))),CR44)</f>
        <v/>
      </c>
      <c r="CT44" s="39">
        <f>1-(CR44-CR$106)/CR$107</f>
        <v/>
      </c>
      <c r="CU44" s="9" t="n">
        <v>3</v>
      </c>
      <c r="CV44" s="33">
        <f>PERCENTRANK(CU$2:INDEX($CU:$CU,LOOKUP(2,1/(ISNUMBER($A$2:$A$1048576)),ROW($A$2:$A$1048576))),CU44)</f>
        <v/>
      </c>
      <c r="CW44" s="39">
        <f>1-(CU44-CU$106)/CU$107</f>
        <v/>
      </c>
      <c r="CX44" s="9" t="n">
        <v>33.1</v>
      </c>
      <c r="CY44" s="9" t="n">
        <v>59.44</v>
      </c>
      <c r="CZ44" s="9" t="n">
        <v>35.78</v>
      </c>
      <c r="DA44" s="9" t="n">
        <v>60.2</v>
      </c>
      <c r="DB44" s="9" t="n">
        <v>45.34</v>
      </c>
      <c r="DC44" s="9" t="n">
        <v>20.72</v>
      </c>
      <c r="DD44" s="9" t="n">
        <v>45.69</v>
      </c>
      <c r="DE44" s="9" t="n">
        <v>1.97</v>
      </c>
      <c r="DF44" s="9" t="n">
        <v>1.03</v>
      </c>
      <c r="DG44" s="9" t="n">
        <v>52.38</v>
      </c>
      <c r="DH44" s="9" t="n">
        <v>35.97</v>
      </c>
      <c r="DI44" s="33">
        <f>PERCENTRANK(DH$2:INDEX($DH:$DH,LOOKUP(2,1/(ISNUMBER($A$2:$A$1048576)),ROW($A$2:$A$1048576))),DH44)</f>
        <v/>
      </c>
      <c r="DJ44" s="39">
        <f>SUM(DH44-DH$106)/DH$107</f>
        <v/>
      </c>
      <c r="DK44" s="9" t="n">
        <v>12.94</v>
      </c>
      <c r="DL44" s="9" t="n">
        <v>14.16</v>
      </c>
      <c r="DM44" s="9" t="n">
        <v>1.97</v>
      </c>
      <c r="DN44" s="9" t="n">
        <v>0</v>
      </c>
      <c r="DO44" s="9" t="n">
        <v>139.09</v>
      </c>
      <c r="DP44" s="9" t="n">
        <v>96.41</v>
      </c>
      <c r="DQ44" s="33">
        <f>PERCENTRANK(DP$2:INDEX($DP:$DP,LOOKUP(2,1/(ISNUMBER($A$2:$A$1048576)),ROW($A$2:$A$1048576))),DP44)</f>
        <v/>
      </c>
      <c r="DR44" s="40">
        <f>sum(DP44-DP$106)/DP$107</f>
        <v/>
      </c>
      <c r="DS44" s="9" t="n">
        <v>69.31</v>
      </c>
      <c r="DT44" s="9" t="n">
        <v>60.41</v>
      </c>
      <c r="DU44" s="9" t="n">
        <v>56.44</v>
      </c>
      <c r="DV44" s="9" t="n">
        <v>93.43000000000001</v>
      </c>
      <c r="DW44" s="9" t="n">
        <v>132.81</v>
      </c>
      <c r="DX44" s="9" t="n">
        <v>117.16</v>
      </c>
      <c r="DY44" s="9" t="n">
        <v>88.20999999999999</v>
      </c>
      <c r="DZ44" s="9" t="n">
        <v>48.03</v>
      </c>
      <c r="EA44" s="9" t="n">
        <v>25.06</v>
      </c>
      <c r="EB44" s="9" t="n">
        <v>52.18</v>
      </c>
      <c r="EC44" s="9" t="n">
        <v>51.78</v>
      </c>
      <c r="ED44" s="9" t="n">
        <v>33</v>
      </c>
      <c r="EE44" s="33">
        <f>PERCENTRANK(ED$2:INDEX($ED:$ED,LOOKUP(2,1/(ISNUMBER($A$2:$A$1048576)),ROW($A$2:$A$1048576))),ED44)</f>
        <v/>
      </c>
      <c r="EF44" s="40">
        <f>sum(ED44-ED$106)/ED$107</f>
        <v/>
      </c>
      <c r="EG44" s="9" t="n">
        <v>63.73</v>
      </c>
      <c r="EH44" s="9" t="n">
        <v>69.31</v>
      </c>
      <c r="EI44" s="9" t="n">
        <v>47.53</v>
      </c>
      <c r="EJ44" s="33">
        <f>PERCENTRANK(EI$2:INDEX($EI:$EI,LOOKUP(2,1/(ISNUMBER($A$2:$A$1048576)),ROW($A$2:$A$1048576))),EI44)</f>
        <v/>
      </c>
      <c r="EK44" s="40">
        <f>sum(EI44-EI$106)/EI$107</f>
        <v/>
      </c>
      <c r="EL44" s="9" t="n">
        <v>68.58</v>
      </c>
      <c r="EM44" s="9" t="n">
        <v>0.66</v>
      </c>
      <c r="EN44" s="9" t="n">
        <v>0.16</v>
      </c>
      <c r="EO44" s="9" t="n">
        <v>23.81</v>
      </c>
      <c r="EP44" s="9" t="n">
        <v>22.13</v>
      </c>
      <c r="EQ44" s="9" t="n">
        <v>19.56</v>
      </c>
      <c r="ER44" s="9" t="n">
        <v>88.42</v>
      </c>
      <c r="ES44" s="9" t="n">
        <v>7.75</v>
      </c>
      <c r="ET44" s="9" t="n">
        <v>15.27</v>
      </c>
      <c r="EU44" s="9" t="n">
        <v>3.77</v>
      </c>
      <c r="EV44" s="9" t="n">
        <v>12.72</v>
      </c>
      <c r="EW44" s="9" t="n">
        <v>18.64</v>
      </c>
      <c r="EX44" s="33">
        <f>PERCENTRANK(EW$2:INDEX($EW:$EW,LOOKUP(2,1/(ISNUMBER($A$2:$A$1048576)),ROW($A$2:$A$1048576))),EW44)</f>
        <v/>
      </c>
      <c r="EY44" s="38">
        <f>1-(EW44-EW$106)/EW$107</f>
        <v/>
      </c>
      <c r="EZ44" s="9" t="n">
        <v>19.97</v>
      </c>
      <c r="FA44" s="9" t="n">
        <v>10.21</v>
      </c>
      <c r="FB44" s="33">
        <f>PERCENTRANK(FA$2:INDEX($FA:$FA,LOOKUP(2,1/(ISNUMBER($A$2:$A$1048576)),ROW($A$2:$A$1048576))),FA44)</f>
        <v/>
      </c>
      <c r="FC44" s="39">
        <f>1-(FA44-FA$106)/FA$107</f>
        <v/>
      </c>
      <c r="FD44" s="9" t="n">
        <v>1.09</v>
      </c>
      <c r="FE44" s="9" t="n">
        <v>1.06</v>
      </c>
      <c r="FF44" s="33">
        <f>PERCENTRANK(FE$2:INDEX($FE:$FE,LOOKUP(2,1/(ISNUMBER($A$2:$A$1048576)),ROW($A$2:$A$1048576))),FE44)</f>
        <v/>
      </c>
      <c r="FG44" s="39">
        <f>1-(FE44-FE$106)/FE$107</f>
        <v/>
      </c>
      <c r="FH44" s="9" t="n">
        <v>9.06</v>
      </c>
      <c r="FI44" s="9" t="n">
        <v>2.88</v>
      </c>
      <c r="FJ44" s="9" t="n">
        <v>31.72</v>
      </c>
      <c r="FK44" s="9" t="n">
        <v>366.59</v>
      </c>
      <c r="FL44" s="33">
        <f>PERCENTRANK(FK$2:INDEX($FK:$FK,LOOKUP(2,1/(ISNUMBER($A$2:$A$1048576)),ROW($A$2:$A$1048576))),FK44)</f>
        <v/>
      </c>
      <c r="FM44" s="39">
        <f>SWA43-(FK44-FK$106)/FK$107</f>
        <v/>
      </c>
      <c r="FN44" s="9" t="n">
        <v>295.72</v>
      </c>
      <c r="FO44" s="9" t="n">
        <v>80.67</v>
      </c>
      <c r="FP44" s="9" t="n">
        <v>47.43</v>
      </c>
      <c r="FQ44" s="9" t="n">
        <v>109</v>
      </c>
      <c r="FR44" s="9" t="n">
        <v>20.75</v>
      </c>
      <c r="FS44" s="9" t="n">
        <v>38.03</v>
      </c>
      <c r="FT44" s="9" t="n">
        <v>50.22</v>
      </c>
      <c r="FU44" s="9" t="n">
        <v>79.25</v>
      </c>
      <c r="FV44" s="9" t="n">
        <v>35.56</v>
      </c>
      <c r="FW44" s="9" t="n">
        <v>31.25</v>
      </c>
      <c r="FX44" s="9" t="n">
        <v>12.44</v>
      </c>
      <c r="FY44" s="9" t="n">
        <v>199.47</v>
      </c>
      <c r="FZ44" s="9" t="n">
        <v>94.69</v>
      </c>
      <c r="GA44" s="9" t="n">
        <v>47.47</v>
      </c>
      <c r="GB44" s="9" t="n">
        <v>3.88</v>
      </c>
      <c r="GC44" s="9" t="n">
        <v>0.78</v>
      </c>
      <c r="GD44" s="9" t="n">
        <v>20.16</v>
      </c>
      <c r="GE44" s="9" t="n">
        <v>25.84</v>
      </c>
      <c r="GF44" s="9" t="n">
        <v>6.22</v>
      </c>
      <c r="GG44" s="9" t="n">
        <v>24.06</v>
      </c>
      <c r="GH44" s="9" t="n">
        <v>0.5</v>
      </c>
      <c r="GI44" s="9" t="n">
        <v>0.19</v>
      </c>
      <c r="GJ44" s="9" t="n">
        <v>37.5</v>
      </c>
      <c r="GK44" s="9" t="n">
        <v>26</v>
      </c>
      <c r="GL44" s="9" t="n">
        <v>2.22</v>
      </c>
      <c r="GM44" s="9" t="n">
        <v>8.529999999999999</v>
      </c>
      <c r="GN44" s="9" t="n">
        <v>3.72</v>
      </c>
      <c r="GO44" s="9" t="n">
        <v>0.88</v>
      </c>
      <c r="GP44" s="9" t="n">
        <v>23.53</v>
      </c>
      <c r="GQ44" s="9" t="n">
        <v>3.28</v>
      </c>
      <c r="GR44" s="9" t="n">
        <v>0.63</v>
      </c>
      <c r="GS44" s="9" t="n">
        <v>19.05</v>
      </c>
      <c r="GT44" s="9" t="n">
        <v>0.13</v>
      </c>
      <c r="GU44" s="9" t="n">
        <v>0.09</v>
      </c>
      <c r="GV44" s="9" t="n">
        <v>75</v>
      </c>
      <c r="GW44" s="9" t="n">
        <v>13</v>
      </c>
      <c r="GX44" s="9" t="n">
        <v>4.25</v>
      </c>
      <c r="GY44" s="9" t="n">
        <v>32.69</v>
      </c>
      <c r="GZ44" s="9" t="n">
        <v>4.56</v>
      </c>
      <c r="HA44" s="9" t="n">
        <v>5.28</v>
      </c>
      <c r="HB44" s="9" t="n">
        <v>20.81</v>
      </c>
      <c r="HC44" s="9" t="n">
        <v>2.66</v>
      </c>
      <c r="HD44" s="9" t="n">
        <v>8.31</v>
      </c>
      <c r="HE44" s="9" t="n">
        <v>13.38</v>
      </c>
      <c r="HF44" s="9" t="n">
        <v>59.41</v>
      </c>
      <c r="HG44" s="9" t="n">
        <v>23.63</v>
      </c>
      <c r="HH44" s="9" t="n">
        <v>39.77</v>
      </c>
      <c r="HI44" s="9" t="n">
        <v>1.41</v>
      </c>
      <c r="HJ44" s="9" t="n">
        <v>1.06</v>
      </c>
      <c r="HK44" s="9" t="n">
        <v>8.880000000000001</v>
      </c>
      <c r="HL44" s="9" t="n">
        <v>3.38</v>
      </c>
      <c r="HM44" s="9" t="n">
        <v>38.03</v>
      </c>
      <c r="HN44" s="9" t="n">
        <v>68.06</v>
      </c>
      <c r="HO44" s="9" t="n">
        <v>40.22</v>
      </c>
      <c r="HP44" s="9" t="n">
        <v>59.09</v>
      </c>
      <c r="HQ44" s="9" t="n">
        <v>45.34</v>
      </c>
      <c r="HR44" s="9" t="n">
        <v>20.25</v>
      </c>
      <c r="HS44" s="9" t="n">
        <v>44.66</v>
      </c>
      <c r="HT44" s="9" t="n">
        <v>2.28</v>
      </c>
      <c r="HU44" s="9" t="n">
        <v>1</v>
      </c>
      <c r="HV44" s="9" t="n">
        <v>43.84</v>
      </c>
      <c r="HW44" s="9" t="n">
        <v>35.94</v>
      </c>
      <c r="HX44" s="9" t="n">
        <v>14.38</v>
      </c>
      <c r="HY44" s="9" t="n">
        <v>17.09</v>
      </c>
      <c r="HZ44" s="9" t="n">
        <v>2.59</v>
      </c>
      <c r="IA44" s="9" t="n">
        <v>0.19</v>
      </c>
      <c r="IB44" s="9" t="n">
        <v>129</v>
      </c>
      <c r="IC44" s="9" t="n">
        <v>90</v>
      </c>
      <c r="ID44" s="9" t="n">
        <v>69.77</v>
      </c>
      <c r="IE44" s="9" t="n">
        <v>54.5</v>
      </c>
      <c r="IF44" s="9" t="n">
        <v>49.94</v>
      </c>
      <c r="IG44" s="9" t="n">
        <v>91.63</v>
      </c>
      <c r="IH44" s="9" t="n">
        <v>133.16</v>
      </c>
      <c r="II44" s="9" t="n">
        <v>116.88</v>
      </c>
      <c r="IJ44" s="9" t="n">
        <v>87.77</v>
      </c>
      <c r="IK44" s="9" t="n">
        <v>48.97</v>
      </c>
      <c r="IL44" s="9" t="n">
        <v>26.28</v>
      </c>
      <c r="IM44" s="9" t="n">
        <v>53.67</v>
      </c>
      <c r="IN44" s="9" t="n">
        <v>51.09</v>
      </c>
      <c r="IO44" s="9" t="n">
        <v>32.34</v>
      </c>
      <c r="IP44" s="9" t="n">
        <v>63.3</v>
      </c>
      <c r="IQ44" s="9" t="n">
        <v>65.97</v>
      </c>
      <c r="IR44" s="9" t="n">
        <v>45.19</v>
      </c>
      <c r="IS44" s="9" t="n">
        <v>68.5</v>
      </c>
      <c r="IT44" s="33">
        <f>PERCENTRANK(IS$2:INDEX($IS:$IS,LOOKUP(2,1/(ISNUMBER($A$2:$A$1048576)),ROW($A$2:$A$1048576))),IS44)</f>
        <v/>
      </c>
      <c r="IU44" s="39">
        <f>1-(IS44-IS$106)/IS$107</f>
        <v/>
      </c>
      <c r="IV44" s="9" t="n">
        <v>0.59</v>
      </c>
      <c r="IW44" s="9" t="n">
        <v>0.31</v>
      </c>
      <c r="IX44" s="9" t="n">
        <v>52.63</v>
      </c>
      <c r="IY44" s="9" t="n">
        <v>20.66</v>
      </c>
      <c r="IZ44" s="9" t="n">
        <v>17.44</v>
      </c>
      <c r="JA44" s="9" t="n">
        <v>84.42</v>
      </c>
      <c r="JB44" s="9" t="n">
        <v>8.029999999999999</v>
      </c>
      <c r="JC44" s="9" t="n">
        <v>15.9</v>
      </c>
      <c r="JD44" s="9" t="n">
        <v>3.6</v>
      </c>
      <c r="JE44" s="9" t="n">
        <v>14.15</v>
      </c>
      <c r="JF44" s="9" t="n">
        <v>18.24</v>
      </c>
      <c r="JG44" s="9" t="n">
        <v>20.56</v>
      </c>
      <c r="JH44" s="9" t="n">
        <v>9.119999999999999</v>
      </c>
    </row>
    <row r="45">
      <c r="A45" s="12" t="n">
        <v>2022</v>
      </c>
      <c r="B45" s="31" t="inlineStr">
        <is>
          <t>New Mexico United</t>
        </is>
      </c>
      <c r="C45" s="12" t="n">
        <v>51</v>
      </c>
      <c r="D45" s="5">
        <f>(C45-AVERAGE($C$2:INDEX($C:$C,LOOKUP(2,1/(ISNUMBER($A$2:$A$1048576)),ROW($A$2:$A$1048576)))))/_xlfn.STDEV.P($C$2:INDEX($C:$C,LOOKUP(2,1/(ISNUMBER($A$2:$A$1048576)),ROW($A$2:$A$1048576))))</f>
        <v/>
      </c>
      <c r="E45" s="12" t="n">
        <v>5</v>
      </c>
      <c r="F45" s="6">
        <f>-E45</f>
        <v/>
      </c>
      <c r="G45" s="7">
        <f>(F45-AVERAGE($F$2:INDEX($F:$F,LOOKUP(2,1/(ISNUMBER($A$2:$A$1048576)),ROW($A$2:$A$1048576)))))/_xlfn.STDEV.P($F$2:INDEX($F:$F,LOOKUP(2,1/(ISNUMBER($A$2:$A$1048576)),ROW($A$2:$A$1048576))))</f>
        <v/>
      </c>
      <c r="H45" s="32">
        <f>sum(0.5*D45)+(0.5*G45)</f>
        <v/>
      </c>
      <c r="I45" s="12" t="inlineStr">
        <is>
          <t>West</t>
        </is>
      </c>
      <c r="J45" s="10">
        <f>sum(L45*L$105)+(N45*N$105)+(P45*P$105)+(T45*R$105)</f>
        <v/>
      </c>
      <c r="K45" s="33">
        <f>PERCENTRANK(J$2:INDEX($J:$J,LOOKUP(2,1/(ISNUMBER($A$2:$A$1048576)),ROW($A$2:$A$1048576))),J45)</f>
        <v/>
      </c>
      <c r="L45" s="10">
        <f>sum(AA45*0.66)+(AD45*0.55)+(AG45*0.59)+(CG45*0.51)+(CL45*0.6)+(EY45*0.31)</f>
        <v/>
      </c>
      <c r="M45" s="33">
        <f>PERCENTRANK(L$2:INDEX($L:$L,LOOKUP(2,1/(ISNUMBER($A$2:$A$1048576)),ROW($A$2:$A$1048576))),L45)</f>
        <v/>
      </c>
      <c r="N45" s="10">
        <f>sum(CT45*0.57)+(CW45*0.71)+(DJ45*0.08)+(FC45*0.33)+(FG45*0.69)+(FM45*0.26)+(IU45*0.54)+(AU45*0.4)</f>
        <v/>
      </c>
      <c r="O45" s="33">
        <f>PERCENTRANK(N$2:INDEX($N:$N,LOOKUP(2,1/(ISNUMBER($A$2:$A$1048576)),ROW($A$2:$A$1048576))),N45)</f>
        <v/>
      </c>
      <c r="P45" s="10">
        <f>sum(BG45*0.51)+(CD45*0.51)+(DR45*0.11)+(EF45*0.42)+(EK45*0.44)+(W45*0.6)</f>
        <v/>
      </c>
      <c r="Q45" s="33">
        <f>PERCENTRANK(P$2:INDEX($P:$P,LOOKUP(2,1/(ISNUMBER($A$2:$A$1048576)),ROW($A$2:$A$1048576))),P45)</f>
        <v/>
      </c>
      <c r="R45" s="10">
        <f>sum(Y45-FE45)</f>
        <v/>
      </c>
      <c r="S45" s="33">
        <f>PERCENTRANK(R$2:INDEX($R:$R,LOOKUP(2,1/(ISNUMBER($A$2:$A$1048576)),ROW($A$2:$A$1048576))),R45)</f>
        <v/>
      </c>
      <c r="T45" s="34">
        <f>sum(R45-R$106)/R$107</f>
        <v/>
      </c>
      <c r="U45" s="35">
        <f>sum(Y45/AI45)*100</f>
        <v/>
      </c>
      <c r="V45" s="33">
        <f>PERCENTRANK(U$2:INDEX($U:$U,LOOKUP(2,1/(ISNUMBER($A$2:$A$1048576)),ROW($A$2:$A$1048576))),U45)</f>
        <v/>
      </c>
      <c r="W45" s="36">
        <f>sum(U45-U$106)/U$107</f>
        <v/>
      </c>
      <c r="X45" s="9" t="n">
        <v>1.4</v>
      </c>
      <c r="Y45" s="9" t="n">
        <v>1.39</v>
      </c>
      <c r="Z45" s="33">
        <f>PERCENTRANK(Y$2:INDEX($Y:$Y,LOOKUP(2,1/(ISNUMBER($A$2:$A$1048576)),ROW($A$2:$A$1048576))),Y45)</f>
        <v/>
      </c>
      <c r="AA45" s="37">
        <f>sum(Y45-Y$106)/Y$107</f>
        <v/>
      </c>
      <c r="AB45" s="9" t="n">
        <v>11.49</v>
      </c>
      <c r="AC45" s="33">
        <f>PERCENTRANK(AB$2:INDEX($AB:$AB,LOOKUP(2,1/(ISNUMBER($A$2:$A$1048576)),ROW($A$2:$A$1048576))),AB45)</f>
        <v/>
      </c>
      <c r="AD45" s="38">
        <f>sum(AB45-AB$106)/AB$107</f>
        <v/>
      </c>
      <c r="AE45" s="9" t="n">
        <v>3.89</v>
      </c>
      <c r="AF45" s="33">
        <f>PERCENTRANK(AE$2:INDEX($AE:$AE,LOOKUP(2,1/(ISNUMBER($A$2:$A$1048576)),ROW($A$2:$A$1048576))),AE45)</f>
        <v/>
      </c>
      <c r="AG45" s="38">
        <f>sum(AE45-AE$106)/AE$107</f>
        <v/>
      </c>
      <c r="AH45" s="9" t="n">
        <v>33.83</v>
      </c>
      <c r="AI45" s="9" t="n">
        <v>379.4</v>
      </c>
      <c r="AJ45" s="9" t="n">
        <v>303.03</v>
      </c>
      <c r="AK45" s="9" t="n">
        <v>79.87</v>
      </c>
      <c r="AL45" s="9" t="n">
        <v>50.1</v>
      </c>
      <c r="AM45" s="9" t="n">
        <v>109.23</v>
      </c>
      <c r="AN45" s="9" t="n">
        <v>18.31</v>
      </c>
      <c r="AO45" s="9" t="n">
        <v>38.63</v>
      </c>
      <c r="AP45" s="9" t="n">
        <v>52.29</v>
      </c>
      <c r="AQ45" s="9" t="n">
        <v>81.77</v>
      </c>
      <c r="AR45" s="9" t="n">
        <v>35.57</v>
      </c>
      <c r="AS45" s="9" t="n">
        <v>34.74</v>
      </c>
      <c r="AT45" s="33">
        <f>PERCENTRANK(AS$2:INDEX($AS:$AS,LOOKUP(2,1/(ISNUMBER($A$2:$A$1048576)),ROW($A$2:$A$1048576))),AS45)</f>
        <v/>
      </c>
      <c r="AU45" s="39">
        <f>SUM(AS45-AS$106)/AS$107</f>
        <v/>
      </c>
      <c r="AV45" s="9" t="n">
        <v>11.46</v>
      </c>
      <c r="AW45" s="33">
        <f>PERCENTRANK(AV$2:INDEX($AV:$AV,LOOKUP(2,1/(ISNUMBER($A$2:$A$1048576)),ROW($A$2:$A$1048576))),AV45)</f>
        <v/>
      </c>
      <c r="AX45" s="9" t="n">
        <v>205.14</v>
      </c>
      <c r="AY45" s="9" t="n">
        <v>100.71</v>
      </c>
      <c r="AZ45" s="9" t="n">
        <v>49.09</v>
      </c>
      <c r="BA45" s="9" t="n">
        <v>4.66</v>
      </c>
      <c r="BB45" s="9" t="n">
        <v>1.31</v>
      </c>
      <c r="BC45" s="9" t="n">
        <v>28.22</v>
      </c>
      <c r="BD45" s="9" t="n">
        <v>27.17</v>
      </c>
      <c r="BE45" s="9" t="n">
        <v>6.77</v>
      </c>
      <c r="BF45" s="33">
        <f>PERCENTRANK(BE$2:INDEX($BE:$BE,LOOKUP(2,1/(ISNUMBER($A$2:$A$1048576)),ROW($A$2:$A$1048576))),BE45)</f>
        <v/>
      </c>
      <c r="BG45" s="40">
        <f>sum(BE45-BE$106)/BE$107</f>
        <v/>
      </c>
      <c r="BH45" s="9" t="n">
        <v>24.92</v>
      </c>
      <c r="BI45" s="9" t="n">
        <v>1.6</v>
      </c>
      <c r="BJ45" s="9" t="n">
        <v>0.66</v>
      </c>
      <c r="BK45" s="9" t="n">
        <v>41.07</v>
      </c>
      <c r="BL45" s="9" t="n">
        <v>28.11</v>
      </c>
      <c r="BM45" s="9" t="n">
        <v>3.29</v>
      </c>
      <c r="BN45" s="9" t="n">
        <v>11.69</v>
      </c>
      <c r="BO45" s="9" t="n">
        <v>4.71</v>
      </c>
      <c r="BP45" s="9" t="n">
        <v>1.54</v>
      </c>
      <c r="BQ45" s="9" t="n">
        <v>32.73</v>
      </c>
      <c r="BR45" s="9" t="n">
        <v>3.26</v>
      </c>
      <c r="BS45" s="9" t="n">
        <v>0.49</v>
      </c>
      <c r="BT45" s="9" t="n">
        <v>14.91</v>
      </c>
      <c r="BU45" s="9" t="n">
        <v>0.26</v>
      </c>
      <c r="BV45" s="9" t="n">
        <v>0.2</v>
      </c>
      <c r="BW45" s="9" t="n">
        <v>77.78</v>
      </c>
      <c r="BX45" s="9" t="n">
        <v>14.03</v>
      </c>
      <c r="BY45" s="9" t="n">
        <v>4.49</v>
      </c>
      <c r="BZ45" s="9" t="n">
        <v>31.98</v>
      </c>
      <c r="CA45" s="9" t="n">
        <v>4.57</v>
      </c>
      <c r="CB45" s="9" t="n">
        <v>6.74</v>
      </c>
      <c r="CC45" s="33">
        <f>PERCENTRANK(CD$2:INDEX($CD:$CD,LOOKUP(2,1/(ISNUMBER($A$2:$A$1048576)),ROW($A$2:$A$1048576))),CD45)</f>
        <v/>
      </c>
      <c r="CD45" s="40">
        <f>sum(CB45-CB$106)/CB$107</f>
        <v/>
      </c>
      <c r="CE45" s="9" t="n">
        <v>24.17</v>
      </c>
      <c r="CF45" s="33">
        <f>PERCENTRANK(CE$2:INDEX($CE:$CE,LOOKUP(2,1/(ISNUMBER($A$2:$A$1048576)),ROW($A$2:$A$1048576))),CE45)</f>
        <v/>
      </c>
      <c r="CG45" s="38">
        <f>sum(CE45-CE$106)/CE$107</f>
        <v/>
      </c>
      <c r="CH45" s="9" t="n">
        <v>3.77</v>
      </c>
      <c r="CI45" s="9" t="n">
        <v>8.289999999999999</v>
      </c>
      <c r="CJ45" s="9" t="n">
        <v>16.09</v>
      </c>
      <c r="CK45" s="33">
        <f>PERCENTRANK(CJ$2:INDEX($CJ:$CJ,LOOKUP(2,1/(ISNUMBER($A$2:$A$1048576)),ROW($A$2:$A$1048576))),CJ45)</f>
        <v/>
      </c>
      <c r="CL45" s="38">
        <f>sum(CJ45-CJ$106)/CJ$107</f>
        <v/>
      </c>
      <c r="CM45" s="9" t="n">
        <v>61.74</v>
      </c>
      <c r="CN45" s="9" t="n">
        <v>27.29</v>
      </c>
      <c r="CO45" s="9" t="n">
        <v>44.19</v>
      </c>
      <c r="CP45" s="9" t="n">
        <v>2.2</v>
      </c>
      <c r="CQ45" s="9" t="n">
        <v>1.2</v>
      </c>
      <c r="CR45" s="9" t="n">
        <v>9.51</v>
      </c>
      <c r="CS45" s="33">
        <f>PERCENTRANK(CR$2:INDEX($CR:$CR,LOOKUP(2,1/(ISNUMBER($A$2:$A$1048576)),ROW($A$2:$A$1048576))),CR45)</f>
        <v/>
      </c>
      <c r="CT45" s="39">
        <f>1-(CR45-CR$106)/CR$107</f>
        <v/>
      </c>
      <c r="CU45" s="9" t="n">
        <v>3.83</v>
      </c>
      <c r="CV45" s="33">
        <f>PERCENTRANK(CU$2:INDEX($CU:$CU,LOOKUP(2,1/(ISNUMBER($A$2:$A$1048576)),ROW($A$2:$A$1048576))),CU45)</f>
        <v/>
      </c>
      <c r="CW45" s="39">
        <f>1-(CU45-CU$106)/CU$107</f>
        <v/>
      </c>
      <c r="CX45" s="9" t="n">
        <v>40.24</v>
      </c>
      <c r="CY45" s="9" t="n">
        <v>69.69</v>
      </c>
      <c r="CZ45" s="9" t="n">
        <v>42.31</v>
      </c>
      <c r="DA45" s="9" t="n">
        <v>60.72</v>
      </c>
      <c r="DB45" s="9" t="n">
        <v>39.29</v>
      </c>
      <c r="DC45" s="9" t="n">
        <v>16.91</v>
      </c>
      <c r="DD45" s="9" t="n">
        <v>43.05</v>
      </c>
      <c r="DE45" s="9" t="n">
        <v>3.66</v>
      </c>
      <c r="DF45" s="9" t="n">
        <v>1.63</v>
      </c>
      <c r="DG45" s="9" t="n">
        <v>44.53</v>
      </c>
      <c r="DH45" s="9" t="n">
        <v>39</v>
      </c>
      <c r="DI45" s="33">
        <f>PERCENTRANK(DH$2:INDEX($DH:$DH,LOOKUP(2,1/(ISNUMBER($A$2:$A$1048576)),ROW($A$2:$A$1048576))),DH45)</f>
        <v/>
      </c>
      <c r="DJ45" s="39">
        <f>SUM(DH45-DH$106)/DH$107</f>
        <v/>
      </c>
      <c r="DK45" s="9" t="n">
        <v>15.63</v>
      </c>
      <c r="DL45" s="9" t="n">
        <v>14.17</v>
      </c>
      <c r="DM45" s="9" t="n">
        <v>2.4</v>
      </c>
      <c r="DN45" s="9" t="n">
        <v>0.03</v>
      </c>
      <c r="DO45" s="9" t="n">
        <v>137.74</v>
      </c>
      <c r="DP45" s="9" t="n">
        <v>93.77</v>
      </c>
      <c r="DQ45" s="33">
        <f>PERCENTRANK(DP$2:INDEX($DP:$DP,LOOKUP(2,1/(ISNUMBER($A$2:$A$1048576)),ROW($A$2:$A$1048576))),DP45)</f>
        <v/>
      </c>
      <c r="DR45" s="40">
        <f>sum(DP45-DP$106)/DP$107</f>
        <v/>
      </c>
      <c r="DS45" s="9" t="n">
        <v>68.08</v>
      </c>
      <c r="DT45" s="9" t="n">
        <v>55.03</v>
      </c>
      <c r="DU45" s="9" t="n">
        <v>50.91</v>
      </c>
      <c r="DV45" s="9" t="n">
        <v>92.52</v>
      </c>
      <c r="DW45" s="9" t="n">
        <v>138.34</v>
      </c>
      <c r="DX45" s="9" t="n">
        <v>121.71</v>
      </c>
      <c r="DY45" s="9" t="n">
        <v>87.98</v>
      </c>
      <c r="DZ45" s="9" t="n">
        <v>48.6</v>
      </c>
      <c r="EA45" s="9" t="n">
        <v>23.97</v>
      </c>
      <c r="EB45" s="9" t="n">
        <v>49.32</v>
      </c>
      <c r="EC45" s="9" t="n">
        <v>54.34</v>
      </c>
      <c r="ED45" s="9" t="n">
        <v>32.57</v>
      </c>
      <c r="EE45" s="33">
        <f>PERCENTRANK(ED$2:INDEX($ED:$ED,LOOKUP(2,1/(ISNUMBER($A$2:$A$1048576)),ROW($A$2:$A$1048576))),ED45)</f>
        <v/>
      </c>
      <c r="EF45" s="40">
        <f>sum(ED45-ED$106)/ED$107</f>
        <v/>
      </c>
      <c r="EG45" s="9" t="n">
        <v>59.94</v>
      </c>
      <c r="EH45" s="9" t="n">
        <v>69.66</v>
      </c>
      <c r="EI45" s="9" t="n">
        <v>50.31</v>
      </c>
      <c r="EJ45" s="33">
        <f>PERCENTRANK(EI$2:INDEX($EI:$EI,LOOKUP(2,1/(ISNUMBER($A$2:$A$1048576)),ROW($A$2:$A$1048576))),EI45)</f>
        <v/>
      </c>
      <c r="EK45" s="40">
        <f>sum(EI45-EI$106)/EI$107</f>
        <v/>
      </c>
      <c r="EL45" s="9" t="n">
        <v>72.23</v>
      </c>
      <c r="EM45" s="9" t="n">
        <v>3.54</v>
      </c>
      <c r="EN45" s="9" t="n">
        <v>1.23</v>
      </c>
      <c r="EO45" s="9" t="n">
        <v>34.68</v>
      </c>
      <c r="EP45" s="9" t="n">
        <v>24.03</v>
      </c>
      <c r="EQ45" s="9" t="n">
        <v>20.23</v>
      </c>
      <c r="ER45" s="9" t="n">
        <v>84.19</v>
      </c>
      <c r="ES45" s="9" t="n">
        <v>8.800000000000001</v>
      </c>
      <c r="ET45" s="9" t="n">
        <v>15.95</v>
      </c>
      <c r="EU45" s="9" t="n">
        <v>3.49</v>
      </c>
      <c r="EV45" s="9" t="n">
        <v>13.53</v>
      </c>
      <c r="EW45" s="9" t="n">
        <v>18.5</v>
      </c>
      <c r="EX45" s="33">
        <f>PERCENTRANK(EW$2:INDEX($EW:$EW,LOOKUP(2,1/(ISNUMBER($A$2:$A$1048576)),ROW($A$2:$A$1048576))),EW45)</f>
        <v/>
      </c>
      <c r="EY45" s="38">
        <f>1-(EW45-EW$106)/EW$107</f>
        <v/>
      </c>
      <c r="EZ45" s="9" t="n">
        <v>21.12</v>
      </c>
      <c r="FA45" s="9" t="n">
        <v>9.19</v>
      </c>
      <c r="FB45" s="33">
        <f>PERCENTRANK(FA$2:INDEX($FA:$FA,LOOKUP(2,1/(ISNUMBER($A$2:$A$1048576)),ROW($A$2:$A$1048576))),FA45)</f>
        <v/>
      </c>
      <c r="FC45" s="39">
        <f>1-(FA45-FA$106)/FA$107</f>
        <v/>
      </c>
      <c r="FD45" s="9" t="n">
        <v>1.2</v>
      </c>
      <c r="FE45" s="9" t="n">
        <v>1.19</v>
      </c>
      <c r="FF45" s="33">
        <f>PERCENTRANK(FE$2:INDEX($FE:$FE,LOOKUP(2,1/(ISNUMBER($A$2:$A$1048576)),ROW($A$2:$A$1048576))),FE45)</f>
        <v/>
      </c>
      <c r="FG45" s="39">
        <f>1-(FE45-FE$106)/FE$107</f>
        <v/>
      </c>
      <c r="FH45" s="9" t="n">
        <v>9.51</v>
      </c>
      <c r="FI45" s="9" t="n">
        <v>3.57</v>
      </c>
      <c r="FJ45" s="9" t="n">
        <v>37.54</v>
      </c>
      <c r="FK45" s="9" t="n">
        <v>377.66</v>
      </c>
      <c r="FL45" s="33">
        <f>PERCENTRANK(FK$2:INDEX($FK:$FK,LOOKUP(2,1/(ISNUMBER($A$2:$A$1048576)),ROW($A$2:$A$1048576))),FK45)</f>
        <v/>
      </c>
      <c r="FM45" s="39">
        <f>SWA44-(FK45-FK$106)/FK$107</f>
        <v/>
      </c>
      <c r="FN45" s="9" t="n">
        <v>303.46</v>
      </c>
      <c r="FO45" s="9" t="n">
        <v>80.34999999999999</v>
      </c>
      <c r="FP45" s="9" t="n">
        <v>49.9</v>
      </c>
      <c r="FQ45" s="9" t="n">
        <v>109.49</v>
      </c>
      <c r="FR45" s="9" t="n">
        <v>20.94</v>
      </c>
      <c r="FS45" s="9" t="n">
        <v>40.77</v>
      </c>
      <c r="FT45" s="9" t="n">
        <v>47.77</v>
      </c>
      <c r="FU45" s="9" t="n">
        <v>85.56999999999999</v>
      </c>
      <c r="FV45" s="9" t="n">
        <v>40.71</v>
      </c>
      <c r="FW45" s="9" t="n">
        <v>34.54</v>
      </c>
      <c r="FX45" s="9" t="n">
        <v>10.31</v>
      </c>
      <c r="FY45" s="9" t="n">
        <v>205.14</v>
      </c>
      <c r="FZ45" s="9" t="n">
        <v>95.8</v>
      </c>
      <c r="GA45" s="9" t="n">
        <v>46.7</v>
      </c>
      <c r="GB45" s="9" t="n">
        <v>3.6</v>
      </c>
      <c r="GC45" s="9" t="n">
        <v>1.06</v>
      </c>
      <c r="GD45" s="9" t="n">
        <v>29.37</v>
      </c>
      <c r="GE45" s="9" t="n">
        <v>25.26</v>
      </c>
      <c r="GF45" s="9" t="n">
        <v>4.97</v>
      </c>
      <c r="GG45" s="9" t="n">
        <v>19.68</v>
      </c>
      <c r="GH45" s="9" t="n">
        <v>1.51</v>
      </c>
      <c r="GI45" s="9" t="n">
        <v>0.66</v>
      </c>
      <c r="GJ45" s="9" t="n">
        <v>43.4</v>
      </c>
      <c r="GK45" s="9" t="n">
        <v>27.4</v>
      </c>
      <c r="GL45" s="9" t="n">
        <v>3.54</v>
      </c>
      <c r="GM45" s="9" t="n">
        <v>12.93</v>
      </c>
      <c r="GN45" s="9" t="n">
        <v>4.06</v>
      </c>
      <c r="GO45" s="9" t="n">
        <v>1.49</v>
      </c>
      <c r="GP45" s="9" t="n">
        <v>36.62</v>
      </c>
      <c r="GQ45" s="9" t="n">
        <v>2.46</v>
      </c>
      <c r="GR45" s="9" t="n">
        <v>0.63</v>
      </c>
      <c r="GS45" s="9" t="n">
        <v>25.58</v>
      </c>
      <c r="GT45" s="9" t="n">
        <v>0.14</v>
      </c>
      <c r="GU45" s="9" t="n">
        <v>0.09</v>
      </c>
      <c r="GV45" s="9" t="n">
        <v>60</v>
      </c>
      <c r="GW45" s="9" t="n">
        <v>12.77</v>
      </c>
      <c r="GX45" s="9" t="n">
        <v>4.14</v>
      </c>
      <c r="GY45" s="9" t="n">
        <v>32.44</v>
      </c>
      <c r="GZ45" s="9" t="n">
        <v>4.14</v>
      </c>
      <c r="HA45" s="9" t="n">
        <v>5.4</v>
      </c>
      <c r="HB45" s="9" t="n">
        <v>22.14</v>
      </c>
      <c r="HC45" s="9" t="n">
        <v>3.2</v>
      </c>
      <c r="HD45" s="9" t="n">
        <v>7.83</v>
      </c>
      <c r="HE45" s="9" t="n">
        <v>14.6</v>
      </c>
      <c r="HF45" s="9" t="n">
        <v>69.69</v>
      </c>
      <c r="HG45" s="9" t="n">
        <v>27.34</v>
      </c>
      <c r="HH45" s="9" t="n">
        <v>39.24</v>
      </c>
      <c r="HI45" s="9" t="n">
        <v>2.09</v>
      </c>
      <c r="HJ45" s="9" t="n">
        <v>1.4</v>
      </c>
      <c r="HK45" s="9" t="n">
        <v>11.49</v>
      </c>
      <c r="HL45" s="9" t="n">
        <v>4.2</v>
      </c>
      <c r="HM45" s="9" t="n">
        <v>36.57</v>
      </c>
      <c r="HN45" s="9" t="n">
        <v>61.71</v>
      </c>
      <c r="HO45" s="9" t="n">
        <v>34.43</v>
      </c>
      <c r="HP45" s="9" t="n">
        <v>55.79</v>
      </c>
      <c r="HQ45" s="9" t="n">
        <v>39.31</v>
      </c>
      <c r="HR45" s="9" t="n">
        <v>19.77</v>
      </c>
      <c r="HS45" s="9" t="n">
        <v>50.29</v>
      </c>
      <c r="HT45" s="9" t="n">
        <v>4.31</v>
      </c>
      <c r="HU45" s="9" t="n">
        <v>1.86</v>
      </c>
      <c r="HV45" s="9" t="n">
        <v>43.05</v>
      </c>
      <c r="HW45" s="9" t="n">
        <v>42.83</v>
      </c>
      <c r="HX45" s="9" t="n">
        <v>17.54</v>
      </c>
      <c r="HY45" s="9" t="n">
        <v>14.54</v>
      </c>
      <c r="HZ45" s="9" t="n">
        <v>2.63</v>
      </c>
      <c r="IA45" s="9" t="n">
        <v>0.11</v>
      </c>
      <c r="IB45" s="9" t="n">
        <v>140.2</v>
      </c>
      <c r="IC45" s="9" t="n">
        <v>96.94</v>
      </c>
      <c r="ID45" s="9" t="n">
        <v>69.15000000000001</v>
      </c>
      <c r="IE45" s="9" t="n">
        <v>58.83</v>
      </c>
      <c r="IF45" s="9" t="n">
        <v>55.11</v>
      </c>
      <c r="IG45" s="9" t="n">
        <v>93.69</v>
      </c>
      <c r="IH45" s="9" t="n">
        <v>124.77</v>
      </c>
      <c r="II45" s="9" t="n">
        <v>108.54</v>
      </c>
      <c r="IJ45" s="9" t="n">
        <v>86.98999999999999</v>
      </c>
      <c r="IK45" s="9" t="n">
        <v>52.09</v>
      </c>
      <c r="IL45" s="9" t="n">
        <v>27.14</v>
      </c>
      <c r="IM45" s="9" t="n">
        <v>52.11</v>
      </c>
      <c r="IN45" s="9" t="n">
        <v>51.66</v>
      </c>
      <c r="IO45" s="9" t="n">
        <v>30.66</v>
      </c>
      <c r="IP45" s="9" t="n">
        <v>59.35</v>
      </c>
      <c r="IQ45" s="9" t="n">
        <v>68.40000000000001</v>
      </c>
      <c r="IR45" s="9" t="n">
        <v>47.14</v>
      </c>
      <c r="IS45" s="9" t="n">
        <v>68.92</v>
      </c>
      <c r="IT45" s="33">
        <f>PERCENTRANK(IS$2:INDEX($IS:$IS,LOOKUP(2,1/(ISNUMBER($A$2:$A$1048576)),ROW($A$2:$A$1048576))),IS45)</f>
        <v/>
      </c>
      <c r="IU45" s="39">
        <f>1-(IS45-IS$106)/IS$107</f>
        <v/>
      </c>
      <c r="IV45" s="9" t="n">
        <v>3.77</v>
      </c>
      <c r="IW45" s="9" t="n">
        <v>1.4</v>
      </c>
      <c r="IX45" s="9" t="n">
        <v>37.12</v>
      </c>
      <c r="IY45" s="9" t="n">
        <v>20.91</v>
      </c>
      <c r="IZ45" s="9" t="n">
        <v>18.57</v>
      </c>
      <c r="JA45" s="9" t="n">
        <v>88.8</v>
      </c>
      <c r="JB45" s="9" t="n">
        <v>8.83</v>
      </c>
      <c r="JC45" s="9" t="n">
        <v>15.98</v>
      </c>
      <c r="JD45" s="9" t="n">
        <v>3.45</v>
      </c>
      <c r="JE45" s="9" t="n">
        <v>14.1</v>
      </c>
      <c r="JF45" s="9" t="n">
        <v>17.54</v>
      </c>
      <c r="JG45" s="9" t="n">
        <v>20.71</v>
      </c>
      <c r="JH45" s="9" t="n">
        <v>10.5</v>
      </c>
    </row>
    <row r="46">
      <c r="A46" s="12" t="n">
        <v>2022</v>
      </c>
      <c r="B46" s="31" t="inlineStr">
        <is>
          <t>Indy Eleven</t>
        </is>
      </c>
      <c r="C46" s="12" t="n">
        <v>41</v>
      </c>
      <c r="D46" s="5">
        <f>(C46-AVERAGE($C$2:INDEX($C:$C,LOOKUP(2,1/(ISNUMBER($A$2:$A$1048576)),ROW($A$2:$A$1048576)))))/_xlfn.STDEV.P($C$2:INDEX($C:$C,LOOKUP(2,1/(ISNUMBER($A$2:$A$1048576)),ROW($A$2:$A$1048576))))</f>
        <v/>
      </c>
      <c r="E46" s="12" t="n">
        <v>9</v>
      </c>
      <c r="F46" s="6">
        <f>-E46</f>
        <v/>
      </c>
      <c r="G46" s="7">
        <f>(F46-AVERAGE($F$2:INDEX($F:$F,LOOKUP(2,1/(ISNUMBER($A$2:$A$1048576)),ROW($A$2:$A$1048576)))))/_xlfn.STDEV.P($F$2:INDEX($F:$F,LOOKUP(2,1/(ISNUMBER($A$2:$A$1048576)),ROW($A$2:$A$1048576))))</f>
        <v/>
      </c>
      <c r="H46" s="32">
        <f>sum(0.5*D46)+(0.5*G46)</f>
        <v/>
      </c>
      <c r="I46" s="12" t="inlineStr">
        <is>
          <t>East</t>
        </is>
      </c>
      <c r="J46" s="10">
        <f>sum(L46*L$105)+(N46*N$105)+(P46*P$105)+(T46*R$105)</f>
        <v/>
      </c>
      <c r="K46" s="33">
        <f>PERCENTRANK(J$2:INDEX($J:$J,LOOKUP(2,1/(ISNUMBER($A$2:$A$1048576)),ROW($A$2:$A$1048576))),J46)</f>
        <v/>
      </c>
      <c r="L46" s="10">
        <f>sum(AA46*0.66)+(AD46*0.55)+(AG46*0.59)+(CG46*0.51)+(CL46*0.6)+(EY46*0.31)</f>
        <v/>
      </c>
      <c r="M46" s="33">
        <f>PERCENTRANK(L$2:INDEX($L:$L,LOOKUP(2,1/(ISNUMBER($A$2:$A$1048576)),ROW($A$2:$A$1048576))),L46)</f>
        <v/>
      </c>
      <c r="N46" s="10">
        <f>sum(CT46*0.57)+(CW46*0.71)+(DJ46*0.08)+(FC46*0.33)+(FG46*0.69)+(FM46*0.26)+(IU46*0.54)+(AU46*0.4)</f>
        <v/>
      </c>
      <c r="O46" s="33">
        <f>PERCENTRANK(N$2:INDEX($N:$N,LOOKUP(2,1/(ISNUMBER($A$2:$A$1048576)),ROW($A$2:$A$1048576))),N46)</f>
        <v/>
      </c>
      <c r="P46" s="10">
        <f>sum(BG46*0.51)+(CD46*0.51)+(DR46*0.11)+(EF46*0.42)+(EK46*0.44)+(W46*0.6)</f>
        <v/>
      </c>
      <c r="Q46" s="33">
        <f>PERCENTRANK(P$2:INDEX($P:$P,LOOKUP(2,1/(ISNUMBER($A$2:$A$1048576)),ROW($A$2:$A$1048576))),P46)</f>
        <v/>
      </c>
      <c r="R46" s="10">
        <f>sum(Y46-FE46)</f>
        <v/>
      </c>
      <c r="S46" s="33">
        <f>PERCENTRANK(R$2:INDEX($R:$R,LOOKUP(2,1/(ISNUMBER($A$2:$A$1048576)),ROW($A$2:$A$1048576))),R46)</f>
        <v/>
      </c>
      <c r="T46" s="34">
        <f>sum(R46-R$106)/R$107</f>
        <v/>
      </c>
      <c r="U46" s="35">
        <f>sum(Y46/AI46)*100</f>
        <v/>
      </c>
      <c r="V46" s="33">
        <f>PERCENTRANK(U$2:INDEX($U:$U,LOOKUP(2,1/(ISNUMBER($A$2:$A$1048576)),ROW($A$2:$A$1048576))),U46)</f>
        <v/>
      </c>
      <c r="W46" s="36">
        <f>sum(U46-U$106)/U$107</f>
        <v/>
      </c>
      <c r="X46" s="9" t="n">
        <v>1.21</v>
      </c>
      <c r="Y46" s="9" t="n">
        <v>1.06</v>
      </c>
      <c r="Z46" s="33">
        <f>PERCENTRANK(Y$2:INDEX($Y:$Y,LOOKUP(2,1/(ISNUMBER($A$2:$A$1048576)),ROW($A$2:$A$1048576))),Y46)</f>
        <v/>
      </c>
      <c r="AA46" s="37">
        <f>sum(Y46-Y$106)/Y$107</f>
        <v/>
      </c>
      <c r="AB46" s="9" t="n">
        <v>8.94</v>
      </c>
      <c r="AC46" s="33">
        <f>PERCENTRANK(AB$2:INDEX($AB:$AB,LOOKUP(2,1/(ISNUMBER($A$2:$A$1048576)),ROW($A$2:$A$1048576))),AB46)</f>
        <v/>
      </c>
      <c r="AD46" s="38">
        <f>sum(AB46-AB$106)/AB$107</f>
        <v/>
      </c>
      <c r="AE46" s="9" t="n">
        <v>3.79</v>
      </c>
      <c r="AF46" s="33">
        <f>PERCENTRANK(AE$2:INDEX($AE:$AE,LOOKUP(2,1/(ISNUMBER($A$2:$A$1048576)),ROW($A$2:$A$1048576))),AE46)</f>
        <v/>
      </c>
      <c r="AG46" s="38">
        <f>sum(AE46-AE$106)/AE$107</f>
        <v/>
      </c>
      <c r="AH46" s="9" t="n">
        <v>42.43</v>
      </c>
      <c r="AI46" s="9" t="n">
        <v>386.53</v>
      </c>
      <c r="AJ46" s="9" t="n">
        <v>317.5</v>
      </c>
      <c r="AK46" s="9" t="n">
        <v>82.14</v>
      </c>
      <c r="AL46" s="9" t="n">
        <v>46.6</v>
      </c>
      <c r="AM46" s="9" t="n">
        <v>106.21</v>
      </c>
      <c r="AN46" s="9" t="n">
        <v>20.26</v>
      </c>
      <c r="AO46" s="9" t="n">
        <v>40.91</v>
      </c>
      <c r="AP46" s="9" t="n">
        <v>45.03</v>
      </c>
      <c r="AQ46" s="9" t="n">
        <v>81.41</v>
      </c>
      <c r="AR46" s="9" t="n">
        <v>39.09</v>
      </c>
      <c r="AS46" s="9" t="n">
        <v>30.94</v>
      </c>
      <c r="AT46" s="33">
        <f>PERCENTRANK(AS$2:INDEX($AS:$AS,LOOKUP(2,1/(ISNUMBER($A$2:$A$1048576)),ROW($A$2:$A$1048576))),AS46)</f>
        <v/>
      </c>
      <c r="AU46" s="39">
        <f>SUM(AS46-AS$106)/AS$107</f>
        <v/>
      </c>
      <c r="AV46" s="9" t="n">
        <v>11.38</v>
      </c>
      <c r="AW46" s="33">
        <f>PERCENTRANK(AV$2:INDEX($AV:$AV,LOOKUP(2,1/(ISNUMBER($A$2:$A$1048576)),ROW($A$2:$A$1048576))),AV46)</f>
        <v/>
      </c>
      <c r="AX46" s="9" t="n">
        <v>199.79</v>
      </c>
      <c r="AY46" s="9" t="n">
        <v>90.5</v>
      </c>
      <c r="AZ46" s="9" t="n">
        <v>45.3</v>
      </c>
      <c r="BA46" s="9" t="n">
        <v>3.32</v>
      </c>
      <c r="BB46" s="9" t="n">
        <v>1.09</v>
      </c>
      <c r="BC46" s="9" t="n">
        <v>32.74</v>
      </c>
      <c r="BD46" s="9" t="n">
        <v>25.65</v>
      </c>
      <c r="BE46" s="9" t="n">
        <v>5.74</v>
      </c>
      <c r="BF46" s="33">
        <f>PERCENTRANK(BE$2:INDEX($BE:$BE,LOOKUP(2,1/(ISNUMBER($A$2:$A$1048576)),ROW($A$2:$A$1048576))),BE46)</f>
        <v/>
      </c>
      <c r="BG46" s="40">
        <f>sum(BE46-BE$106)/BE$107</f>
        <v/>
      </c>
      <c r="BH46" s="9" t="n">
        <v>22.36</v>
      </c>
      <c r="BI46" s="9" t="n">
        <v>1</v>
      </c>
      <c r="BJ46" s="9" t="n">
        <v>0.35</v>
      </c>
      <c r="BK46" s="9" t="n">
        <v>35.29</v>
      </c>
      <c r="BL46" s="9" t="n">
        <v>27.56</v>
      </c>
      <c r="BM46" s="9" t="n">
        <v>2.32</v>
      </c>
      <c r="BN46" s="9" t="n">
        <v>8.43</v>
      </c>
      <c r="BO46" s="9" t="n">
        <v>3.68</v>
      </c>
      <c r="BP46" s="9" t="n">
        <v>1.26</v>
      </c>
      <c r="BQ46" s="9" t="n">
        <v>34.4</v>
      </c>
      <c r="BR46" s="9" t="n">
        <v>2.29</v>
      </c>
      <c r="BS46" s="9" t="n">
        <v>0.41</v>
      </c>
      <c r="BT46" s="9" t="n">
        <v>17.95</v>
      </c>
      <c r="BU46" s="9" t="n">
        <v>0.12</v>
      </c>
      <c r="BV46" s="9" t="n">
        <v>0.12</v>
      </c>
      <c r="BW46" s="9" t="n">
        <v>100</v>
      </c>
      <c r="BX46" s="9" t="n">
        <v>11</v>
      </c>
      <c r="BY46" s="9" t="n">
        <v>4.15</v>
      </c>
      <c r="BZ46" s="9" t="n">
        <v>37.7</v>
      </c>
      <c r="CA46" s="9" t="n">
        <v>4.29</v>
      </c>
      <c r="CB46" s="9" t="n">
        <v>5.62</v>
      </c>
      <c r="CC46" s="33">
        <f>PERCENTRANK(CD$2:INDEX($CD:$CD,LOOKUP(2,1/(ISNUMBER($A$2:$A$1048576)),ROW($A$2:$A$1048576))),CD46)</f>
        <v/>
      </c>
      <c r="CD46" s="40">
        <f>sum(CB46-CB$106)/CB$107</f>
        <v/>
      </c>
      <c r="CE46" s="9" t="n">
        <v>18.97</v>
      </c>
      <c r="CF46" s="33">
        <f>PERCENTRANK(CE$2:INDEX($CE:$CE,LOOKUP(2,1/(ISNUMBER($A$2:$A$1048576)),ROW($A$2:$A$1048576))),CE46)</f>
        <v/>
      </c>
      <c r="CG46" s="38">
        <f>sum(CE46-CE$106)/CE$107</f>
        <v/>
      </c>
      <c r="CH46" s="9" t="n">
        <v>2.74</v>
      </c>
      <c r="CI46" s="9" t="n">
        <v>7.29</v>
      </c>
      <c r="CJ46" s="9" t="n">
        <v>12.85</v>
      </c>
      <c r="CK46" s="33">
        <f>PERCENTRANK(CJ$2:INDEX($CJ:$CJ,LOOKUP(2,1/(ISNUMBER($A$2:$A$1048576)),ROW($A$2:$A$1048576))),CJ46)</f>
        <v/>
      </c>
      <c r="CL46" s="38">
        <f>sum(CJ46-CJ$106)/CJ$107</f>
        <v/>
      </c>
      <c r="CM46" s="9" t="n">
        <v>67.03</v>
      </c>
      <c r="CN46" s="9" t="n">
        <v>25.18</v>
      </c>
      <c r="CO46" s="9" t="n">
        <v>37.56</v>
      </c>
      <c r="CP46" s="9" t="n">
        <v>1.26</v>
      </c>
      <c r="CQ46" s="9" t="n">
        <v>1.62</v>
      </c>
      <c r="CR46" s="9" t="n">
        <v>11.76</v>
      </c>
      <c r="CS46" s="33">
        <f>PERCENTRANK(CR$2:INDEX($CR:$CR,LOOKUP(2,1/(ISNUMBER($A$2:$A$1048576)),ROW($A$2:$A$1048576))),CR46)</f>
        <v/>
      </c>
      <c r="CT46" s="39">
        <f>1-(CR46-CR$106)/CR$107</f>
        <v/>
      </c>
      <c r="CU46" s="9" t="n">
        <v>4.85</v>
      </c>
      <c r="CV46" s="33">
        <f>PERCENTRANK(CU$2:INDEX($CU:$CU,LOOKUP(2,1/(ISNUMBER($A$2:$A$1048576)),ROW($A$2:$A$1048576))),CU46)</f>
        <v/>
      </c>
      <c r="CW46" s="39">
        <f>1-(CU46-CU$106)/CU$107</f>
        <v/>
      </c>
      <c r="CX46" s="9" t="n">
        <v>41.25</v>
      </c>
      <c r="CY46" s="9" t="n">
        <v>62.71</v>
      </c>
      <c r="CZ46" s="9" t="n">
        <v>35.53</v>
      </c>
      <c r="DA46" s="9" t="n">
        <v>56.66</v>
      </c>
      <c r="DB46" s="9" t="n">
        <v>38.56</v>
      </c>
      <c r="DC46" s="9" t="n">
        <v>17.32</v>
      </c>
      <c r="DD46" s="9" t="n">
        <v>44.93</v>
      </c>
      <c r="DE46" s="9" t="n">
        <v>3.15</v>
      </c>
      <c r="DF46" s="9" t="n">
        <v>1</v>
      </c>
      <c r="DG46" s="9" t="n">
        <v>31.78</v>
      </c>
      <c r="DH46" s="9" t="n">
        <v>40.35</v>
      </c>
      <c r="DI46" s="33">
        <f>PERCENTRANK(DH$2:INDEX($DH:$DH,LOOKUP(2,1/(ISNUMBER($A$2:$A$1048576)),ROW($A$2:$A$1048576))),DH46)</f>
        <v/>
      </c>
      <c r="DJ46" s="39">
        <f>SUM(DH46-DH$106)/DH$107</f>
        <v/>
      </c>
      <c r="DK46" s="9" t="n">
        <v>14</v>
      </c>
      <c r="DL46" s="9" t="n">
        <v>13.91</v>
      </c>
      <c r="DM46" s="9" t="n">
        <v>2.76</v>
      </c>
      <c r="DN46" s="9" t="n">
        <v>0.12</v>
      </c>
      <c r="DO46" s="9" t="n">
        <v>136.03</v>
      </c>
      <c r="DP46" s="9" t="n">
        <v>96.81999999999999</v>
      </c>
      <c r="DQ46" s="33">
        <f>PERCENTRANK(DP$2:INDEX($DP:$DP,LOOKUP(2,1/(ISNUMBER($A$2:$A$1048576)),ROW($A$2:$A$1048576))),DP46)</f>
        <v/>
      </c>
      <c r="DR46" s="40">
        <f>sum(DP46-DP$106)/DP$107</f>
        <v/>
      </c>
      <c r="DS46" s="9" t="n">
        <v>71.18000000000001</v>
      </c>
      <c r="DT46" s="9" t="n">
        <v>59.18</v>
      </c>
      <c r="DU46" s="9" t="n">
        <v>54.88</v>
      </c>
      <c r="DV46" s="9" t="n">
        <v>92.73999999999999</v>
      </c>
      <c r="DW46" s="9" t="n">
        <v>138.06</v>
      </c>
      <c r="DX46" s="9" t="n">
        <v>122.53</v>
      </c>
      <c r="DY46" s="9" t="n">
        <v>88.75</v>
      </c>
      <c r="DZ46" s="9" t="n">
        <v>49.56</v>
      </c>
      <c r="EA46" s="9" t="n">
        <v>27.24</v>
      </c>
      <c r="EB46" s="9" t="n">
        <v>54.96</v>
      </c>
      <c r="EC46" s="9" t="n">
        <v>46</v>
      </c>
      <c r="ED46" s="9" t="n">
        <v>29.68</v>
      </c>
      <c r="EE46" s="33">
        <f>PERCENTRANK(ED$2:INDEX($ED:$ED,LOOKUP(2,1/(ISNUMBER($A$2:$A$1048576)),ROW($A$2:$A$1048576))),ED46)</f>
        <v/>
      </c>
      <c r="EF46" s="40">
        <f>sum(ED46-ED$106)/ED$107</f>
        <v/>
      </c>
      <c r="EG46" s="9" t="n">
        <v>64.51000000000001</v>
      </c>
      <c r="EH46" s="9" t="n">
        <v>68.03</v>
      </c>
      <c r="EI46" s="9" t="n">
        <v>46.47</v>
      </c>
      <c r="EJ46" s="33">
        <f>PERCENTRANK(EI$2:INDEX($EI:$EI,LOOKUP(2,1/(ISNUMBER($A$2:$A$1048576)),ROW($A$2:$A$1048576))),EI46)</f>
        <v/>
      </c>
      <c r="EK46" s="40">
        <f>sum(EI46-EI$106)/EI$107</f>
        <v/>
      </c>
      <c r="EL46" s="9" t="n">
        <v>68.31</v>
      </c>
      <c r="EM46" s="9" t="n">
        <v>2.97</v>
      </c>
      <c r="EN46" s="9" t="n">
        <v>1.38</v>
      </c>
      <c r="EO46" s="9" t="n">
        <v>46.53</v>
      </c>
      <c r="EP46" s="9" t="n">
        <v>22.35</v>
      </c>
      <c r="EQ46" s="9" t="n">
        <v>19.68</v>
      </c>
      <c r="ER46" s="9" t="n">
        <v>88.03</v>
      </c>
      <c r="ES46" s="9" t="n">
        <v>8.970000000000001</v>
      </c>
      <c r="ET46" s="9" t="n">
        <v>16.89</v>
      </c>
      <c r="EU46" s="9" t="n">
        <v>3.68</v>
      </c>
      <c r="EV46" s="9" t="n">
        <v>13.15</v>
      </c>
      <c r="EW46" s="9" t="n">
        <v>18.08</v>
      </c>
      <c r="EX46" s="33">
        <f>PERCENTRANK(EW$2:INDEX($EW:$EW,LOOKUP(2,1/(ISNUMBER($A$2:$A$1048576)),ROW($A$2:$A$1048576))),EW46)</f>
        <v/>
      </c>
      <c r="EY46" s="38">
        <f>1-(EW46-EW$106)/EW$107</f>
        <v/>
      </c>
      <c r="EZ46" s="9" t="n">
        <v>19.98</v>
      </c>
      <c r="FA46" s="9" t="n">
        <v>11.97</v>
      </c>
      <c r="FB46" s="33">
        <f>PERCENTRANK(FA$2:INDEX($FA:$FA,LOOKUP(2,1/(ISNUMBER($A$2:$A$1048576)),ROW($A$2:$A$1048576))),FA46)</f>
        <v/>
      </c>
      <c r="FC46" s="39">
        <f>1-(FA46-FA$106)/FA$107</f>
        <v/>
      </c>
      <c r="FD46" s="9" t="n">
        <v>1.62</v>
      </c>
      <c r="FE46" s="9" t="n">
        <v>1.57</v>
      </c>
      <c r="FF46" s="33">
        <f>PERCENTRANK(FE$2:INDEX($FE:$FE,LOOKUP(2,1/(ISNUMBER($A$2:$A$1048576)),ROW($A$2:$A$1048576))),FE46)</f>
        <v/>
      </c>
      <c r="FG46" s="39">
        <f>1-(FE46-FE$106)/FE$107</f>
        <v/>
      </c>
      <c r="FH46" s="9" t="n">
        <v>11.76</v>
      </c>
      <c r="FI46" s="9" t="n">
        <v>4.65</v>
      </c>
      <c r="FJ46" s="9" t="n">
        <v>39.5</v>
      </c>
      <c r="FK46" s="9" t="n">
        <v>439.18</v>
      </c>
      <c r="FL46" s="33">
        <f>PERCENTRANK(FK$2:INDEX($FK:$FK,LOOKUP(2,1/(ISNUMBER($A$2:$A$1048576)),ROW($A$2:$A$1048576))),FK46)</f>
        <v/>
      </c>
      <c r="FM46" s="39">
        <f>SWA45-(FK46-FK$106)/FK$107</f>
        <v/>
      </c>
      <c r="FN46" s="9" t="n">
        <v>364.65</v>
      </c>
      <c r="FO46" s="9" t="n">
        <v>83.03</v>
      </c>
      <c r="FP46" s="9" t="n">
        <v>53.4</v>
      </c>
      <c r="FQ46" s="9" t="n">
        <v>104.15</v>
      </c>
      <c r="FR46" s="9" t="n">
        <v>17.71</v>
      </c>
      <c r="FS46" s="9" t="n">
        <v>36.53</v>
      </c>
      <c r="FT46" s="9" t="n">
        <v>49.91</v>
      </c>
      <c r="FU46" s="9" t="n">
        <v>84.06</v>
      </c>
      <c r="FV46" s="9" t="n">
        <v>35.09</v>
      </c>
      <c r="FW46" s="9" t="n">
        <v>36.09</v>
      </c>
      <c r="FX46" s="9" t="n">
        <v>12.88</v>
      </c>
      <c r="FY46" s="9" t="n">
        <v>199.79</v>
      </c>
      <c r="FZ46" s="9" t="n">
        <v>101.35</v>
      </c>
      <c r="GA46" s="9" t="n">
        <v>50.73</v>
      </c>
      <c r="GB46" s="9" t="n">
        <v>4.68</v>
      </c>
      <c r="GC46" s="9" t="n">
        <v>1.53</v>
      </c>
      <c r="GD46" s="9" t="n">
        <v>32.7</v>
      </c>
      <c r="GE46" s="9" t="n">
        <v>29.56</v>
      </c>
      <c r="GF46" s="9" t="n">
        <v>7.32</v>
      </c>
      <c r="GG46" s="9" t="n">
        <v>24.78</v>
      </c>
      <c r="GH46" s="9" t="n">
        <v>1.56</v>
      </c>
      <c r="GI46" s="9" t="n">
        <v>0.62</v>
      </c>
      <c r="GJ46" s="9" t="n">
        <v>39.62</v>
      </c>
      <c r="GK46" s="9" t="n">
        <v>25.21</v>
      </c>
      <c r="GL46" s="9" t="n">
        <v>3.29</v>
      </c>
      <c r="GM46" s="9" t="n">
        <v>13.07</v>
      </c>
      <c r="GN46" s="9" t="n">
        <v>4.91</v>
      </c>
      <c r="GO46" s="9" t="n">
        <v>1.38</v>
      </c>
      <c r="GP46" s="9" t="n">
        <v>28.14</v>
      </c>
      <c r="GQ46" s="9" t="n">
        <v>2.24</v>
      </c>
      <c r="GR46" s="9" t="n">
        <v>0.41</v>
      </c>
      <c r="GS46" s="9" t="n">
        <v>18.42</v>
      </c>
      <c r="GT46" s="9" t="n">
        <v>0.24</v>
      </c>
      <c r="GU46" s="9" t="n">
        <v>0.15</v>
      </c>
      <c r="GV46" s="9" t="n">
        <v>62.5</v>
      </c>
      <c r="GW46" s="9" t="n">
        <v>16.09</v>
      </c>
      <c r="GX46" s="9" t="n">
        <v>4.79</v>
      </c>
      <c r="GY46" s="9" t="n">
        <v>29.8</v>
      </c>
      <c r="GZ46" s="9" t="n">
        <v>5.15</v>
      </c>
      <c r="HA46" s="9" t="n">
        <v>7.47</v>
      </c>
      <c r="HB46" s="9" t="n">
        <v>27.15</v>
      </c>
      <c r="HC46" s="9" t="n">
        <v>4.62</v>
      </c>
      <c r="HD46" s="9" t="n">
        <v>9.94</v>
      </c>
      <c r="HE46" s="9" t="n">
        <v>18.15</v>
      </c>
      <c r="HF46" s="9" t="n">
        <v>62.74</v>
      </c>
      <c r="HG46" s="9" t="n">
        <v>27.18</v>
      </c>
      <c r="HH46" s="9" t="n">
        <v>43.32</v>
      </c>
      <c r="HI46" s="9" t="n">
        <v>2.74</v>
      </c>
      <c r="HJ46" s="9" t="n">
        <v>1.21</v>
      </c>
      <c r="HK46" s="9" t="n">
        <v>8.94</v>
      </c>
      <c r="HL46" s="9" t="n">
        <v>3.97</v>
      </c>
      <c r="HM46" s="9" t="n">
        <v>44.41</v>
      </c>
      <c r="HN46" s="9" t="n">
        <v>67.03</v>
      </c>
      <c r="HO46" s="9" t="n">
        <v>41.85</v>
      </c>
      <c r="HP46" s="9" t="n">
        <v>62.44</v>
      </c>
      <c r="HQ46" s="9" t="n">
        <v>38.53</v>
      </c>
      <c r="HR46" s="9" t="n">
        <v>19.03</v>
      </c>
      <c r="HS46" s="9" t="n">
        <v>49.39</v>
      </c>
      <c r="HT46" s="9" t="n">
        <v>3.26</v>
      </c>
      <c r="HU46" s="9" t="n">
        <v>1.65</v>
      </c>
      <c r="HV46" s="9" t="n">
        <v>50.45</v>
      </c>
      <c r="HW46" s="9" t="n">
        <v>37.29</v>
      </c>
      <c r="HX46" s="9" t="n">
        <v>15.62</v>
      </c>
      <c r="HY46" s="9" t="n">
        <v>14.62</v>
      </c>
      <c r="HZ46" s="9" t="n">
        <v>2.56</v>
      </c>
      <c r="IA46" s="9" t="n">
        <v>0.03</v>
      </c>
      <c r="IB46" s="9" t="n">
        <v>148.76</v>
      </c>
      <c r="IC46" s="9" t="n">
        <v>108.68</v>
      </c>
      <c r="ID46" s="9" t="n">
        <v>73.05</v>
      </c>
      <c r="IE46" s="9" t="n">
        <v>64.62</v>
      </c>
      <c r="IF46" s="9" t="n">
        <v>61.12</v>
      </c>
      <c r="IG46" s="9" t="n">
        <v>94.58</v>
      </c>
      <c r="IH46" s="9" t="n">
        <v>165.74</v>
      </c>
      <c r="II46" s="9" t="n">
        <v>146.15</v>
      </c>
      <c r="IJ46" s="9" t="n">
        <v>88.18000000000001</v>
      </c>
      <c r="IK46" s="9" t="n">
        <v>49.24</v>
      </c>
      <c r="IL46" s="9" t="n">
        <v>27.5</v>
      </c>
      <c r="IM46" s="9" t="n">
        <v>55.85</v>
      </c>
      <c r="IN46" s="9" t="n">
        <v>56.47</v>
      </c>
      <c r="IO46" s="9" t="n">
        <v>38.38</v>
      </c>
      <c r="IP46" s="9" t="n">
        <v>67.97</v>
      </c>
      <c r="IQ46" s="9" t="n">
        <v>76.81999999999999</v>
      </c>
      <c r="IR46" s="9" t="n">
        <v>58</v>
      </c>
      <c r="IS46" s="9" t="n">
        <v>75.5</v>
      </c>
      <c r="IT46" s="33">
        <f>PERCENTRANK(IS$2:INDEX($IS:$IS,LOOKUP(2,1/(ISNUMBER($A$2:$A$1048576)),ROW($A$2:$A$1048576))),IS46)</f>
        <v/>
      </c>
      <c r="IU46" s="39">
        <f>1-(IS46-IS$106)/IS$107</f>
        <v/>
      </c>
      <c r="IV46" s="9" t="n">
        <v>4.68</v>
      </c>
      <c r="IW46" s="9" t="n">
        <v>1.79</v>
      </c>
      <c r="IX46" s="9" t="n">
        <v>38.36</v>
      </c>
      <c r="IY46" s="9" t="n">
        <v>19.91</v>
      </c>
      <c r="IZ46" s="9" t="n">
        <v>18.29</v>
      </c>
      <c r="JA46" s="9" t="n">
        <v>91.88</v>
      </c>
      <c r="JB46" s="9" t="n">
        <v>6.5</v>
      </c>
      <c r="JC46" s="9" t="n">
        <v>16.69</v>
      </c>
      <c r="JD46" s="9" t="n">
        <v>4.22</v>
      </c>
      <c r="JE46" s="9" t="n">
        <v>11.47</v>
      </c>
      <c r="JF46" s="9" t="n">
        <v>17.63</v>
      </c>
      <c r="JG46" s="9" t="n">
        <v>20.17</v>
      </c>
      <c r="JH46" s="9" t="n">
        <v>9.09</v>
      </c>
    </row>
    <row r="47">
      <c r="A47" s="12" t="n">
        <v>2023</v>
      </c>
      <c r="B47" s="31" t="inlineStr">
        <is>
          <t>Rio Grande Valley</t>
        </is>
      </c>
      <c r="C47" s="12" t="n">
        <v>43</v>
      </c>
      <c r="D47" s="5">
        <f>(C47-AVERAGE($C$2:INDEX($C:$C,LOOKUP(2,1/(ISNUMBER($A$2:$A$1048576)),ROW($A$2:$A$1048576)))))/_xlfn.STDEV.P($C$2:INDEX($C:$C,LOOKUP(2,1/(ISNUMBER($A$2:$A$1048576)),ROW($A$2:$A$1048576))))</f>
        <v/>
      </c>
      <c r="E47" s="12" t="n">
        <v>9</v>
      </c>
      <c r="F47" s="6">
        <f>-E47</f>
        <v/>
      </c>
      <c r="G47" s="7">
        <f>(F47-AVERAGE($F$2:INDEX($F:$F,LOOKUP(2,1/(ISNUMBER($A$2:$A$1048576)),ROW($A$2:$A$1048576)))))/_xlfn.STDEV.P($F$2:INDEX($F:$F,LOOKUP(2,1/(ISNUMBER($A$2:$A$1048576)),ROW($A$2:$A$1048576))))</f>
        <v/>
      </c>
      <c r="H47" s="32">
        <f>sum(0.5*D47)+(0.5*G47)</f>
        <v/>
      </c>
      <c r="I47" s="12" t="inlineStr">
        <is>
          <t>West</t>
        </is>
      </c>
      <c r="J47" s="10">
        <f>sum(L47*L$105)+(N47*N$105)+(P47*P$105)+(T47*R$105)</f>
        <v/>
      </c>
      <c r="K47" s="33">
        <f>PERCENTRANK(J$2:INDEX($J:$J,LOOKUP(2,1/(ISNUMBER($A$2:$A$1048576)),ROW($A$2:$A$1048576))),J47)</f>
        <v/>
      </c>
      <c r="L47" s="10">
        <f>sum(AA47*0.66)+(AD47*0.55)+(AG47*0.59)+(CG47*0.51)+(CL47*0.6)+(EY47*0.31)</f>
        <v/>
      </c>
      <c r="M47" s="33">
        <f>PERCENTRANK(L$2:INDEX($L:$L,LOOKUP(2,1/(ISNUMBER($A$2:$A$1048576)),ROW($A$2:$A$1048576))),L47)</f>
        <v/>
      </c>
      <c r="N47" s="10">
        <f>sum(CT47*0.57)+(CW47*0.71)+(DJ47*0.08)+(FC47*0.33)+(FG47*0.69)+(FM47*0.26)+(IU47*0.54)+(AU47*0.4)</f>
        <v/>
      </c>
      <c r="O47" s="33">
        <f>PERCENTRANK(N$2:INDEX($N:$N,LOOKUP(2,1/(ISNUMBER($A$2:$A$1048576)),ROW($A$2:$A$1048576))),N47)</f>
        <v/>
      </c>
      <c r="P47" s="10">
        <f>sum(BG47*0.51)+(CD47*0.51)+(DR47*0.11)+(EF47*0.42)+(EK47*0.44)+(W47*0.6)</f>
        <v/>
      </c>
      <c r="Q47" s="33">
        <f>PERCENTRANK(P$2:INDEX($P:$P,LOOKUP(2,1/(ISNUMBER($A$2:$A$1048576)),ROW($A$2:$A$1048576))),P47)</f>
        <v/>
      </c>
      <c r="R47" s="10">
        <f>sum(Y47-FE47)</f>
        <v/>
      </c>
      <c r="S47" s="33">
        <f>PERCENTRANK(R$2:INDEX($R:$R,LOOKUP(2,1/(ISNUMBER($A$2:$A$1048576)),ROW($A$2:$A$1048576))),R47)</f>
        <v/>
      </c>
      <c r="T47" s="34">
        <f>sum(R47-R$106)/R$107</f>
        <v/>
      </c>
      <c r="U47" s="35">
        <f>sum(Y47/AI47)*100</f>
        <v/>
      </c>
      <c r="V47" s="33">
        <f>PERCENTRANK(U$2:INDEX($U:$U,LOOKUP(2,1/(ISNUMBER($A$2:$A$1048576)),ROW($A$2:$A$1048576))),U47)</f>
        <v/>
      </c>
      <c r="W47" s="36">
        <f>sum(U47-U$106)/U$107</f>
        <v/>
      </c>
      <c r="X47" s="9" t="n">
        <v>1.26</v>
      </c>
      <c r="Y47" s="9" t="n">
        <v>1.19</v>
      </c>
      <c r="Z47" s="33">
        <f>PERCENTRANK(Y$2:INDEX($Y:$Y,LOOKUP(2,1/(ISNUMBER($A$2:$A$1048576)),ROW($A$2:$A$1048576))),Y47)</f>
        <v/>
      </c>
      <c r="AA47" s="37">
        <f>sum(Y47-Y$106)/Y$107</f>
        <v/>
      </c>
      <c r="AB47" s="9" t="n">
        <v>11.62</v>
      </c>
      <c r="AC47" s="33">
        <f>PERCENTRANK(AB$2:INDEX($AB:$AB,LOOKUP(2,1/(ISNUMBER($A$2:$A$1048576)),ROW($A$2:$A$1048576))),AB47)</f>
        <v/>
      </c>
      <c r="AD47" s="38">
        <f>sum(AB47-AB$106)/AB$107</f>
        <v/>
      </c>
      <c r="AE47" s="9" t="n">
        <v>4.53</v>
      </c>
      <c r="AF47" s="33">
        <f>PERCENTRANK(AE$2:INDEX($AE:$AE,LOOKUP(2,1/(ISNUMBER($A$2:$A$1048576)),ROW($A$2:$A$1048576))),AE47)</f>
        <v/>
      </c>
      <c r="AG47" s="38">
        <f>sum(AE47-AE$106)/AE$107</f>
        <v/>
      </c>
      <c r="AH47" s="9" t="n">
        <v>38.99</v>
      </c>
      <c r="AI47" s="9" t="n">
        <v>412.44</v>
      </c>
      <c r="AJ47" s="9" t="n">
        <v>339.41</v>
      </c>
      <c r="AK47" s="9" t="n">
        <v>82.29000000000001</v>
      </c>
      <c r="AL47" s="9" t="n">
        <v>50.33</v>
      </c>
      <c r="AM47" s="9" t="n">
        <v>102.24</v>
      </c>
      <c r="AN47" s="9" t="n">
        <v>17.06</v>
      </c>
      <c r="AO47" s="9" t="n">
        <v>36.32</v>
      </c>
      <c r="AP47" s="9" t="n">
        <v>48.85</v>
      </c>
      <c r="AQ47" s="9" t="n">
        <v>79.34999999999999</v>
      </c>
      <c r="AR47" s="9" t="n">
        <v>36.68</v>
      </c>
      <c r="AS47" s="9" t="n">
        <v>31.29</v>
      </c>
      <c r="AT47" s="33">
        <f>PERCENTRANK(AS$2:INDEX($AS:$AS,LOOKUP(2,1/(ISNUMBER($A$2:$A$1048576)),ROW($A$2:$A$1048576))),AS47)</f>
        <v/>
      </c>
      <c r="AU47" s="39">
        <f>SUM(AS47-AS$106)/AS$107</f>
        <v/>
      </c>
      <c r="AV47" s="9" t="n">
        <v>11.38</v>
      </c>
      <c r="AW47" s="33">
        <f>PERCENTRANK(AV$2:INDEX($AV:$AV,LOOKUP(2,1/(ISNUMBER($A$2:$A$1048576)),ROW($A$2:$A$1048576))),AV47)</f>
        <v/>
      </c>
      <c r="AX47" s="9" t="n">
        <v>198.29</v>
      </c>
      <c r="AY47" s="9" t="n">
        <v>97.15000000000001</v>
      </c>
      <c r="AZ47" s="9" t="n">
        <v>48.99</v>
      </c>
      <c r="BA47" s="9" t="n">
        <v>5.94</v>
      </c>
      <c r="BB47" s="9" t="n">
        <v>1.79</v>
      </c>
      <c r="BC47" s="9" t="n">
        <v>30.2</v>
      </c>
      <c r="BD47" s="9" t="n">
        <v>28.53</v>
      </c>
      <c r="BE47" s="9" t="n">
        <v>6.76</v>
      </c>
      <c r="BF47" s="33">
        <f>PERCENTRANK(BE$2:INDEX($BE:$BE,LOOKUP(2,1/(ISNUMBER($A$2:$A$1048576)),ROW($A$2:$A$1048576))),BE47)</f>
        <v/>
      </c>
      <c r="BG47" s="40">
        <f>sum(BE47-BE$106)/BE$107</f>
        <v/>
      </c>
      <c r="BH47" s="9" t="n">
        <v>23.71</v>
      </c>
      <c r="BI47" s="9" t="n">
        <v>2.26</v>
      </c>
      <c r="BJ47" s="9" t="n">
        <v>0.82</v>
      </c>
      <c r="BK47" s="9" t="n">
        <v>36.36</v>
      </c>
      <c r="BL47" s="9" t="n">
        <v>28.26</v>
      </c>
      <c r="BM47" s="9" t="n">
        <v>3.32</v>
      </c>
      <c r="BN47" s="9" t="n">
        <v>11.76</v>
      </c>
      <c r="BO47" s="9" t="n">
        <v>4.82</v>
      </c>
      <c r="BP47" s="9" t="n">
        <v>1.18</v>
      </c>
      <c r="BQ47" s="9" t="n">
        <v>24.39</v>
      </c>
      <c r="BR47" s="9" t="n">
        <v>2.68</v>
      </c>
      <c r="BS47" s="9" t="n">
        <v>0.5600000000000001</v>
      </c>
      <c r="BT47" s="9" t="n">
        <v>20.88</v>
      </c>
      <c r="BU47" s="9" t="n">
        <v>0.06</v>
      </c>
      <c r="BV47" s="9" t="n">
        <v>0.06</v>
      </c>
      <c r="BW47" s="9" t="n">
        <v>100</v>
      </c>
      <c r="BX47" s="9" t="n">
        <v>13.74</v>
      </c>
      <c r="BY47" s="9" t="n">
        <v>3.91</v>
      </c>
      <c r="BZ47" s="9" t="n">
        <v>28.48</v>
      </c>
      <c r="CA47" s="9" t="n">
        <v>3.76</v>
      </c>
      <c r="CB47" s="9" t="n">
        <v>6.53</v>
      </c>
      <c r="CC47" s="33">
        <f>PERCENTRANK(CD$2:INDEX($CD:$CD,LOOKUP(2,1/(ISNUMBER($A$2:$A$1048576)),ROW($A$2:$A$1048576))),CD47)</f>
        <v/>
      </c>
      <c r="CD47" s="40">
        <f>sum(CB47-CB$106)/CB$107</f>
        <v/>
      </c>
      <c r="CE47" s="9" t="n">
        <v>22.53</v>
      </c>
      <c r="CF47" s="33">
        <f>PERCENTRANK(CE$2:INDEX($CE:$CE,LOOKUP(2,1/(ISNUMBER($A$2:$A$1048576)),ROW($A$2:$A$1048576))),CE47)</f>
        <v/>
      </c>
      <c r="CG47" s="38">
        <f>sum(CE47-CE$106)/CE$107</f>
        <v/>
      </c>
      <c r="CH47" s="9" t="n">
        <v>4.65</v>
      </c>
      <c r="CI47" s="9" t="n">
        <v>7.76</v>
      </c>
      <c r="CJ47" s="9" t="n">
        <v>15.47</v>
      </c>
      <c r="CK47" s="33">
        <f>PERCENTRANK(CJ$2:INDEX($CJ:$CJ,LOOKUP(2,1/(ISNUMBER($A$2:$A$1048576)),ROW($A$2:$A$1048576))),CJ47)</f>
        <v/>
      </c>
      <c r="CL47" s="38">
        <f>sum(CJ47-CJ$106)/CJ$107</f>
        <v/>
      </c>
      <c r="CM47" s="9" t="n">
        <v>71.12</v>
      </c>
      <c r="CN47" s="9" t="n">
        <v>30</v>
      </c>
      <c r="CO47" s="9" t="n">
        <v>42.18</v>
      </c>
      <c r="CP47" s="9" t="n">
        <v>2.09</v>
      </c>
      <c r="CQ47" s="9" t="n">
        <v>1.41</v>
      </c>
      <c r="CR47" s="9" t="n">
        <v>9.119999999999999</v>
      </c>
      <c r="CS47" s="33">
        <f>PERCENTRANK(CR$2:INDEX($CR:$CR,LOOKUP(2,1/(ISNUMBER($A$2:$A$1048576)),ROW($A$2:$A$1048576))),CR47)</f>
        <v/>
      </c>
      <c r="CT47" s="39">
        <f>1-(CR47-CR$106)/CR$107</f>
        <v/>
      </c>
      <c r="CU47" s="9" t="n">
        <v>4.15</v>
      </c>
      <c r="CV47" s="33">
        <f>PERCENTRANK(CU$2:INDEX($CU:$CU,LOOKUP(2,1/(ISNUMBER($A$2:$A$1048576)),ROW($A$2:$A$1048576))),CU47)</f>
        <v/>
      </c>
      <c r="CW47" s="39">
        <f>1-(CU47-CU$106)/CU$107</f>
        <v/>
      </c>
      <c r="CX47" s="9" t="n">
        <v>45.48</v>
      </c>
      <c r="CY47" s="9" t="n">
        <v>68.79000000000001</v>
      </c>
      <c r="CZ47" s="9" t="n">
        <v>41.18</v>
      </c>
      <c r="DA47" s="9" t="n">
        <v>59.85</v>
      </c>
      <c r="DB47" s="9" t="n">
        <v>29.76</v>
      </c>
      <c r="DC47" s="9" t="n">
        <v>13.41</v>
      </c>
      <c r="DD47" s="9" t="n">
        <v>45.06</v>
      </c>
      <c r="DE47" s="9" t="n">
        <v>3.65</v>
      </c>
      <c r="DF47" s="9" t="n">
        <v>1.71</v>
      </c>
      <c r="DG47" s="9" t="n">
        <v>46.77</v>
      </c>
      <c r="DH47" s="9" t="n">
        <v>40.74</v>
      </c>
      <c r="DI47" s="33">
        <f>PERCENTRANK(DH$2:INDEX($DH:$DH,LOOKUP(2,1/(ISNUMBER($A$2:$A$1048576)),ROW($A$2:$A$1048576))),DH47)</f>
        <v/>
      </c>
      <c r="DJ47" s="39">
        <f>SUM(DH47-DH$106)/DH$107</f>
        <v/>
      </c>
      <c r="DK47" s="9" t="n">
        <v>14.35</v>
      </c>
      <c r="DL47" s="9" t="n">
        <v>13.29</v>
      </c>
      <c r="DM47" s="9" t="n">
        <v>2.18</v>
      </c>
      <c r="DN47" s="9" t="n">
        <v>0.21</v>
      </c>
      <c r="DO47" s="9" t="n">
        <v>140.62</v>
      </c>
      <c r="DP47" s="9" t="n">
        <v>100.71</v>
      </c>
      <c r="DQ47" s="33">
        <f>PERCENTRANK(DP$2:INDEX($DP:$DP,LOOKUP(2,1/(ISNUMBER($A$2:$A$1048576)),ROW($A$2:$A$1048576))),DP47)</f>
        <v/>
      </c>
      <c r="DR47" s="40">
        <f>sum(DP47-DP$106)/DP$107</f>
        <v/>
      </c>
      <c r="DS47" s="9" t="n">
        <v>71.62</v>
      </c>
      <c r="DT47" s="9" t="n">
        <v>60.71</v>
      </c>
      <c r="DU47" s="9" t="n">
        <v>56.76</v>
      </c>
      <c r="DV47" s="9" t="n">
        <v>93.51000000000001</v>
      </c>
      <c r="DW47" s="9" t="n">
        <v>154.62</v>
      </c>
      <c r="DX47" s="9" t="n">
        <v>136.79</v>
      </c>
      <c r="DY47" s="9" t="n">
        <v>88.47</v>
      </c>
      <c r="DZ47" s="9" t="n">
        <v>49.82</v>
      </c>
      <c r="EA47" s="9" t="n">
        <v>26.44</v>
      </c>
      <c r="EB47" s="9" t="n">
        <v>53.07</v>
      </c>
      <c r="EC47" s="9" t="n">
        <v>57.53</v>
      </c>
      <c r="ED47" s="9" t="n">
        <v>39.38</v>
      </c>
      <c r="EE47" s="33">
        <f>PERCENTRANK(ED$2:INDEX($ED:$ED,LOOKUP(2,1/(ISNUMBER($A$2:$A$1048576)),ROW($A$2:$A$1048576))),ED47)</f>
        <v/>
      </c>
      <c r="EF47" s="40">
        <f>sum(ED47-ED$106)/ED$107</f>
        <v/>
      </c>
      <c r="EG47" s="9" t="n">
        <v>68.45999999999999</v>
      </c>
      <c r="EH47" s="9" t="n">
        <v>72.5</v>
      </c>
      <c r="EI47" s="9" t="n">
        <v>53.68</v>
      </c>
      <c r="EJ47" s="33">
        <f>PERCENTRANK(EI$2:INDEX($EI:$EI,LOOKUP(2,1/(ISNUMBER($A$2:$A$1048576)),ROW($A$2:$A$1048576))),EI47)</f>
        <v/>
      </c>
      <c r="EK47" s="40">
        <f>sum(EI47-EI$106)/EI$107</f>
        <v/>
      </c>
      <c r="EL47" s="9" t="n">
        <v>74.04000000000001</v>
      </c>
      <c r="EM47" s="9" t="n">
        <v>3.29</v>
      </c>
      <c r="EN47" s="9" t="n">
        <v>1.35</v>
      </c>
      <c r="EO47" s="9" t="n">
        <v>41.07</v>
      </c>
      <c r="EP47" s="9" t="n">
        <v>21.97</v>
      </c>
      <c r="EQ47" s="9" t="n">
        <v>20.38</v>
      </c>
      <c r="ER47" s="9" t="n">
        <v>92.77</v>
      </c>
      <c r="ES47" s="9" t="n">
        <v>6.68</v>
      </c>
      <c r="ET47" s="9" t="n">
        <v>16.04</v>
      </c>
      <c r="EU47" s="9" t="n">
        <v>3.81</v>
      </c>
      <c r="EV47" s="9" t="n">
        <v>12.49</v>
      </c>
      <c r="EW47" s="9" t="n">
        <v>19.94</v>
      </c>
      <c r="EX47" s="33">
        <f>PERCENTRANK(EW$2:INDEX($EW:$EW,LOOKUP(2,1/(ISNUMBER($A$2:$A$1048576)),ROW($A$2:$A$1048576))),EW47)</f>
        <v/>
      </c>
      <c r="EY47" s="38">
        <f>1-(EW47-EW$106)/EW$107</f>
        <v/>
      </c>
      <c r="EZ47" s="9" t="n">
        <v>20.8</v>
      </c>
      <c r="FA47" s="9" t="n">
        <v>12.21</v>
      </c>
      <c r="FB47" s="33">
        <f>PERCENTRANK(FA$2:INDEX($FA:$FA,LOOKUP(2,1/(ISNUMBER($A$2:$A$1048576)),ROW($A$2:$A$1048576))),FA47)</f>
        <v/>
      </c>
      <c r="FC47" s="39">
        <f>1-(FA47-FA$106)/FA$107</f>
        <v/>
      </c>
      <c r="FD47" s="9" t="n">
        <v>1.41</v>
      </c>
      <c r="FE47" s="9" t="n">
        <v>1.28</v>
      </c>
      <c r="FF47" s="33">
        <f>PERCENTRANK(FE$2:INDEX($FE:$FE,LOOKUP(2,1/(ISNUMBER($A$2:$A$1048576)),ROW($A$2:$A$1048576))),FE47)</f>
        <v/>
      </c>
      <c r="FG47" s="39">
        <f>1-(FE47-FE$106)/FE$107</f>
        <v/>
      </c>
      <c r="FH47" s="9" t="n">
        <v>9.119999999999999</v>
      </c>
      <c r="FI47" s="9" t="n">
        <v>3.79</v>
      </c>
      <c r="FJ47" s="9" t="n">
        <v>41.61</v>
      </c>
      <c r="FK47" s="9" t="n">
        <v>415.59</v>
      </c>
      <c r="FL47" s="33">
        <f>PERCENTRANK(FK$2:INDEX($FK:$FK,LOOKUP(2,1/(ISNUMBER($A$2:$A$1048576)),ROW($A$2:$A$1048576))),FK47)</f>
        <v/>
      </c>
      <c r="FM47" s="39">
        <f>SWA46-(FK47-FK$106)/FK$107</f>
        <v/>
      </c>
      <c r="FN47" s="9" t="n">
        <v>344.88</v>
      </c>
      <c r="FO47" s="9" t="n">
        <v>82.98999999999999</v>
      </c>
      <c r="FP47" s="9" t="n">
        <v>49.67</v>
      </c>
      <c r="FQ47" s="9" t="n">
        <v>101.12</v>
      </c>
      <c r="FR47" s="9" t="n">
        <v>17.09</v>
      </c>
      <c r="FS47" s="9" t="n">
        <v>37.21</v>
      </c>
      <c r="FT47" s="9" t="n">
        <v>46.82</v>
      </c>
      <c r="FU47" s="9" t="n">
        <v>76.20999999999999</v>
      </c>
      <c r="FV47" s="9" t="n">
        <v>35.88</v>
      </c>
      <c r="FW47" s="9" t="n">
        <v>30.29</v>
      </c>
      <c r="FX47" s="9" t="n">
        <v>10.03</v>
      </c>
      <c r="FY47" s="9" t="n">
        <v>198.29</v>
      </c>
      <c r="FZ47" s="9" t="n">
        <v>93.70999999999999</v>
      </c>
      <c r="GA47" s="9" t="n">
        <v>47.26</v>
      </c>
      <c r="GB47" s="9" t="n">
        <v>3.47</v>
      </c>
      <c r="GC47" s="9" t="n">
        <v>0.91</v>
      </c>
      <c r="GD47" s="9" t="n">
        <v>26.27</v>
      </c>
      <c r="GE47" s="9" t="n">
        <v>26.41</v>
      </c>
      <c r="GF47" s="9" t="n">
        <v>4.59</v>
      </c>
      <c r="GG47" s="9" t="n">
        <v>17.37</v>
      </c>
      <c r="GH47" s="9" t="n">
        <v>2</v>
      </c>
      <c r="GI47" s="9" t="n">
        <v>0.79</v>
      </c>
      <c r="GJ47" s="9" t="n">
        <v>39.71</v>
      </c>
      <c r="GK47" s="9" t="n">
        <v>27.12</v>
      </c>
      <c r="GL47" s="9" t="n">
        <v>3</v>
      </c>
      <c r="GM47" s="9" t="n">
        <v>11.06</v>
      </c>
      <c r="GN47" s="9" t="n">
        <v>4.91</v>
      </c>
      <c r="GO47" s="9" t="n">
        <v>0.9399999999999999</v>
      </c>
      <c r="GP47" s="9" t="n">
        <v>19.16</v>
      </c>
      <c r="GQ47" s="9" t="n">
        <v>2.65</v>
      </c>
      <c r="GR47" s="9" t="n">
        <v>0.71</v>
      </c>
      <c r="GS47" s="9" t="n">
        <v>26.67</v>
      </c>
      <c r="GT47" s="9" t="n">
        <v>0.24</v>
      </c>
      <c r="GU47" s="9" t="n">
        <v>0.24</v>
      </c>
      <c r="GV47" s="9" t="n">
        <v>100</v>
      </c>
      <c r="GW47" s="9" t="n">
        <v>12.85</v>
      </c>
      <c r="GX47" s="9" t="n">
        <v>4.53</v>
      </c>
      <c r="GY47" s="9" t="n">
        <v>35.24</v>
      </c>
      <c r="GZ47" s="9" t="n">
        <v>4.44</v>
      </c>
      <c r="HA47" s="9" t="n">
        <v>5.41</v>
      </c>
      <c r="HB47" s="9" t="n">
        <v>20.82</v>
      </c>
      <c r="HC47" s="9" t="n">
        <v>3.06</v>
      </c>
      <c r="HD47" s="9" t="n">
        <v>7.79</v>
      </c>
      <c r="HE47" s="9" t="n">
        <v>14</v>
      </c>
      <c r="HF47" s="9" t="n">
        <v>68.79000000000001</v>
      </c>
      <c r="HG47" s="9" t="n">
        <v>27.62</v>
      </c>
      <c r="HH47" s="9" t="n">
        <v>40.15</v>
      </c>
      <c r="HI47" s="9" t="n">
        <v>2.38</v>
      </c>
      <c r="HJ47" s="9" t="n">
        <v>1.26</v>
      </c>
      <c r="HK47" s="9" t="n">
        <v>11.62</v>
      </c>
      <c r="HL47" s="9" t="n">
        <v>4.68</v>
      </c>
      <c r="HM47" s="9" t="n">
        <v>40.25</v>
      </c>
      <c r="HN47" s="9" t="n">
        <v>71.12</v>
      </c>
      <c r="HO47" s="9" t="n">
        <v>41.12</v>
      </c>
      <c r="HP47" s="9" t="n">
        <v>57.82</v>
      </c>
      <c r="HQ47" s="9" t="n">
        <v>29.76</v>
      </c>
      <c r="HR47" s="9" t="n">
        <v>13.94</v>
      </c>
      <c r="HS47" s="9" t="n">
        <v>46.84</v>
      </c>
      <c r="HT47" s="9" t="n">
        <v>4.18</v>
      </c>
      <c r="HU47" s="9" t="n">
        <v>1.91</v>
      </c>
      <c r="HV47" s="9" t="n">
        <v>45.77</v>
      </c>
      <c r="HW47" s="9" t="n">
        <v>39.06</v>
      </c>
      <c r="HX47" s="9" t="n">
        <v>15.94</v>
      </c>
      <c r="HY47" s="9" t="n">
        <v>15.38</v>
      </c>
      <c r="HZ47" s="9" t="n">
        <v>2.62</v>
      </c>
      <c r="IA47" s="9" t="n">
        <v>0.12</v>
      </c>
      <c r="IB47" s="9" t="n">
        <v>143.21</v>
      </c>
      <c r="IC47" s="9" t="n">
        <v>105.56</v>
      </c>
      <c r="ID47" s="9" t="n">
        <v>73.70999999999999</v>
      </c>
      <c r="IE47" s="9" t="n">
        <v>63.15</v>
      </c>
      <c r="IF47" s="9" t="n">
        <v>59.12</v>
      </c>
      <c r="IG47" s="9" t="n">
        <v>93.62</v>
      </c>
      <c r="IH47" s="9" t="n">
        <v>148.38</v>
      </c>
      <c r="II47" s="9" t="n">
        <v>130.53</v>
      </c>
      <c r="IJ47" s="9" t="n">
        <v>87.97</v>
      </c>
      <c r="IK47" s="9" t="n">
        <v>42</v>
      </c>
      <c r="IL47" s="9" t="n">
        <v>21.65</v>
      </c>
      <c r="IM47" s="9" t="n">
        <v>51.54</v>
      </c>
      <c r="IN47" s="9" t="n">
        <v>50.24</v>
      </c>
      <c r="IO47" s="9" t="n">
        <v>33.56</v>
      </c>
      <c r="IP47" s="9" t="n">
        <v>66.8</v>
      </c>
      <c r="IQ47" s="9" t="n">
        <v>69.44</v>
      </c>
      <c r="IR47" s="9" t="n">
        <v>49.85</v>
      </c>
      <c r="IS47" s="9" t="n">
        <v>71.79000000000001</v>
      </c>
      <c r="IT47" s="33">
        <f>PERCENTRANK(IS$2:INDEX($IS:$IS,LOOKUP(2,1/(ISNUMBER($A$2:$A$1048576)),ROW($A$2:$A$1048576))),IS47)</f>
        <v/>
      </c>
      <c r="IU47" s="39">
        <f>1-(IS47-IS$106)/IS$107</f>
        <v/>
      </c>
      <c r="IV47" s="9" t="n">
        <v>4.21</v>
      </c>
      <c r="IW47" s="9" t="n">
        <v>1.44</v>
      </c>
      <c r="IX47" s="9" t="n">
        <v>34.27</v>
      </c>
      <c r="IY47" s="9" t="n">
        <v>23.59</v>
      </c>
      <c r="IZ47" s="9" t="n">
        <v>20.82</v>
      </c>
      <c r="JA47" s="9" t="n">
        <v>88.28</v>
      </c>
      <c r="JB47" s="9" t="n">
        <v>8.029999999999999</v>
      </c>
      <c r="JC47" s="9" t="n">
        <v>16.11</v>
      </c>
      <c r="JD47" s="9" t="n">
        <v>3.89</v>
      </c>
      <c r="JE47" s="9" t="n">
        <v>10.87</v>
      </c>
      <c r="JF47" s="9" t="n">
        <v>17.76</v>
      </c>
      <c r="JG47" s="9" t="n">
        <v>19.62</v>
      </c>
      <c r="JH47" s="9" t="n">
        <v>10.4</v>
      </c>
    </row>
    <row r="48">
      <c r="A48" s="12" t="n">
        <v>2024</v>
      </c>
      <c r="B48" s="31" t="inlineStr">
        <is>
          <t>Sacramento Republic</t>
        </is>
      </c>
      <c r="C48" s="12" t="n">
        <v>49</v>
      </c>
      <c r="D48" s="5">
        <f>(C48-AVERAGE($C$2:INDEX($C:$C,LOOKUP(2,1/(ISNUMBER($A$2:$A$1048576)),ROW($A$2:$A$1048576)))))/_xlfn.STDEV.P($C$2:INDEX($C:$C,LOOKUP(2,1/(ISNUMBER($A$2:$A$1048576)),ROW($A$2:$A$1048576))))</f>
        <v/>
      </c>
      <c r="E48" s="12" t="n">
        <v>5</v>
      </c>
      <c r="F48" s="6">
        <f>-E48</f>
        <v/>
      </c>
      <c r="G48" s="7">
        <f>(F48-AVERAGE($F$2:INDEX($F:$F,LOOKUP(2,1/(ISNUMBER($A$2:$A$1048576)),ROW($A$2:$A$1048576)))))/_xlfn.STDEV.P($F$2:INDEX($F:$F,LOOKUP(2,1/(ISNUMBER($A$2:$A$1048576)),ROW($A$2:$A$1048576))))</f>
        <v/>
      </c>
      <c r="H48" s="32">
        <f>sum(0.5*D48)+(0.5*G48)</f>
        <v/>
      </c>
      <c r="I48" s="12" t="inlineStr">
        <is>
          <t>West</t>
        </is>
      </c>
      <c r="J48" s="10">
        <f>sum(L48*L$105)+(N48*N$105)+(P48*P$105)+(T48*R$105)</f>
        <v/>
      </c>
      <c r="K48" s="33">
        <f>PERCENTRANK(J$2:INDEX($J:$J,LOOKUP(2,1/(ISNUMBER($A$2:$A$1048576)),ROW($A$2:$A$1048576))),J48)</f>
        <v/>
      </c>
      <c r="L48" s="10">
        <f>sum(AA48*0.66)+(AD48*0.55)+(AG48*0.59)+(CG48*0.51)+(CL48*0.6)+(EY48*0.31)</f>
        <v/>
      </c>
      <c r="M48" s="33">
        <f>PERCENTRANK(L$2:INDEX($L:$L,LOOKUP(2,1/(ISNUMBER($A$2:$A$1048576)),ROW($A$2:$A$1048576))),L48)</f>
        <v/>
      </c>
      <c r="N48" s="10">
        <f>sum(CT48*0.57)+(CW48*0.71)+(DJ48*0.08)+(FC48*0.33)+(FG48*0.69)+(FM48*0.26)+(IU48*0.54)+(AU48*0.4)</f>
        <v/>
      </c>
      <c r="O48" s="33">
        <f>PERCENTRANK(N$2:INDEX($N:$N,LOOKUP(2,1/(ISNUMBER($A$2:$A$1048576)),ROW($A$2:$A$1048576))),N48)</f>
        <v/>
      </c>
      <c r="P48" s="10">
        <f>sum(BG48*0.51)+(CD48*0.51)+(DR48*0.11)+(EF48*0.42)+(EK48*0.44)+(W48*0.6)</f>
        <v/>
      </c>
      <c r="Q48" s="33">
        <f>PERCENTRANK(P$2:INDEX($P:$P,LOOKUP(2,1/(ISNUMBER($A$2:$A$1048576)),ROW($A$2:$A$1048576))),P48)</f>
        <v/>
      </c>
      <c r="R48" s="10">
        <f>sum(Y48-FE48)</f>
        <v/>
      </c>
      <c r="S48" s="33">
        <f>PERCENTRANK(R$2:INDEX($R:$R,LOOKUP(2,1/(ISNUMBER($A$2:$A$1048576)),ROW($A$2:$A$1048576))),R48)</f>
        <v/>
      </c>
      <c r="T48" s="34">
        <f>sum(R48-R$106)/R$107</f>
        <v/>
      </c>
      <c r="U48" s="35">
        <f>sum(Y48/AI48)*100</f>
        <v/>
      </c>
      <c r="V48" s="33">
        <f>PERCENTRANK(U$2:INDEX($U:$U,LOOKUP(2,1/(ISNUMBER($A$2:$A$1048576)),ROW($A$2:$A$1048576))),U48)</f>
        <v/>
      </c>
      <c r="W48" s="36">
        <f>sum(U48-U$106)/U$107</f>
        <v/>
      </c>
      <c r="X48" s="9" t="n">
        <v>1.31</v>
      </c>
      <c r="Y48" s="9" t="n">
        <v>1.56</v>
      </c>
      <c r="Z48" s="33">
        <f>PERCENTRANK(Y$2:INDEX($Y:$Y,LOOKUP(2,1/(ISNUMBER($A$2:$A$1048576)),ROW($A$2:$A$1048576))),Y48)</f>
        <v/>
      </c>
      <c r="AA48" s="37">
        <f>sum(Y48-Y$106)/Y$107</f>
        <v/>
      </c>
      <c r="AB48" s="9" t="n">
        <v>12.06</v>
      </c>
      <c r="AC48" s="33">
        <f>PERCENTRANK(AB$2:INDEX($AB:$AB,LOOKUP(2,1/(ISNUMBER($A$2:$A$1048576)),ROW($A$2:$A$1048576))),AB48)</f>
        <v/>
      </c>
      <c r="AD48" s="38">
        <f>sum(AB48-AB$106)/AB$107</f>
        <v/>
      </c>
      <c r="AE48" s="9" t="n">
        <v>4.23</v>
      </c>
      <c r="AF48" s="33">
        <f>PERCENTRANK(AE$2:INDEX($AE:$AE,LOOKUP(2,1/(ISNUMBER($A$2:$A$1048576)),ROW($A$2:$A$1048576))),AE48)</f>
        <v/>
      </c>
      <c r="AG48" s="38">
        <f>sum(AE48-AE$106)/AE$107</f>
        <v/>
      </c>
      <c r="AH48" s="9" t="n">
        <v>35.07</v>
      </c>
      <c r="AI48" s="9" t="n">
        <v>410.71</v>
      </c>
      <c r="AJ48" s="9" t="n">
        <v>338.86</v>
      </c>
      <c r="AK48" s="9" t="n">
        <v>82.5</v>
      </c>
      <c r="AL48" s="9" t="n">
        <v>49.69</v>
      </c>
      <c r="AM48" s="9" t="n">
        <v>102.49</v>
      </c>
      <c r="AN48" s="9" t="n">
        <v>16.77</v>
      </c>
      <c r="AO48" s="9" t="n">
        <v>36.94</v>
      </c>
      <c r="AP48" s="9" t="n">
        <v>48.77</v>
      </c>
      <c r="AQ48" s="9" t="n">
        <v>79</v>
      </c>
      <c r="AR48" s="9" t="n">
        <v>34.37</v>
      </c>
      <c r="AS48" s="9" t="n">
        <v>33.4</v>
      </c>
      <c r="AT48" s="33">
        <f>PERCENTRANK(AS$2:INDEX($AS:$AS,LOOKUP(2,1/(ISNUMBER($A$2:$A$1048576)),ROW($A$2:$A$1048576))),AS48)</f>
        <v/>
      </c>
      <c r="AU48" s="39">
        <f>SUM(AS48-AS$106)/AS$107</f>
        <v/>
      </c>
      <c r="AV48" s="9" t="n">
        <v>11.23</v>
      </c>
      <c r="AW48" s="33">
        <f>PERCENTRANK(AV$2:INDEX($AV:$AV,LOOKUP(2,1/(ISNUMBER($A$2:$A$1048576)),ROW($A$2:$A$1048576))),AV48)</f>
        <v/>
      </c>
      <c r="AX48" s="9" t="n">
        <v>200.63</v>
      </c>
      <c r="AY48" s="9" t="n">
        <v>99.51000000000001</v>
      </c>
      <c r="AZ48" s="9" t="n">
        <v>49.6</v>
      </c>
      <c r="BA48" s="9" t="n">
        <v>4.57</v>
      </c>
      <c r="BB48" s="9" t="n">
        <v>1.11</v>
      </c>
      <c r="BC48" s="9" t="n">
        <v>24.38</v>
      </c>
      <c r="BD48" s="9" t="n">
        <v>30.03</v>
      </c>
      <c r="BE48" s="9" t="n">
        <v>7.17</v>
      </c>
      <c r="BF48" s="33">
        <f>PERCENTRANK(BE$2:INDEX($BE:$BE,LOOKUP(2,1/(ISNUMBER($A$2:$A$1048576)),ROW($A$2:$A$1048576))),BE48)</f>
        <v/>
      </c>
      <c r="BG48" s="40">
        <f>sum(BE48-BE$106)/BE$107</f>
        <v/>
      </c>
      <c r="BH48" s="9" t="n">
        <v>23.88</v>
      </c>
      <c r="BI48" s="9" t="n">
        <v>0.91</v>
      </c>
      <c r="BJ48" s="9" t="n">
        <v>0.54</v>
      </c>
      <c r="BK48" s="9" t="n">
        <v>59.38</v>
      </c>
      <c r="BL48" s="9" t="n">
        <v>27.6</v>
      </c>
      <c r="BM48" s="9" t="n">
        <v>3.77</v>
      </c>
      <c r="BN48" s="9" t="n">
        <v>13.66</v>
      </c>
      <c r="BO48" s="9" t="n">
        <v>5.37</v>
      </c>
      <c r="BP48" s="9" t="n">
        <v>1.77</v>
      </c>
      <c r="BQ48" s="9" t="n">
        <v>32.98</v>
      </c>
      <c r="BR48" s="9" t="n">
        <v>2.63</v>
      </c>
      <c r="BS48" s="9" t="n">
        <v>0.8</v>
      </c>
      <c r="BT48" s="9" t="n">
        <v>30.43</v>
      </c>
      <c r="BU48" s="9" t="n">
        <v>0.03</v>
      </c>
      <c r="BV48" s="9" t="n">
        <v>0.03</v>
      </c>
      <c r="BW48" s="9" t="n">
        <v>100</v>
      </c>
      <c r="BX48" s="9" t="n">
        <v>16.69</v>
      </c>
      <c r="BY48" s="9" t="n">
        <v>5.91</v>
      </c>
      <c r="BZ48" s="9" t="n">
        <v>35.45</v>
      </c>
      <c r="CA48" s="9" t="n">
        <v>5.8</v>
      </c>
      <c r="CB48" s="9" t="n">
        <v>5.89</v>
      </c>
      <c r="CC48" s="33">
        <f>PERCENTRANK(CD$2:INDEX($CD:$CD,LOOKUP(2,1/(ISNUMBER($A$2:$A$1048576)),ROW($A$2:$A$1048576))),CD48)</f>
        <v/>
      </c>
      <c r="CD48" s="40">
        <f>sum(CB48-CB$106)/CB$107</f>
        <v/>
      </c>
      <c r="CE48" s="9" t="n">
        <v>22.74</v>
      </c>
      <c r="CF48" s="33">
        <f>PERCENTRANK(CE$2:INDEX($CE:$CE,LOOKUP(2,1/(ISNUMBER($A$2:$A$1048576)),ROW($A$2:$A$1048576))),CE48)</f>
        <v/>
      </c>
      <c r="CG48" s="38">
        <f>sum(CE48-CE$106)/CE$107</f>
        <v/>
      </c>
      <c r="CH48" s="9" t="n">
        <v>3.09</v>
      </c>
      <c r="CI48" s="9" t="n">
        <v>10.14</v>
      </c>
      <c r="CJ48" s="9" t="n">
        <v>16.6</v>
      </c>
      <c r="CK48" s="33">
        <f>PERCENTRANK(CJ$2:INDEX($CJ:$CJ,LOOKUP(2,1/(ISNUMBER($A$2:$A$1048576)),ROW($A$2:$A$1048576))),CJ48)</f>
        <v/>
      </c>
      <c r="CL48" s="38">
        <f>sum(CJ48-CJ$106)/CJ$107</f>
        <v/>
      </c>
      <c r="CM48" s="9" t="n">
        <v>63.46</v>
      </c>
      <c r="CN48" s="9" t="n">
        <v>26.06</v>
      </c>
      <c r="CO48" s="9" t="n">
        <v>41.06</v>
      </c>
      <c r="CP48" s="9" t="n">
        <v>2.17</v>
      </c>
      <c r="CQ48" s="9" t="n">
        <v>0.97</v>
      </c>
      <c r="CR48" s="9" t="n">
        <v>10.29</v>
      </c>
      <c r="CS48" s="33">
        <f>PERCENTRANK(CR$2:INDEX($CR:$CR,LOOKUP(2,1/(ISNUMBER($A$2:$A$1048576)),ROW($A$2:$A$1048576))),CR48)</f>
        <v/>
      </c>
      <c r="CT48" s="39">
        <f>1-(CR48-CR$106)/CR$107</f>
        <v/>
      </c>
      <c r="CU48" s="9" t="n">
        <v>4</v>
      </c>
      <c r="CV48" s="33">
        <f>PERCENTRANK(CU$2:INDEX($CU:$CU,LOOKUP(2,1/(ISNUMBER($A$2:$A$1048576)),ROW($A$2:$A$1048576))),CU48)</f>
        <v/>
      </c>
      <c r="CW48" s="39">
        <f>1-(CU48-CU$106)/CU$107</f>
        <v/>
      </c>
      <c r="CX48" s="9" t="n">
        <v>38.89</v>
      </c>
      <c r="CY48" s="9" t="n">
        <v>68.83</v>
      </c>
      <c r="CZ48" s="9" t="n">
        <v>42.69</v>
      </c>
      <c r="DA48" s="9" t="n">
        <v>62.02</v>
      </c>
      <c r="DB48" s="9" t="n">
        <v>41.66</v>
      </c>
      <c r="DC48" s="9" t="n">
        <v>20.57</v>
      </c>
      <c r="DD48" s="9" t="n">
        <v>49.38</v>
      </c>
      <c r="DE48" s="9" t="n">
        <v>4.06</v>
      </c>
      <c r="DF48" s="9" t="n">
        <v>1.71</v>
      </c>
      <c r="DG48" s="9" t="n">
        <v>42.25</v>
      </c>
      <c r="DH48" s="9" t="n">
        <v>36.89</v>
      </c>
      <c r="DI48" s="33">
        <f>PERCENTRANK(DH$2:INDEX($DH:$DH,LOOKUP(2,1/(ISNUMBER($A$2:$A$1048576)),ROW($A$2:$A$1048576))),DH48)</f>
        <v/>
      </c>
      <c r="DJ48" s="39">
        <f>SUM(DH48-DH$106)/DH$107</f>
        <v/>
      </c>
      <c r="DK48" s="9" t="n">
        <v>13.94</v>
      </c>
      <c r="DL48" s="9" t="n">
        <v>14.26</v>
      </c>
      <c r="DM48" s="9" t="n">
        <v>2.57</v>
      </c>
      <c r="DN48" s="9" t="n">
        <v>0.09</v>
      </c>
      <c r="DO48" s="9" t="n">
        <v>145.14</v>
      </c>
      <c r="DP48" s="9" t="n">
        <v>104.69</v>
      </c>
      <c r="DQ48" s="33">
        <f>PERCENTRANK(DP$2:INDEX($DP:$DP,LOOKUP(2,1/(ISNUMBER($A$2:$A$1048576)),ROW($A$2:$A$1048576))),DP48)</f>
        <v/>
      </c>
      <c r="DR48" s="40">
        <f>sum(DP48-DP$106)/DP$107</f>
        <v/>
      </c>
      <c r="DS48" s="9" t="n">
        <v>72.13</v>
      </c>
      <c r="DT48" s="9" t="n">
        <v>65.86</v>
      </c>
      <c r="DU48" s="9" t="n">
        <v>61.83</v>
      </c>
      <c r="DV48" s="9" t="n">
        <v>93.88</v>
      </c>
      <c r="DW48" s="9" t="n">
        <v>144.2</v>
      </c>
      <c r="DX48" s="9" t="n">
        <v>127.43</v>
      </c>
      <c r="DY48" s="9" t="n">
        <v>88.37</v>
      </c>
      <c r="DZ48" s="9" t="n">
        <v>49.8</v>
      </c>
      <c r="EA48" s="9" t="n">
        <v>26.17</v>
      </c>
      <c r="EB48" s="9" t="n">
        <v>52.55</v>
      </c>
      <c r="EC48" s="9" t="n">
        <v>58.66</v>
      </c>
      <c r="ED48" s="9" t="n">
        <v>39.09</v>
      </c>
      <c r="EE48" s="33">
        <f>PERCENTRANK(ED$2:INDEX($ED:$ED,LOOKUP(2,1/(ISNUMBER($A$2:$A$1048576)),ROW($A$2:$A$1048576))),ED48)</f>
        <v/>
      </c>
      <c r="EF48" s="40">
        <f>sum(ED48-ED$106)/ED$107</f>
        <v/>
      </c>
      <c r="EG48" s="9" t="n">
        <v>66.63</v>
      </c>
      <c r="EH48" s="9" t="n">
        <v>73</v>
      </c>
      <c r="EI48" s="9" t="n">
        <v>55.06</v>
      </c>
      <c r="EJ48" s="33">
        <f>PERCENTRANK(EI$2:INDEX($EI:$EI,LOOKUP(2,1/(ISNUMBER($A$2:$A$1048576)),ROW($A$2:$A$1048576))),EI48)</f>
        <v/>
      </c>
      <c r="EK48" s="40">
        <f>sum(EI48-EI$106)/EI$107</f>
        <v/>
      </c>
      <c r="EL48" s="9" t="n">
        <v>75.42</v>
      </c>
      <c r="EM48" s="9" t="n">
        <v>1.26</v>
      </c>
      <c r="EN48" s="9" t="n">
        <v>0.49</v>
      </c>
      <c r="EO48" s="9" t="n">
        <v>38.64</v>
      </c>
      <c r="EP48" s="9" t="n">
        <v>21.97</v>
      </c>
      <c r="EQ48" s="9" t="n">
        <v>20.34</v>
      </c>
      <c r="ER48" s="9" t="n">
        <v>92.59</v>
      </c>
      <c r="ES48" s="9" t="n">
        <v>7.43</v>
      </c>
      <c r="ET48" s="9" t="n">
        <v>16.45</v>
      </c>
      <c r="EU48" s="9" t="n">
        <v>3.86</v>
      </c>
      <c r="EV48" s="9" t="n">
        <v>12.42</v>
      </c>
      <c r="EW48" s="9" t="n">
        <v>17.6</v>
      </c>
      <c r="EX48" s="33">
        <f>PERCENTRANK(EW$2:INDEX($EW:$EW,LOOKUP(2,1/(ISNUMBER($A$2:$A$1048576)),ROW($A$2:$A$1048576))),EW48)</f>
        <v/>
      </c>
      <c r="EY48" s="38">
        <f>1-(EW48-EW$106)/EW$107</f>
        <v/>
      </c>
      <c r="EZ48" s="9" t="n">
        <v>20.49</v>
      </c>
      <c r="FA48" s="9" t="n">
        <v>10.3</v>
      </c>
      <c r="FB48" s="33">
        <f>PERCENTRANK(FA$2:INDEX($FA:$FA,LOOKUP(2,1/(ISNUMBER($A$2:$A$1048576)),ROW($A$2:$A$1048576))),FA48)</f>
        <v/>
      </c>
      <c r="FC48" s="39">
        <f>1-(FA48-FA$106)/FA$107</f>
        <v/>
      </c>
      <c r="FD48" s="9" t="n">
        <v>0.97</v>
      </c>
      <c r="FE48" s="9" t="n">
        <v>1.18</v>
      </c>
      <c r="FF48" s="33">
        <f>PERCENTRANK(FE$2:INDEX($FE:$FE,LOOKUP(2,1/(ISNUMBER($A$2:$A$1048576)),ROW($A$2:$A$1048576))),FE48)</f>
        <v/>
      </c>
      <c r="FG48" s="39">
        <f>1-(FE48-FE$106)/FE$107</f>
        <v/>
      </c>
      <c r="FH48" s="9" t="n">
        <v>10.29</v>
      </c>
      <c r="FI48" s="9" t="n">
        <v>3.77</v>
      </c>
      <c r="FJ48" s="9" t="n">
        <v>36.67</v>
      </c>
      <c r="FK48" s="9" t="n">
        <v>399.66</v>
      </c>
      <c r="FL48" s="33">
        <f>PERCENTRANK(FK$2:INDEX($FK:$FK,LOOKUP(2,1/(ISNUMBER($A$2:$A$1048576)),ROW($A$2:$A$1048576))),FK48)</f>
        <v/>
      </c>
      <c r="FM48" s="39">
        <f>SWA47-(FK48-FK$106)/FK$107</f>
        <v/>
      </c>
      <c r="FN48" s="9" t="n">
        <v>330.74</v>
      </c>
      <c r="FO48" s="9" t="n">
        <v>82.76000000000001</v>
      </c>
      <c r="FP48" s="9" t="n">
        <v>50.31</v>
      </c>
      <c r="FQ48" s="9" t="n">
        <v>104.57</v>
      </c>
      <c r="FR48" s="9" t="n">
        <v>19.43</v>
      </c>
      <c r="FS48" s="9" t="n">
        <v>39.6</v>
      </c>
      <c r="FT48" s="9" t="n">
        <v>45.54</v>
      </c>
      <c r="FU48" s="9" t="n">
        <v>79.77</v>
      </c>
      <c r="FV48" s="9" t="n">
        <v>38.49</v>
      </c>
      <c r="FW48" s="9" t="n">
        <v>31</v>
      </c>
      <c r="FX48" s="9" t="n">
        <v>10.29</v>
      </c>
      <c r="FY48" s="9" t="n">
        <v>200.63</v>
      </c>
      <c r="FZ48" s="9" t="n">
        <v>93.09</v>
      </c>
      <c r="GA48" s="9" t="n">
        <v>46.4</v>
      </c>
      <c r="GB48" s="9" t="n">
        <v>4.26</v>
      </c>
      <c r="GC48" s="9" t="n">
        <v>1.11</v>
      </c>
      <c r="GD48" s="9" t="n">
        <v>26.17</v>
      </c>
      <c r="GE48" s="9" t="n">
        <v>25.43</v>
      </c>
      <c r="GF48" s="9" t="n">
        <v>6.31</v>
      </c>
      <c r="GG48" s="9" t="n">
        <v>24.83</v>
      </c>
      <c r="GH48" s="9" t="n">
        <v>0.97</v>
      </c>
      <c r="GI48" s="9" t="n">
        <v>0.54</v>
      </c>
      <c r="GJ48" s="9" t="n">
        <v>55.88</v>
      </c>
      <c r="GK48" s="9" t="n">
        <v>26.6</v>
      </c>
      <c r="GL48" s="9" t="n">
        <v>2.97</v>
      </c>
      <c r="GM48" s="9" t="n">
        <v>11.17</v>
      </c>
      <c r="GN48" s="9" t="n">
        <v>4.2</v>
      </c>
      <c r="GO48" s="9" t="n">
        <v>1.11</v>
      </c>
      <c r="GP48" s="9" t="n">
        <v>26.53</v>
      </c>
      <c r="GQ48" s="9" t="n">
        <v>2.4</v>
      </c>
      <c r="GR48" s="9" t="n">
        <v>0.57</v>
      </c>
      <c r="GS48" s="9" t="n">
        <v>23.81</v>
      </c>
      <c r="GT48" s="9" t="n">
        <v>0.11</v>
      </c>
      <c r="GU48" s="9" t="n">
        <v>0.03</v>
      </c>
      <c r="GV48" s="9" t="n">
        <v>25</v>
      </c>
      <c r="GW48" s="9" t="n">
        <v>12.23</v>
      </c>
      <c r="GX48" s="9" t="n">
        <v>3.63</v>
      </c>
      <c r="GY48" s="9" t="n">
        <v>29.67</v>
      </c>
      <c r="GZ48" s="9" t="n">
        <v>3.34</v>
      </c>
      <c r="HA48" s="9" t="n">
        <v>5.66</v>
      </c>
      <c r="HB48" s="9" t="n">
        <v>20.66</v>
      </c>
      <c r="HC48" s="9" t="n">
        <v>3.26</v>
      </c>
      <c r="HD48" s="9" t="n">
        <v>7.37</v>
      </c>
      <c r="HE48" s="9" t="n">
        <v>14</v>
      </c>
      <c r="HF48" s="9" t="n">
        <v>68.86</v>
      </c>
      <c r="HG48" s="9" t="n">
        <v>26.14</v>
      </c>
      <c r="HH48" s="9" t="n">
        <v>37.97</v>
      </c>
      <c r="HI48" s="9" t="n">
        <v>2.34</v>
      </c>
      <c r="HJ48" s="9" t="n">
        <v>1.31</v>
      </c>
      <c r="HK48" s="9" t="n">
        <v>12.06</v>
      </c>
      <c r="HL48" s="9" t="n">
        <v>4.34</v>
      </c>
      <c r="HM48" s="9" t="n">
        <v>36.02</v>
      </c>
      <c r="HN48" s="9" t="n">
        <v>63.46</v>
      </c>
      <c r="HO48" s="9" t="n">
        <v>37.4</v>
      </c>
      <c r="HP48" s="9" t="n">
        <v>58.94</v>
      </c>
      <c r="HQ48" s="9" t="n">
        <v>41.63</v>
      </c>
      <c r="HR48" s="9" t="n">
        <v>17.74</v>
      </c>
      <c r="HS48" s="9" t="n">
        <v>42.62</v>
      </c>
      <c r="HT48" s="9" t="n">
        <v>3.91</v>
      </c>
      <c r="HU48" s="9" t="n">
        <v>1.97</v>
      </c>
      <c r="HV48" s="9" t="n">
        <v>50.36</v>
      </c>
      <c r="HW48" s="9" t="n">
        <v>36.57</v>
      </c>
      <c r="HX48" s="9" t="n">
        <v>14.4</v>
      </c>
      <c r="HY48" s="9" t="n">
        <v>14.03</v>
      </c>
      <c r="HZ48" s="9" t="n">
        <v>2.89</v>
      </c>
      <c r="IA48" s="9" t="n">
        <v>0.03</v>
      </c>
      <c r="IB48" s="9" t="n">
        <v>138.63</v>
      </c>
      <c r="IC48" s="9" t="n">
        <v>96.86</v>
      </c>
      <c r="ID48" s="9" t="n">
        <v>69.87</v>
      </c>
      <c r="IE48" s="9" t="n">
        <v>59.31</v>
      </c>
      <c r="IF48" s="9" t="n">
        <v>55.54</v>
      </c>
      <c r="IG48" s="9" t="n">
        <v>93.64</v>
      </c>
      <c r="IH48" s="9" t="n">
        <v>149.57</v>
      </c>
      <c r="II48" s="9" t="n">
        <v>135.43</v>
      </c>
      <c r="IJ48" s="9" t="n">
        <v>90.54000000000001</v>
      </c>
      <c r="IK48" s="9" t="n">
        <v>50.74</v>
      </c>
      <c r="IL48" s="9" t="n">
        <v>26.51</v>
      </c>
      <c r="IM48" s="9" t="n">
        <v>52.25</v>
      </c>
      <c r="IN48" s="9" t="n">
        <v>53.77</v>
      </c>
      <c r="IO48" s="9" t="n">
        <v>34.31</v>
      </c>
      <c r="IP48" s="9" t="n">
        <v>63.82</v>
      </c>
      <c r="IQ48" s="9" t="n">
        <v>68.2</v>
      </c>
      <c r="IR48" s="9" t="n">
        <v>48.2</v>
      </c>
      <c r="IS48" s="9" t="n">
        <v>70.67</v>
      </c>
      <c r="IT48" s="33">
        <f>PERCENTRANK(IS$2:INDEX($IS:$IS,LOOKUP(2,1/(ISNUMBER($A$2:$A$1048576)),ROW($A$2:$A$1048576))),IS48)</f>
        <v/>
      </c>
      <c r="IU48" s="39">
        <f>1-(IS48-IS$106)/IS$107</f>
        <v/>
      </c>
      <c r="IV48" s="9" t="n">
        <v>1.8</v>
      </c>
      <c r="IW48" s="9" t="n">
        <v>0.77</v>
      </c>
      <c r="IX48" s="9" t="n">
        <v>42.86</v>
      </c>
      <c r="IY48" s="9" t="n">
        <v>21.77</v>
      </c>
      <c r="IZ48" s="9" t="n">
        <v>19.17</v>
      </c>
      <c r="JA48" s="9" t="n">
        <v>88.06</v>
      </c>
      <c r="JB48" s="9" t="n">
        <v>7.74</v>
      </c>
      <c r="JC48" s="9" t="n">
        <v>15.55</v>
      </c>
      <c r="JD48" s="9" t="n">
        <v>3.8</v>
      </c>
      <c r="JE48" s="9" t="n">
        <v>13.56</v>
      </c>
      <c r="JF48" s="9" t="n">
        <v>19.13</v>
      </c>
      <c r="JG48" s="9" t="n">
        <v>20.75</v>
      </c>
      <c r="JH48" s="9" t="n">
        <v>11.81</v>
      </c>
    </row>
    <row r="49">
      <c r="A49" s="12" t="n">
        <v>2024</v>
      </c>
      <c r="B49" s="31" t="inlineStr">
        <is>
          <t>Loudoun United</t>
        </is>
      </c>
      <c r="C49" s="12" t="n">
        <v>44</v>
      </c>
      <c r="D49" s="5">
        <f>(C49-AVERAGE($C$2:INDEX($C:$C,LOOKUP(2,1/(ISNUMBER($A$2:$A$1048576)),ROW($A$2:$A$1048576)))))/_xlfn.STDEV.P($C$2:INDEX($C:$C,LOOKUP(2,1/(ISNUMBER($A$2:$A$1048576)),ROW($A$2:$A$1048576))))</f>
        <v/>
      </c>
      <c r="E49" s="12" t="n">
        <v>11</v>
      </c>
      <c r="F49" s="6">
        <f>-E49</f>
        <v/>
      </c>
      <c r="G49" s="7">
        <f>(F49-AVERAGE($F$2:INDEX($F:$F,LOOKUP(2,1/(ISNUMBER($A$2:$A$1048576)),ROW($A$2:$A$1048576)))))/_xlfn.STDEV.P($F$2:INDEX($F:$F,LOOKUP(2,1/(ISNUMBER($A$2:$A$1048576)),ROW($A$2:$A$1048576))))</f>
        <v/>
      </c>
      <c r="H49" s="32">
        <f>sum(0.5*D49)+(0.5*G49)</f>
        <v/>
      </c>
      <c r="I49" s="12" t="inlineStr">
        <is>
          <t>East</t>
        </is>
      </c>
      <c r="J49" s="10">
        <f>sum(L49*L$105)+(N49*N$105)+(P49*P$105)+(T49*R$105)</f>
        <v/>
      </c>
      <c r="K49" s="33">
        <f>PERCENTRANK(J$2:INDEX($J:$J,LOOKUP(2,1/(ISNUMBER($A$2:$A$1048576)),ROW($A$2:$A$1048576))),J49)</f>
        <v/>
      </c>
      <c r="L49" s="10">
        <f>sum(AA49*0.66)+(AD49*0.55)+(AG49*0.59)+(CG49*0.51)+(CL49*0.6)+(EY49*0.31)</f>
        <v/>
      </c>
      <c r="M49" s="33">
        <f>PERCENTRANK(L$2:INDEX($L:$L,LOOKUP(2,1/(ISNUMBER($A$2:$A$1048576)),ROW($A$2:$A$1048576))),L49)</f>
        <v/>
      </c>
      <c r="N49" s="10">
        <f>sum(CT49*0.57)+(CW49*0.71)+(DJ49*0.08)+(FC49*0.33)+(FG49*0.69)+(FM49*0.26)+(IU49*0.54)+(AU49*0.4)</f>
        <v/>
      </c>
      <c r="O49" s="33">
        <f>PERCENTRANK(N$2:INDEX($N:$N,LOOKUP(2,1/(ISNUMBER($A$2:$A$1048576)),ROW($A$2:$A$1048576))),N49)</f>
        <v/>
      </c>
      <c r="P49" s="10">
        <f>sum(BG49*0.51)+(CD49*0.51)+(DR49*0.11)+(EF49*0.42)+(EK49*0.44)+(W49*0.6)</f>
        <v/>
      </c>
      <c r="Q49" s="33">
        <f>PERCENTRANK(P$2:INDEX($P:$P,LOOKUP(2,1/(ISNUMBER($A$2:$A$1048576)),ROW($A$2:$A$1048576))),P49)</f>
        <v/>
      </c>
      <c r="R49" s="10">
        <f>sum(Y49-FE49)</f>
        <v/>
      </c>
      <c r="S49" s="33">
        <f>PERCENTRANK(R$2:INDEX($R:$R,LOOKUP(2,1/(ISNUMBER($A$2:$A$1048576)),ROW($A$2:$A$1048576))),R49)</f>
        <v/>
      </c>
      <c r="T49" s="34">
        <f>sum(R49-R$106)/R$107</f>
        <v/>
      </c>
      <c r="U49" s="35">
        <f>sum(Y49/AI49)*100</f>
        <v/>
      </c>
      <c r="V49" s="33">
        <f>PERCENTRANK(U$2:INDEX($U:$U,LOOKUP(2,1/(ISNUMBER($A$2:$A$1048576)),ROW($A$2:$A$1048576))),U49)</f>
        <v/>
      </c>
      <c r="W49" s="36">
        <f>sum(U49-U$106)/U$107</f>
        <v/>
      </c>
      <c r="X49" s="9" t="n">
        <v>1.29</v>
      </c>
      <c r="Y49" s="9" t="n">
        <v>1.48</v>
      </c>
      <c r="Z49" s="33">
        <f>PERCENTRANK(Y$2:INDEX($Y:$Y,LOOKUP(2,1/(ISNUMBER($A$2:$A$1048576)),ROW($A$2:$A$1048576))),Y49)</f>
        <v/>
      </c>
      <c r="AA49" s="37">
        <f>sum(Y49-Y$106)/Y$107</f>
        <v/>
      </c>
      <c r="AB49" s="9" t="n">
        <v>10.88</v>
      </c>
      <c r="AC49" s="33">
        <f>PERCENTRANK(AB$2:INDEX($AB:$AB,LOOKUP(2,1/(ISNUMBER($A$2:$A$1048576)),ROW($A$2:$A$1048576))),AB49)</f>
        <v/>
      </c>
      <c r="AD49" s="38">
        <f>sum(AB49-AB$106)/AB$107</f>
        <v/>
      </c>
      <c r="AE49" s="9" t="n">
        <v>4.38</v>
      </c>
      <c r="AF49" s="33">
        <f>PERCENTRANK(AE$2:INDEX($AE:$AE,LOOKUP(2,1/(ISNUMBER($A$2:$A$1048576)),ROW($A$2:$A$1048576))),AE49)</f>
        <v/>
      </c>
      <c r="AG49" s="38">
        <f>sum(AE49-AE$106)/AE$107</f>
        <v/>
      </c>
      <c r="AH49" s="9" t="n">
        <v>40.27</v>
      </c>
      <c r="AI49" s="9" t="n">
        <v>481.12</v>
      </c>
      <c r="AJ49" s="9" t="n">
        <v>407.62</v>
      </c>
      <c r="AK49" s="9" t="n">
        <v>84.72</v>
      </c>
      <c r="AL49" s="9" t="n">
        <v>52.07</v>
      </c>
      <c r="AM49" s="9" t="n">
        <v>104.24</v>
      </c>
      <c r="AN49" s="9" t="n">
        <v>19.74</v>
      </c>
      <c r="AO49" s="9" t="n">
        <v>39.82</v>
      </c>
      <c r="AP49" s="9" t="n">
        <v>44.68</v>
      </c>
      <c r="AQ49" s="9" t="n">
        <v>78.94</v>
      </c>
      <c r="AR49" s="9" t="n">
        <v>36</v>
      </c>
      <c r="AS49" s="9" t="n">
        <v>31.76</v>
      </c>
      <c r="AT49" s="33">
        <f>PERCENTRANK(AS$2:INDEX($AS:$AS,LOOKUP(2,1/(ISNUMBER($A$2:$A$1048576)),ROW($A$2:$A$1048576))),AS49)</f>
        <v/>
      </c>
      <c r="AU49" s="39">
        <f>SUM(AS49-AS$106)/AS$107</f>
        <v/>
      </c>
      <c r="AV49" s="9" t="n">
        <v>11.18</v>
      </c>
      <c r="AW49" s="33">
        <f>PERCENTRANK(AV$2:INDEX($AV:$AV,LOOKUP(2,1/(ISNUMBER($A$2:$A$1048576)),ROW($A$2:$A$1048576))),AV49)</f>
        <v/>
      </c>
      <c r="AX49" s="9" t="n">
        <v>185.32</v>
      </c>
      <c r="AY49" s="9" t="n">
        <v>87.31999999999999</v>
      </c>
      <c r="AZ49" s="9" t="n">
        <v>47.12</v>
      </c>
      <c r="BA49" s="9" t="n">
        <v>4.09</v>
      </c>
      <c r="BB49" s="9" t="n">
        <v>1.29</v>
      </c>
      <c r="BC49" s="9" t="n">
        <v>31.65</v>
      </c>
      <c r="BD49" s="9" t="n">
        <v>27.32</v>
      </c>
      <c r="BE49" s="9" t="n">
        <v>6.94</v>
      </c>
      <c r="BF49" s="33">
        <f>PERCENTRANK(BE$2:INDEX($BE:$BE,LOOKUP(2,1/(ISNUMBER($A$2:$A$1048576)),ROW($A$2:$A$1048576))),BE49)</f>
        <v/>
      </c>
      <c r="BG49" s="40">
        <f>sum(BE49-BE$106)/BE$107</f>
        <v/>
      </c>
      <c r="BH49" s="9" t="n">
        <v>25.4</v>
      </c>
      <c r="BI49" s="9" t="n">
        <v>0.53</v>
      </c>
      <c r="BJ49" s="9" t="n">
        <v>0.44</v>
      </c>
      <c r="BK49" s="9" t="n">
        <v>83.33</v>
      </c>
      <c r="BL49" s="9" t="n">
        <v>25.41</v>
      </c>
      <c r="BM49" s="9" t="n">
        <v>2.97</v>
      </c>
      <c r="BN49" s="9" t="n">
        <v>11.69</v>
      </c>
      <c r="BO49" s="9" t="n">
        <v>4.03</v>
      </c>
      <c r="BP49" s="9" t="n">
        <v>0.9399999999999999</v>
      </c>
      <c r="BQ49" s="9" t="n">
        <v>23.36</v>
      </c>
      <c r="BR49" s="9" t="n">
        <v>2.44</v>
      </c>
      <c r="BS49" s="9" t="n">
        <v>0.5600000000000001</v>
      </c>
      <c r="BT49" s="9" t="n">
        <v>22.89</v>
      </c>
      <c r="BU49" s="9" t="n">
        <v>0.18</v>
      </c>
      <c r="BV49" s="9" t="n">
        <v>0.09</v>
      </c>
      <c r="BW49" s="9" t="n">
        <v>50</v>
      </c>
      <c r="BX49" s="9" t="n">
        <v>13.74</v>
      </c>
      <c r="BY49" s="9" t="n">
        <v>4.74</v>
      </c>
      <c r="BZ49" s="9" t="n">
        <v>34.48</v>
      </c>
      <c r="CA49" s="9" t="n">
        <v>4.47</v>
      </c>
      <c r="CB49" s="9" t="n">
        <v>8.32</v>
      </c>
      <c r="CC49" s="33">
        <f>PERCENTRANK(CD$2:INDEX($CD:$CD,LOOKUP(2,1/(ISNUMBER($A$2:$A$1048576)),ROW($A$2:$A$1048576))),CD49)</f>
        <v/>
      </c>
      <c r="CD49" s="40">
        <f>sum(CB49-CB$106)/CB$107</f>
        <v/>
      </c>
      <c r="CE49" s="9" t="n">
        <v>23.59</v>
      </c>
      <c r="CF49" s="33">
        <f>PERCENTRANK(CE$2:INDEX($CE:$CE,LOOKUP(2,1/(ISNUMBER($A$2:$A$1048576)),ROW($A$2:$A$1048576))),CE49)</f>
        <v/>
      </c>
      <c r="CG49" s="38">
        <f>sum(CE49-CE$106)/CE$107</f>
        <v/>
      </c>
      <c r="CH49" s="9" t="n">
        <v>4</v>
      </c>
      <c r="CI49" s="9" t="n">
        <v>7.85</v>
      </c>
      <c r="CJ49" s="9" t="n">
        <v>17.21</v>
      </c>
      <c r="CK49" s="33">
        <f>PERCENTRANK(CJ$2:INDEX($CJ:$CJ,LOOKUP(2,1/(ISNUMBER($A$2:$A$1048576)),ROW($A$2:$A$1048576))),CJ49)</f>
        <v/>
      </c>
      <c r="CL49" s="38">
        <f>sum(CJ49-CJ$106)/CJ$107</f>
        <v/>
      </c>
      <c r="CM49" s="9" t="n">
        <v>66.18000000000001</v>
      </c>
      <c r="CN49" s="9" t="n">
        <v>24.94</v>
      </c>
      <c r="CO49" s="9" t="n">
        <v>37.69</v>
      </c>
      <c r="CP49" s="9" t="n">
        <v>1.59</v>
      </c>
      <c r="CQ49" s="9" t="n">
        <v>1.15</v>
      </c>
      <c r="CR49" s="9" t="n">
        <v>10.41</v>
      </c>
      <c r="CS49" s="33">
        <f>PERCENTRANK(CR$2:INDEX($CR:$CR,LOOKUP(2,1/(ISNUMBER($A$2:$A$1048576)),ROW($A$2:$A$1048576))),CR49)</f>
        <v/>
      </c>
      <c r="CT49" s="39">
        <f>1-(CR49-CR$106)/CR$107</f>
        <v/>
      </c>
      <c r="CU49" s="9" t="n">
        <v>4.18</v>
      </c>
      <c r="CV49" s="33">
        <f>PERCENTRANK(CU$2:INDEX($CU:$CU,LOOKUP(2,1/(ISNUMBER($A$2:$A$1048576)),ROW($A$2:$A$1048576))),CU49)</f>
        <v/>
      </c>
      <c r="CW49" s="39">
        <f>1-(CU49-CU$106)/CU$107</f>
        <v/>
      </c>
      <c r="CX49" s="9" t="n">
        <v>40.11</v>
      </c>
      <c r="CY49" s="9" t="n">
        <v>61.44</v>
      </c>
      <c r="CZ49" s="9" t="n">
        <v>36.24</v>
      </c>
      <c r="DA49" s="9" t="n">
        <v>58.98</v>
      </c>
      <c r="DB49" s="9" t="n">
        <v>32.03</v>
      </c>
      <c r="DC49" s="9" t="n">
        <v>15.47</v>
      </c>
      <c r="DD49" s="9" t="n">
        <v>48.3</v>
      </c>
      <c r="DE49" s="9" t="n">
        <v>2.38</v>
      </c>
      <c r="DF49" s="9" t="n">
        <v>1.15</v>
      </c>
      <c r="DG49" s="9" t="n">
        <v>48.15</v>
      </c>
      <c r="DH49" s="9" t="n">
        <v>37.21</v>
      </c>
      <c r="DI49" s="33">
        <f>PERCENTRANK(DH$2:INDEX($DH:$DH,LOOKUP(2,1/(ISNUMBER($A$2:$A$1048576)),ROW($A$2:$A$1048576))),DH49)</f>
        <v/>
      </c>
      <c r="DJ49" s="39">
        <f>SUM(DH49-DH$106)/DH$107</f>
        <v/>
      </c>
      <c r="DK49" s="9" t="n">
        <v>11.94</v>
      </c>
      <c r="DL49" s="9" t="n">
        <v>11.56</v>
      </c>
      <c r="DM49" s="9" t="n">
        <v>2.32</v>
      </c>
      <c r="DN49" s="9" t="n">
        <v>0.03</v>
      </c>
      <c r="DO49" s="9" t="n">
        <v>160.12</v>
      </c>
      <c r="DP49" s="9" t="n">
        <v>118.74</v>
      </c>
      <c r="DQ49" s="33">
        <f>PERCENTRANK(DP$2:INDEX($DP:$DP,LOOKUP(2,1/(ISNUMBER($A$2:$A$1048576)),ROW($A$2:$A$1048576))),DP49)</f>
        <v/>
      </c>
      <c r="DR49" s="40">
        <f>sum(DP49-DP$106)/DP$107</f>
        <v/>
      </c>
      <c r="DS49" s="9" t="n">
        <v>74.16</v>
      </c>
      <c r="DT49" s="9" t="n">
        <v>75.88</v>
      </c>
      <c r="DU49" s="9" t="n">
        <v>71.73999999999999</v>
      </c>
      <c r="DV49" s="9" t="n">
        <v>94.53</v>
      </c>
      <c r="DW49" s="9" t="n">
        <v>171.18</v>
      </c>
      <c r="DX49" s="9" t="n">
        <v>154.97</v>
      </c>
      <c r="DY49" s="9" t="n">
        <v>90.53</v>
      </c>
      <c r="DZ49" s="9" t="n">
        <v>42.97</v>
      </c>
      <c r="EA49" s="9" t="n">
        <v>22.47</v>
      </c>
      <c r="EB49" s="9" t="n">
        <v>52.29</v>
      </c>
      <c r="EC49" s="9" t="n">
        <v>54.74</v>
      </c>
      <c r="ED49" s="9" t="n">
        <v>39.03</v>
      </c>
      <c r="EE49" s="33">
        <f>PERCENTRANK(ED$2:INDEX($ED:$ED,LOOKUP(2,1/(ISNUMBER($A$2:$A$1048576)),ROW($A$2:$A$1048576))),ED49)</f>
        <v/>
      </c>
      <c r="EF49" s="40">
        <f>sum(ED49-ED$106)/ED$107</f>
        <v/>
      </c>
      <c r="EG49" s="9" t="n">
        <v>71.31</v>
      </c>
      <c r="EH49" s="9" t="n">
        <v>78.20999999999999</v>
      </c>
      <c r="EI49" s="9" t="n">
        <v>53.5</v>
      </c>
      <c r="EJ49" s="33">
        <f>PERCENTRANK(EI$2:INDEX($EI:$EI,LOOKUP(2,1/(ISNUMBER($A$2:$A$1048576)),ROW($A$2:$A$1048576))),EI49)</f>
        <v/>
      </c>
      <c r="EK49" s="40">
        <f>sum(EI49-EI$106)/EI$107</f>
        <v/>
      </c>
      <c r="EL49" s="9" t="n">
        <v>68.41</v>
      </c>
      <c r="EM49" s="9" t="n">
        <v>1.85</v>
      </c>
      <c r="EN49" s="9" t="n">
        <v>0.53</v>
      </c>
      <c r="EO49" s="9" t="n">
        <v>28.57</v>
      </c>
      <c r="EP49" s="9" t="n">
        <v>20.15</v>
      </c>
      <c r="EQ49" s="9" t="n">
        <v>18.41</v>
      </c>
      <c r="ER49" s="9" t="n">
        <v>91.39</v>
      </c>
      <c r="ES49" s="9" t="n">
        <v>6.82</v>
      </c>
      <c r="ET49" s="9" t="n">
        <v>17.22</v>
      </c>
      <c r="EU49" s="9" t="n">
        <v>4.76</v>
      </c>
      <c r="EV49" s="9" t="n">
        <v>9.289999999999999</v>
      </c>
      <c r="EW49" s="9" t="n">
        <v>17.73</v>
      </c>
      <c r="EX49" s="33">
        <f>PERCENTRANK(EW$2:INDEX($EW:$EW,LOOKUP(2,1/(ISNUMBER($A$2:$A$1048576)),ROW($A$2:$A$1048576))),EW49)</f>
        <v/>
      </c>
      <c r="EY49" s="38">
        <f>1-(EW49-EW$106)/EW$107</f>
        <v/>
      </c>
      <c r="EZ49" s="9" t="n">
        <v>18.79</v>
      </c>
      <c r="FA49" s="9" t="n">
        <v>12.54</v>
      </c>
      <c r="FB49" s="33">
        <f>PERCENTRANK(FA$2:INDEX($FA:$FA,LOOKUP(2,1/(ISNUMBER($A$2:$A$1048576)),ROW($A$2:$A$1048576))),FA49)</f>
        <v/>
      </c>
      <c r="FC49" s="39">
        <f>1-(FA49-FA$106)/FA$107</f>
        <v/>
      </c>
      <c r="FD49" s="9" t="n">
        <v>1.15</v>
      </c>
      <c r="FE49" s="9" t="n">
        <v>1.3</v>
      </c>
      <c r="FF49" s="33">
        <f>PERCENTRANK(FE$2:INDEX($FE:$FE,LOOKUP(2,1/(ISNUMBER($A$2:$A$1048576)),ROW($A$2:$A$1048576))),FE49)</f>
        <v/>
      </c>
      <c r="FG49" s="39">
        <f>1-(FE49-FE$106)/FE$107</f>
        <v/>
      </c>
      <c r="FH49" s="9" t="n">
        <v>10.41</v>
      </c>
      <c r="FI49" s="9" t="n">
        <v>3.94</v>
      </c>
      <c r="FJ49" s="9" t="n">
        <v>37.85</v>
      </c>
      <c r="FK49" s="9" t="n">
        <v>409.65</v>
      </c>
      <c r="FL49" s="33">
        <f>PERCENTRANK(FK$2:INDEX($FK:$FK,LOOKUP(2,1/(ISNUMBER($A$2:$A$1048576)),ROW($A$2:$A$1048576))),FK49)</f>
        <v/>
      </c>
      <c r="FM49" s="39">
        <f>SWA48-(FK49-FK$106)/FK$107</f>
        <v/>
      </c>
      <c r="FN49" s="9" t="n">
        <v>339.71</v>
      </c>
      <c r="FO49" s="9" t="n">
        <v>82.93000000000001</v>
      </c>
      <c r="FP49" s="9" t="n">
        <v>47.93</v>
      </c>
      <c r="FQ49" s="9" t="n">
        <v>101.79</v>
      </c>
      <c r="FR49" s="9" t="n">
        <v>18.15</v>
      </c>
      <c r="FS49" s="9" t="n">
        <v>35.88</v>
      </c>
      <c r="FT49" s="9" t="n">
        <v>47.76</v>
      </c>
      <c r="FU49" s="9" t="n">
        <v>80.65000000000001</v>
      </c>
      <c r="FV49" s="9" t="n">
        <v>34.12</v>
      </c>
      <c r="FW49" s="9" t="n">
        <v>33.65</v>
      </c>
      <c r="FX49" s="9" t="n">
        <v>12.88</v>
      </c>
      <c r="FY49" s="9" t="n">
        <v>185.32</v>
      </c>
      <c r="FZ49" s="9" t="n">
        <v>91.59</v>
      </c>
      <c r="GA49" s="9" t="n">
        <v>49.42</v>
      </c>
      <c r="GB49" s="9" t="n">
        <v>4.38</v>
      </c>
      <c r="GC49" s="9" t="n">
        <v>1.24</v>
      </c>
      <c r="GD49" s="9" t="n">
        <v>28.19</v>
      </c>
      <c r="GE49" s="9" t="n">
        <v>27.76</v>
      </c>
      <c r="GF49" s="9" t="n">
        <v>6.68</v>
      </c>
      <c r="GG49" s="9" t="n">
        <v>24.05</v>
      </c>
      <c r="GH49" s="9" t="n">
        <v>1.15</v>
      </c>
      <c r="GI49" s="9" t="n">
        <v>0.68</v>
      </c>
      <c r="GJ49" s="9" t="n">
        <v>58.97</v>
      </c>
      <c r="GK49" s="9" t="n">
        <v>22.88</v>
      </c>
      <c r="GL49" s="9" t="n">
        <v>2.62</v>
      </c>
      <c r="GM49" s="9" t="n">
        <v>11.44</v>
      </c>
      <c r="GN49" s="9" t="n">
        <v>3.94</v>
      </c>
      <c r="GO49" s="9" t="n">
        <v>1.03</v>
      </c>
      <c r="GP49" s="9" t="n">
        <v>26.12</v>
      </c>
      <c r="GQ49" s="9" t="n">
        <v>1.97</v>
      </c>
      <c r="GR49" s="9" t="n">
        <v>0.35</v>
      </c>
      <c r="GS49" s="9" t="n">
        <v>17.91</v>
      </c>
      <c r="GT49" s="9" t="n">
        <v>0.03</v>
      </c>
      <c r="GU49" s="9" t="n">
        <v>0.03</v>
      </c>
      <c r="GV49" s="9" t="n">
        <v>100</v>
      </c>
      <c r="GW49" s="9" t="n">
        <v>14.21</v>
      </c>
      <c r="GX49" s="9" t="n">
        <v>4.06</v>
      </c>
      <c r="GY49" s="9" t="n">
        <v>28.57</v>
      </c>
      <c r="GZ49" s="9" t="n">
        <v>4</v>
      </c>
      <c r="HA49" s="9" t="n">
        <v>6.21</v>
      </c>
      <c r="HB49" s="9" t="n">
        <v>22.65</v>
      </c>
      <c r="HC49" s="9" t="n">
        <v>4</v>
      </c>
      <c r="HD49" s="9" t="n">
        <v>8.789999999999999</v>
      </c>
      <c r="HE49" s="9" t="n">
        <v>15.38</v>
      </c>
      <c r="HF49" s="9" t="n">
        <v>61.44</v>
      </c>
      <c r="HG49" s="9" t="n">
        <v>25.21</v>
      </c>
      <c r="HH49" s="9" t="n">
        <v>41.02</v>
      </c>
      <c r="HI49" s="9" t="n">
        <v>1.82</v>
      </c>
      <c r="HJ49" s="9" t="n">
        <v>1.29</v>
      </c>
      <c r="HK49" s="9" t="n">
        <v>10.88</v>
      </c>
      <c r="HL49" s="9" t="n">
        <v>4.5</v>
      </c>
      <c r="HM49" s="9" t="n">
        <v>41.35</v>
      </c>
      <c r="HN49" s="9" t="n">
        <v>66.18000000000001</v>
      </c>
      <c r="HO49" s="9" t="n">
        <v>41.24</v>
      </c>
      <c r="HP49" s="9" t="n">
        <v>62.31</v>
      </c>
      <c r="HQ49" s="9" t="n">
        <v>32.03</v>
      </c>
      <c r="HR49" s="9" t="n">
        <v>14.21</v>
      </c>
      <c r="HS49" s="9" t="n">
        <v>44.35</v>
      </c>
      <c r="HT49" s="9" t="n">
        <v>3.44</v>
      </c>
      <c r="HU49" s="9" t="n">
        <v>1.26</v>
      </c>
      <c r="HV49" s="9" t="n">
        <v>36.75</v>
      </c>
      <c r="HW49" s="9" t="n">
        <v>40.82</v>
      </c>
      <c r="HX49" s="9" t="n">
        <v>15.26</v>
      </c>
      <c r="HY49" s="9" t="n">
        <v>13.32</v>
      </c>
      <c r="HZ49" s="9" t="n">
        <v>2.44</v>
      </c>
      <c r="IA49" s="9" t="n">
        <v>0.24</v>
      </c>
      <c r="IB49" s="9" t="n">
        <v>136.68</v>
      </c>
      <c r="IC49" s="9" t="n">
        <v>97.03</v>
      </c>
      <c r="ID49" s="9" t="n">
        <v>70.98999999999999</v>
      </c>
      <c r="IE49" s="9" t="n">
        <v>63.88</v>
      </c>
      <c r="IF49" s="9" t="n">
        <v>60.38</v>
      </c>
      <c r="IG49" s="9" t="n">
        <v>94.52</v>
      </c>
      <c r="IH49" s="9" t="n">
        <v>154.21</v>
      </c>
      <c r="II49" s="9" t="n">
        <v>137.85</v>
      </c>
      <c r="IJ49" s="9" t="n">
        <v>89.40000000000001</v>
      </c>
      <c r="IK49" s="9" t="n">
        <v>49.56</v>
      </c>
      <c r="IL49" s="9" t="n">
        <v>25.56</v>
      </c>
      <c r="IM49" s="9" t="n">
        <v>51.57</v>
      </c>
      <c r="IN49" s="9" t="n">
        <v>51.91</v>
      </c>
      <c r="IO49" s="9" t="n">
        <v>33.21</v>
      </c>
      <c r="IP49" s="9" t="n">
        <v>63.97</v>
      </c>
      <c r="IQ49" s="9" t="n">
        <v>65.20999999999999</v>
      </c>
      <c r="IR49" s="9" t="n">
        <v>47.24</v>
      </c>
      <c r="IS49" s="9" t="n">
        <v>72.44</v>
      </c>
      <c r="IT49" s="33">
        <f>PERCENTRANK(IS$2:INDEX($IS:$IS,LOOKUP(2,1/(ISNUMBER($A$2:$A$1048576)),ROW($A$2:$A$1048576))),IS49)</f>
        <v/>
      </c>
      <c r="IU49" s="39">
        <f>1-(IS49-IS$106)/IS$107</f>
        <v/>
      </c>
      <c r="IV49" s="9" t="n">
        <v>1.91</v>
      </c>
      <c r="IW49" s="9" t="n">
        <v>0.85</v>
      </c>
      <c r="IX49" s="9" t="n">
        <v>44.62</v>
      </c>
      <c r="IY49" s="9" t="n">
        <v>18.68</v>
      </c>
      <c r="IZ49" s="9" t="n">
        <v>16.24</v>
      </c>
      <c r="JA49" s="9" t="n">
        <v>86.93000000000001</v>
      </c>
      <c r="JB49" s="9" t="n">
        <v>7.12</v>
      </c>
      <c r="JC49" s="9" t="n">
        <v>15.96</v>
      </c>
      <c r="JD49" s="9" t="n">
        <v>4.15</v>
      </c>
      <c r="JE49" s="9" t="n">
        <v>12.42</v>
      </c>
      <c r="JF49" s="9" t="n">
        <v>18.28</v>
      </c>
      <c r="JG49" s="9" t="n">
        <v>20.06</v>
      </c>
      <c r="JH49" s="9" t="n">
        <v>11.6</v>
      </c>
    </row>
    <row r="50">
      <c r="A50" s="12" t="n">
        <v>2023</v>
      </c>
      <c r="B50" s="31" t="inlineStr">
        <is>
          <t>Birmingham Legion</t>
        </is>
      </c>
      <c r="C50" s="12" t="n">
        <v>46</v>
      </c>
      <c r="D50" s="5">
        <f>(C50-AVERAGE($C$2:INDEX($C:$C,LOOKUP(2,1/(ISNUMBER($A$2:$A$1048576)),ROW($A$2:$A$1048576)))))/_xlfn.STDEV.P($C$2:INDEX($C:$C,LOOKUP(2,1/(ISNUMBER($A$2:$A$1048576)),ROW($A$2:$A$1048576))))</f>
        <v/>
      </c>
      <c r="E50" s="12" t="n">
        <v>7</v>
      </c>
      <c r="F50" s="6">
        <f>-E50</f>
        <v/>
      </c>
      <c r="G50" s="7">
        <f>(F50-AVERAGE($F$2:INDEX($F:$F,LOOKUP(2,1/(ISNUMBER($A$2:$A$1048576)),ROW($A$2:$A$1048576)))))/_xlfn.STDEV.P($F$2:INDEX($F:$F,LOOKUP(2,1/(ISNUMBER($A$2:$A$1048576)),ROW($A$2:$A$1048576))))</f>
        <v/>
      </c>
      <c r="H50" s="32">
        <f>sum(0.5*D50)+(0.5*G50)</f>
        <v/>
      </c>
      <c r="I50" s="12" t="inlineStr">
        <is>
          <t>East</t>
        </is>
      </c>
      <c r="J50" s="10">
        <f>sum(L50*L$105)+(N50*N$105)+(P50*P$105)+(T50*R$105)</f>
        <v/>
      </c>
      <c r="K50" s="33">
        <f>PERCENTRANK(J$2:INDEX($J:$J,LOOKUP(2,1/(ISNUMBER($A$2:$A$1048576)),ROW($A$2:$A$1048576))),J50)</f>
        <v/>
      </c>
      <c r="L50" s="10">
        <f>sum(AA50*0.66)+(AD50*0.55)+(AG50*0.59)+(CG50*0.51)+(CL50*0.6)+(EY50*0.31)</f>
        <v/>
      </c>
      <c r="M50" s="33">
        <f>PERCENTRANK(L$2:INDEX($L:$L,LOOKUP(2,1/(ISNUMBER($A$2:$A$1048576)),ROW($A$2:$A$1048576))),L50)</f>
        <v/>
      </c>
      <c r="N50" s="10">
        <f>sum(CT50*0.57)+(CW50*0.71)+(DJ50*0.08)+(FC50*0.33)+(FG50*0.69)+(FM50*0.26)+(IU50*0.54)+(AU50*0.4)</f>
        <v/>
      </c>
      <c r="O50" s="33">
        <f>PERCENTRANK(N$2:INDEX($N:$N,LOOKUP(2,1/(ISNUMBER($A$2:$A$1048576)),ROW($A$2:$A$1048576))),N50)</f>
        <v/>
      </c>
      <c r="P50" s="10">
        <f>sum(BG50*0.51)+(CD50*0.51)+(DR50*0.11)+(EF50*0.42)+(EK50*0.44)+(W50*0.6)</f>
        <v/>
      </c>
      <c r="Q50" s="33">
        <f>PERCENTRANK(P$2:INDEX($P:$P,LOOKUP(2,1/(ISNUMBER($A$2:$A$1048576)),ROW($A$2:$A$1048576))),P50)</f>
        <v/>
      </c>
      <c r="R50" s="10">
        <f>sum(Y50-FE50)</f>
        <v/>
      </c>
      <c r="S50" s="33">
        <f>PERCENTRANK(R$2:INDEX($R:$R,LOOKUP(2,1/(ISNUMBER($A$2:$A$1048576)),ROW($A$2:$A$1048576))),R50)</f>
        <v/>
      </c>
      <c r="T50" s="34">
        <f>sum(R50-R$106)/R$107</f>
        <v/>
      </c>
      <c r="U50" s="35">
        <f>sum(Y50/AI50)*100</f>
        <v/>
      </c>
      <c r="V50" s="33">
        <f>PERCENTRANK(U$2:INDEX($U:$U,LOOKUP(2,1/(ISNUMBER($A$2:$A$1048576)),ROW($A$2:$A$1048576))),U50)</f>
        <v/>
      </c>
      <c r="W50" s="36">
        <f>sum(U50-U$106)/U$107</f>
        <v/>
      </c>
      <c r="X50" s="9" t="n">
        <v>1.33</v>
      </c>
      <c r="Y50" s="9" t="n">
        <v>1.36</v>
      </c>
      <c r="Z50" s="33">
        <f>PERCENTRANK(Y$2:INDEX($Y:$Y,LOOKUP(2,1/(ISNUMBER($A$2:$A$1048576)),ROW($A$2:$A$1048576))),Y50)</f>
        <v/>
      </c>
      <c r="AA50" s="37">
        <f>sum(Y50-Y$106)/Y$107</f>
        <v/>
      </c>
      <c r="AB50" s="9" t="n">
        <v>11.42</v>
      </c>
      <c r="AC50" s="33">
        <f>PERCENTRANK(AB$2:INDEX($AB:$AB,LOOKUP(2,1/(ISNUMBER($A$2:$A$1048576)),ROW($A$2:$A$1048576))),AB50)</f>
        <v/>
      </c>
      <c r="AD50" s="38">
        <f>sum(AB50-AB$106)/AB$107</f>
        <v/>
      </c>
      <c r="AE50" s="9" t="n">
        <v>3.92</v>
      </c>
      <c r="AF50" s="33">
        <f>PERCENTRANK(AE$2:INDEX($AE:$AE,LOOKUP(2,1/(ISNUMBER($A$2:$A$1048576)),ROW($A$2:$A$1048576))),AE50)</f>
        <v/>
      </c>
      <c r="AG50" s="38">
        <f>sum(AE50-AE$106)/AE$107</f>
        <v/>
      </c>
      <c r="AH50" s="9" t="n">
        <v>34.31</v>
      </c>
      <c r="AI50" s="9" t="n">
        <v>395.28</v>
      </c>
      <c r="AJ50" s="9" t="n">
        <v>321.58</v>
      </c>
      <c r="AK50" s="9" t="n">
        <v>81.36</v>
      </c>
      <c r="AL50" s="9" t="n">
        <v>49.16</v>
      </c>
      <c r="AM50" s="9" t="n">
        <v>101.25</v>
      </c>
      <c r="AN50" s="9" t="n">
        <v>17.97</v>
      </c>
      <c r="AO50" s="9" t="n">
        <v>36.11</v>
      </c>
      <c r="AP50" s="9" t="n">
        <v>47.17</v>
      </c>
      <c r="AQ50" s="9" t="n">
        <v>76.75</v>
      </c>
      <c r="AR50" s="9" t="n">
        <v>34.86</v>
      </c>
      <c r="AS50" s="9" t="n">
        <v>30.72</v>
      </c>
      <c r="AT50" s="33">
        <f>PERCENTRANK(AS$2:INDEX($AS:$AS,LOOKUP(2,1/(ISNUMBER($A$2:$A$1048576)),ROW($A$2:$A$1048576))),AS50)</f>
        <v/>
      </c>
      <c r="AU50" s="39">
        <f>SUM(AS50-AS$106)/AS$107</f>
        <v/>
      </c>
      <c r="AV50" s="9" t="n">
        <v>11.17</v>
      </c>
      <c r="AW50" s="33">
        <f>PERCENTRANK(AV$2:INDEX($AV:$AV,LOOKUP(2,1/(ISNUMBER($A$2:$A$1048576)),ROW($A$2:$A$1048576))),AV50)</f>
        <v/>
      </c>
      <c r="AX50" s="9" t="n">
        <v>191.61</v>
      </c>
      <c r="AY50" s="9" t="n">
        <v>91.75</v>
      </c>
      <c r="AZ50" s="9" t="n">
        <v>47.88</v>
      </c>
      <c r="BA50" s="9" t="n">
        <v>5.42</v>
      </c>
      <c r="BB50" s="9" t="n">
        <v>1.5</v>
      </c>
      <c r="BC50" s="9" t="n">
        <v>27.69</v>
      </c>
      <c r="BD50" s="9" t="n">
        <v>28.19</v>
      </c>
      <c r="BE50" s="9" t="n">
        <v>7.47</v>
      </c>
      <c r="BF50" s="33">
        <f>PERCENTRANK(BE$2:INDEX($BE:$BE,LOOKUP(2,1/(ISNUMBER($A$2:$A$1048576)),ROW($A$2:$A$1048576))),BE50)</f>
        <v/>
      </c>
      <c r="BG50" s="40">
        <f>sum(BE50-BE$106)/BE$107</f>
        <v/>
      </c>
      <c r="BH50" s="9" t="n">
        <v>26.5</v>
      </c>
      <c r="BI50" s="9" t="n">
        <v>1.56</v>
      </c>
      <c r="BJ50" s="9" t="n">
        <v>0.36</v>
      </c>
      <c r="BK50" s="9" t="n">
        <v>23.21</v>
      </c>
      <c r="BL50" s="9" t="n">
        <v>24.97</v>
      </c>
      <c r="BM50" s="9" t="n">
        <v>2.92</v>
      </c>
      <c r="BN50" s="9" t="n">
        <v>11.68</v>
      </c>
      <c r="BO50" s="9" t="n">
        <v>4.94</v>
      </c>
      <c r="BP50" s="9" t="n">
        <v>1.19</v>
      </c>
      <c r="BQ50" s="9" t="n">
        <v>24.16</v>
      </c>
      <c r="BR50" s="9" t="n">
        <v>1.75</v>
      </c>
      <c r="BS50" s="9" t="n">
        <v>0.39</v>
      </c>
      <c r="BT50" s="9" t="n">
        <v>22.22</v>
      </c>
      <c r="BU50" s="9" t="n">
        <v>0.14</v>
      </c>
      <c r="BV50" s="9" t="n">
        <v>0.11</v>
      </c>
      <c r="BW50" s="9" t="n">
        <v>80</v>
      </c>
      <c r="BX50" s="9" t="n">
        <v>12.67</v>
      </c>
      <c r="BY50" s="9" t="n">
        <v>3.58</v>
      </c>
      <c r="BZ50" s="9" t="n">
        <v>28.29</v>
      </c>
      <c r="CA50" s="9" t="n">
        <v>3.75</v>
      </c>
      <c r="CB50" s="9" t="n">
        <v>6.83</v>
      </c>
      <c r="CC50" s="33">
        <f>PERCENTRANK(CD$2:INDEX($CD:$CD,LOOKUP(2,1/(ISNUMBER($A$2:$A$1048576)),ROW($A$2:$A$1048576))),CD50)</f>
        <v/>
      </c>
      <c r="CD50" s="40">
        <f>sum(CB50-CB$106)/CB$107</f>
        <v/>
      </c>
      <c r="CE50" s="9" t="n">
        <v>23.03</v>
      </c>
      <c r="CF50" s="33">
        <f>PERCENTRANK(CE$2:INDEX($CE:$CE,LOOKUP(2,1/(ISNUMBER($A$2:$A$1048576)),ROW($A$2:$A$1048576))),CE50)</f>
        <v/>
      </c>
      <c r="CG50" s="38">
        <f>sum(CE50-CE$106)/CE$107</f>
        <v/>
      </c>
      <c r="CH50" s="9" t="n">
        <v>3.72</v>
      </c>
      <c r="CI50" s="9" t="n">
        <v>7.78</v>
      </c>
      <c r="CJ50" s="9" t="n">
        <v>15.39</v>
      </c>
      <c r="CK50" s="33">
        <f>PERCENTRANK(CJ$2:INDEX($CJ:$CJ,LOOKUP(2,1/(ISNUMBER($A$2:$A$1048576)),ROW($A$2:$A$1048576))),CJ50)</f>
        <v/>
      </c>
      <c r="CL50" s="38">
        <f>sum(CJ50-CJ$106)/CJ$107</f>
        <v/>
      </c>
      <c r="CM50" s="9" t="n">
        <v>67.69</v>
      </c>
      <c r="CN50" s="9" t="n">
        <v>26.11</v>
      </c>
      <c r="CO50" s="9" t="n">
        <v>38.57</v>
      </c>
      <c r="CP50" s="9" t="n">
        <v>2.06</v>
      </c>
      <c r="CQ50" s="9" t="n">
        <v>1.53</v>
      </c>
      <c r="CR50" s="9" t="n">
        <v>10.78</v>
      </c>
      <c r="CS50" s="33">
        <f>PERCENTRANK(CR$2:INDEX($CR:$CR,LOOKUP(2,1/(ISNUMBER($A$2:$A$1048576)),ROW($A$2:$A$1048576))),CR50)</f>
        <v/>
      </c>
      <c r="CT50" s="39">
        <f>1-(CR50-CR$106)/CR$107</f>
        <v/>
      </c>
      <c r="CU50" s="9" t="n">
        <v>4.56</v>
      </c>
      <c r="CV50" s="33">
        <f>PERCENTRANK(CU$2:INDEX($CU:$CU,LOOKUP(2,1/(ISNUMBER($A$2:$A$1048576)),ROW($A$2:$A$1048576))),CU50)</f>
        <v/>
      </c>
      <c r="CW50" s="39">
        <f>1-(CU50-CU$106)/CU$107</f>
        <v/>
      </c>
      <c r="CX50" s="9" t="n">
        <v>42.27</v>
      </c>
      <c r="CY50" s="9" t="n">
        <v>66.36</v>
      </c>
      <c r="CZ50" s="9" t="n">
        <v>40.33</v>
      </c>
      <c r="DA50" s="9" t="n">
        <v>60.78</v>
      </c>
      <c r="DB50" s="9" t="n">
        <v>30.14</v>
      </c>
      <c r="DC50" s="9" t="n">
        <v>14.08</v>
      </c>
      <c r="DD50" s="9" t="n">
        <v>46.73</v>
      </c>
      <c r="DE50" s="9" t="n">
        <v>2.5</v>
      </c>
      <c r="DF50" s="9" t="n">
        <v>1.06</v>
      </c>
      <c r="DG50" s="9" t="n">
        <v>42.22</v>
      </c>
      <c r="DH50" s="9" t="n">
        <v>36.92</v>
      </c>
      <c r="DI50" s="33">
        <f>PERCENTRANK(DH$2:INDEX($DH:$DH,LOOKUP(2,1/(ISNUMBER($A$2:$A$1048576)),ROW($A$2:$A$1048576))),DH50)</f>
        <v/>
      </c>
      <c r="DJ50" s="39">
        <f>SUM(DH50-DH$106)/DH$107</f>
        <v/>
      </c>
      <c r="DK50" s="9" t="n">
        <v>13.31</v>
      </c>
      <c r="DL50" s="9" t="n">
        <v>14.03</v>
      </c>
      <c r="DM50" s="9" t="n">
        <v>2.61</v>
      </c>
      <c r="DN50" s="9" t="n">
        <v>0.03</v>
      </c>
      <c r="DO50" s="9" t="n">
        <v>136.67</v>
      </c>
      <c r="DP50" s="9" t="n">
        <v>97.33</v>
      </c>
      <c r="DQ50" s="33">
        <f>PERCENTRANK(DP$2:INDEX($DP:$DP,LOOKUP(2,1/(ISNUMBER($A$2:$A$1048576)),ROW($A$2:$A$1048576))),DP50)</f>
        <v/>
      </c>
      <c r="DR50" s="40">
        <f>sum(DP50-DP$106)/DP$107</f>
        <v/>
      </c>
      <c r="DS50" s="9" t="n">
        <v>71.22</v>
      </c>
      <c r="DT50" s="9" t="n">
        <v>55.11</v>
      </c>
      <c r="DU50" s="9" t="n">
        <v>50.86</v>
      </c>
      <c r="DV50" s="9" t="n">
        <v>92.29000000000001</v>
      </c>
      <c r="DW50" s="9" t="n">
        <v>145.33</v>
      </c>
      <c r="DX50" s="9" t="n">
        <v>127.22</v>
      </c>
      <c r="DY50" s="9" t="n">
        <v>87.54000000000001</v>
      </c>
      <c r="DZ50" s="9" t="n">
        <v>46.86</v>
      </c>
      <c r="EA50" s="9" t="n">
        <v>25.06</v>
      </c>
      <c r="EB50" s="9" t="n">
        <v>53.47</v>
      </c>
      <c r="EC50" s="9" t="n">
        <v>53.42</v>
      </c>
      <c r="ED50" s="9" t="n">
        <v>35.89</v>
      </c>
      <c r="EE50" s="33">
        <f>PERCENTRANK(ED$2:INDEX($ED:$ED,LOOKUP(2,1/(ISNUMBER($A$2:$A$1048576)),ROW($A$2:$A$1048576))),ED50)</f>
        <v/>
      </c>
      <c r="EF50" s="40">
        <f>sum(ED50-ED$106)/ED$107</f>
        <v/>
      </c>
      <c r="EG50" s="9" t="n">
        <v>67.19</v>
      </c>
      <c r="EH50" s="9" t="n">
        <v>69.58</v>
      </c>
      <c r="EI50" s="9" t="n">
        <v>50.42</v>
      </c>
      <c r="EJ50" s="33">
        <f>PERCENTRANK(EI$2:INDEX($EI:$EI,LOOKUP(2,1/(ISNUMBER($A$2:$A$1048576)),ROW($A$2:$A$1048576))),EI50)</f>
        <v/>
      </c>
      <c r="EK50" s="40">
        <f>sum(EI50-EI$106)/EI$107</f>
        <v/>
      </c>
      <c r="EL50" s="9" t="n">
        <v>72.45999999999999</v>
      </c>
      <c r="EM50" s="9" t="n">
        <v>3.67</v>
      </c>
      <c r="EN50" s="9" t="n">
        <v>1.08</v>
      </c>
      <c r="EO50" s="9" t="n">
        <v>29.55</v>
      </c>
      <c r="EP50" s="9" t="n">
        <v>20.81</v>
      </c>
      <c r="EQ50" s="9" t="n">
        <v>18.69</v>
      </c>
      <c r="ER50" s="9" t="n">
        <v>89.84999999999999</v>
      </c>
      <c r="ES50" s="9" t="n">
        <v>8.92</v>
      </c>
      <c r="ET50" s="9" t="n">
        <v>15.46</v>
      </c>
      <c r="EU50" s="9" t="n">
        <v>3.83</v>
      </c>
      <c r="EV50" s="9" t="n">
        <v>11.98</v>
      </c>
      <c r="EW50" s="9" t="n">
        <v>19.84</v>
      </c>
      <c r="EX50" s="33">
        <f>PERCENTRANK(EW$2:INDEX($EW:$EW,LOOKUP(2,1/(ISNUMBER($A$2:$A$1048576)),ROW($A$2:$A$1048576))),EW50)</f>
        <v/>
      </c>
      <c r="EY50" s="38">
        <f>1-(EW50-EW$106)/EW$107</f>
        <v/>
      </c>
      <c r="EZ50" s="9" t="n">
        <v>20.1</v>
      </c>
      <c r="FA50" s="9" t="n">
        <v>11.85</v>
      </c>
      <c r="FB50" s="33">
        <f>PERCENTRANK(FA$2:INDEX($FA:$FA,LOOKUP(2,1/(ISNUMBER($A$2:$A$1048576)),ROW($A$2:$A$1048576))),FA50)</f>
        <v/>
      </c>
      <c r="FC50" s="39">
        <f>1-(FA50-FA$106)/FA$107</f>
        <v/>
      </c>
      <c r="FD50" s="9" t="n">
        <v>1.53</v>
      </c>
      <c r="FE50" s="9" t="n">
        <v>1.41</v>
      </c>
      <c r="FF50" s="33">
        <f>PERCENTRANK(FE$2:INDEX($FE:$FE,LOOKUP(2,1/(ISNUMBER($A$2:$A$1048576)),ROW($A$2:$A$1048576))),FE50)</f>
        <v/>
      </c>
      <c r="FG50" s="39">
        <f>1-(FE50-FE$106)/FE$107</f>
        <v/>
      </c>
      <c r="FH50" s="9" t="n">
        <v>10.78</v>
      </c>
      <c r="FI50" s="9" t="n">
        <v>4.36</v>
      </c>
      <c r="FJ50" s="9" t="n">
        <v>40.46</v>
      </c>
      <c r="FK50" s="9" t="n">
        <v>427.5</v>
      </c>
      <c r="FL50" s="33">
        <f>PERCENTRANK(FK$2:INDEX($FK:$FK,LOOKUP(2,1/(ISNUMBER($A$2:$A$1048576)),ROW($A$2:$A$1048576))),FK50)</f>
        <v/>
      </c>
      <c r="FM50" s="39">
        <f>SWA49-(FK50-FK$106)/FK$107</f>
        <v/>
      </c>
      <c r="FN50" s="9" t="n">
        <v>358.64</v>
      </c>
      <c r="FO50" s="9" t="n">
        <v>83.89</v>
      </c>
      <c r="FP50" s="9" t="n">
        <v>50.84</v>
      </c>
      <c r="FQ50" s="9" t="n">
        <v>100.72</v>
      </c>
      <c r="FR50" s="9" t="n">
        <v>18.5</v>
      </c>
      <c r="FS50" s="9" t="n">
        <v>36.03</v>
      </c>
      <c r="FT50" s="9" t="n">
        <v>46.19</v>
      </c>
      <c r="FU50" s="9" t="n">
        <v>79.42</v>
      </c>
      <c r="FV50" s="9" t="n">
        <v>36.5</v>
      </c>
      <c r="FW50" s="9" t="n">
        <v>31.31</v>
      </c>
      <c r="FX50" s="9" t="n">
        <v>11.61</v>
      </c>
      <c r="FY50" s="9" t="n">
        <v>191.61</v>
      </c>
      <c r="FZ50" s="9" t="n">
        <v>93.39</v>
      </c>
      <c r="GA50" s="9" t="n">
        <v>48.74</v>
      </c>
      <c r="GB50" s="9" t="n">
        <v>4.06</v>
      </c>
      <c r="GC50" s="9" t="n">
        <v>1.44</v>
      </c>
      <c r="GD50" s="9" t="n">
        <v>35.62</v>
      </c>
      <c r="GE50" s="9" t="n">
        <v>27.33</v>
      </c>
      <c r="GF50" s="9" t="n">
        <v>6.42</v>
      </c>
      <c r="GG50" s="9" t="n">
        <v>23.48</v>
      </c>
      <c r="GH50" s="9" t="n">
        <v>1.89</v>
      </c>
      <c r="GI50" s="9" t="n">
        <v>0.75</v>
      </c>
      <c r="GJ50" s="9" t="n">
        <v>39.71</v>
      </c>
      <c r="GK50" s="9" t="n">
        <v>27.22</v>
      </c>
      <c r="GL50" s="9" t="n">
        <v>3.08</v>
      </c>
      <c r="GM50" s="9" t="n">
        <v>11.33</v>
      </c>
      <c r="GN50" s="9" t="n">
        <v>4.75</v>
      </c>
      <c r="GO50" s="9" t="n">
        <v>1.17</v>
      </c>
      <c r="GP50" s="9" t="n">
        <v>24.56</v>
      </c>
      <c r="GQ50" s="9" t="n">
        <v>2.42</v>
      </c>
      <c r="GR50" s="9" t="n">
        <v>0.61</v>
      </c>
      <c r="GS50" s="9" t="n">
        <v>25.29</v>
      </c>
      <c r="GT50" s="9" t="n">
        <v>0.08</v>
      </c>
      <c r="GU50" s="9" t="n">
        <v>0.06</v>
      </c>
      <c r="GV50" s="9" t="n">
        <v>66.67</v>
      </c>
      <c r="GW50" s="9" t="n">
        <v>12.64</v>
      </c>
      <c r="GX50" s="9" t="n">
        <v>4.47</v>
      </c>
      <c r="GY50" s="9" t="n">
        <v>35.38</v>
      </c>
      <c r="GZ50" s="9" t="n">
        <v>4.33</v>
      </c>
      <c r="HA50" s="9" t="n">
        <v>6.78</v>
      </c>
      <c r="HB50" s="9" t="n">
        <v>22.5</v>
      </c>
      <c r="HC50" s="9" t="n">
        <v>3.89</v>
      </c>
      <c r="HD50" s="9" t="n">
        <v>7.44</v>
      </c>
      <c r="HE50" s="9" t="n">
        <v>16.72</v>
      </c>
      <c r="HF50" s="9" t="n">
        <v>66.36</v>
      </c>
      <c r="HG50" s="9" t="n">
        <v>26.03</v>
      </c>
      <c r="HH50" s="9" t="n">
        <v>39.22</v>
      </c>
      <c r="HI50" s="9" t="n">
        <v>1.72</v>
      </c>
      <c r="HJ50" s="9" t="n">
        <v>1.33</v>
      </c>
      <c r="HK50" s="9" t="n">
        <v>11.42</v>
      </c>
      <c r="HL50" s="9" t="n">
        <v>4.14</v>
      </c>
      <c r="HM50" s="9" t="n">
        <v>36.25</v>
      </c>
      <c r="HN50" s="9" t="n">
        <v>67.69</v>
      </c>
      <c r="HO50" s="9" t="n">
        <v>41.58</v>
      </c>
      <c r="HP50" s="9" t="n">
        <v>61.43</v>
      </c>
      <c r="HQ50" s="9" t="n">
        <v>30.14</v>
      </c>
      <c r="HR50" s="9" t="n">
        <v>13.67</v>
      </c>
      <c r="HS50" s="9" t="n">
        <v>45.35</v>
      </c>
      <c r="HT50" s="9" t="n">
        <v>4.31</v>
      </c>
      <c r="HU50" s="9" t="n">
        <v>2.08</v>
      </c>
      <c r="HV50" s="9" t="n">
        <v>48.39</v>
      </c>
      <c r="HW50" s="9" t="n">
        <v>43.42</v>
      </c>
      <c r="HX50" s="9" t="n">
        <v>14.25</v>
      </c>
      <c r="HY50" s="9" t="n">
        <v>10.53</v>
      </c>
      <c r="HZ50" s="9" t="n">
        <v>1.83</v>
      </c>
      <c r="IA50" s="9" t="n">
        <v>0</v>
      </c>
      <c r="IB50" s="9" t="n">
        <v>139.03</v>
      </c>
      <c r="IC50" s="9" t="n">
        <v>102.28</v>
      </c>
      <c r="ID50" s="9" t="n">
        <v>73.56999999999999</v>
      </c>
      <c r="IE50" s="9" t="n">
        <v>66.5</v>
      </c>
      <c r="IF50" s="9" t="n">
        <v>62.33</v>
      </c>
      <c r="IG50" s="9" t="n">
        <v>93.73</v>
      </c>
      <c r="IH50" s="9" t="n">
        <v>163.06</v>
      </c>
      <c r="II50" s="9" t="n">
        <v>146.14</v>
      </c>
      <c r="IJ50" s="9" t="n">
        <v>89.63</v>
      </c>
      <c r="IK50" s="9" t="n">
        <v>46.28</v>
      </c>
      <c r="IL50" s="9" t="n">
        <v>25.69</v>
      </c>
      <c r="IM50" s="9" t="n">
        <v>55.52</v>
      </c>
      <c r="IN50" s="9" t="n">
        <v>54.22</v>
      </c>
      <c r="IO50" s="9" t="n">
        <v>37.08</v>
      </c>
      <c r="IP50" s="9" t="n">
        <v>68.39</v>
      </c>
      <c r="IQ50" s="9" t="n">
        <v>72.72</v>
      </c>
      <c r="IR50" s="9" t="n">
        <v>53.14</v>
      </c>
      <c r="IS50" s="9" t="n">
        <v>73.06999999999999</v>
      </c>
      <c r="IT50" s="33">
        <f>PERCENTRANK(IS$2:INDEX($IS:$IS,LOOKUP(2,1/(ISNUMBER($A$2:$A$1048576)),ROW($A$2:$A$1048576))),IS50)</f>
        <v/>
      </c>
      <c r="IU50" s="39">
        <f>1-(IS50-IS$106)/IS$107</f>
        <v/>
      </c>
      <c r="IV50" s="9" t="n">
        <v>3.42</v>
      </c>
      <c r="IW50" s="9" t="n">
        <v>1.56</v>
      </c>
      <c r="IX50" s="9" t="n">
        <v>45.53</v>
      </c>
      <c r="IY50" s="9" t="n">
        <v>20.08</v>
      </c>
      <c r="IZ50" s="9" t="n">
        <v>17.56</v>
      </c>
      <c r="JA50" s="9" t="n">
        <v>87.41</v>
      </c>
      <c r="JB50" s="9" t="n">
        <v>7.72</v>
      </c>
      <c r="JC50" s="9" t="n">
        <v>16.06</v>
      </c>
      <c r="JD50" s="9" t="n">
        <v>4.07</v>
      </c>
      <c r="JE50" s="9" t="n">
        <v>11.24</v>
      </c>
      <c r="JF50" s="9" t="n">
        <v>17.82</v>
      </c>
      <c r="JG50" s="9" t="n">
        <v>20.02</v>
      </c>
      <c r="JH50" s="9" t="n">
        <v>9.380000000000001</v>
      </c>
    </row>
    <row r="51">
      <c r="A51" s="12" t="n">
        <v>2025</v>
      </c>
      <c r="B51" s="31" t="inlineStr">
        <is>
          <t>Lexington</t>
        </is>
      </c>
      <c r="C51" s="12" t="n">
        <v>36</v>
      </c>
      <c r="D51" s="5">
        <f>(C51-AVERAGE($C$2:INDEX($C:$C,LOOKUP(2,1/(ISNUMBER($A$2:$A$1048576)),ROW($A$2:$A$1048576)))))/_xlfn.STDEV.P($C$2:INDEX($C:$C,LOOKUP(2,1/(ISNUMBER($A$2:$A$1048576)),ROW($A$2:$A$1048576))))</f>
        <v/>
      </c>
      <c r="E51" s="12" t="n">
        <v>9</v>
      </c>
      <c r="F51" s="6">
        <f>-E51</f>
        <v/>
      </c>
      <c r="G51" s="7">
        <f>(F51-AVERAGE($F$2:INDEX($F:$F,LOOKUP(2,1/(ISNUMBER($A$2:$A$1048576)),ROW($A$2:$A$1048576)))))/_xlfn.STDEV.P($F$2:INDEX($F:$F,LOOKUP(2,1/(ISNUMBER($A$2:$A$1048576)),ROW($A$2:$A$1048576))))</f>
        <v/>
      </c>
      <c r="H51" s="32">
        <f>sum(0.5*D51)+(0.5*G51)</f>
        <v/>
      </c>
      <c r="I51" s="12" t="inlineStr">
        <is>
          <t>West</t>
        </is>
      </c>
      <c r="J51" s="10">
        <f>sum(L51*L$105)+(N51*N$105)+(P51*P$105)+(T51*R$105)</f>
        <v/>
      </c>
      <c r="K51" s="33">
        <f>PERCENTRANK(J$2:INDEX($J:$J,LOOKUP(2,1/(ISNUMBER($A$2:$A$1048576)),ROW($A$2:$A$1048576))),J51)</f>
        <v/>
      </c>
      <c r="L51" s="10">
        <f>sum(AA51*0.66)+(AD51*0.55)+(AG51*0.59)+(CG51*0.51)+(CL51*0.6)+(EY51*0.31)</f>
        <v/>
      </c>
      <c r="M51" s="33">
        <f>PERCENTRANK(L$2:INDEX($L:$L,LOOKUP(2,1/(ISNUMBER($A$2:$A$1048576)),ROW($A$2:$A$1048576))),L51)</f>
        <v/>
      </c>
      <c r="N51" s="10">
        <f>sum(CT51*0.57)+(CW51*0.71)+(DJ51*0.08)+(FC51*0.33)+(FG51*0.69)+(FM51*0.26)+(IU51*0.54)+(AU51*0.4)</f>
        <v/>
      </c>
      <c r="O51" s="33">
        <f>PERCENTRANK(N$2:INDEX($N:$N,LOOKUP(2,1/(ISNUMBER($A$2:$A$1048576)),ROW($A$2:$A$1048576))),N51)</f>
        <v/>
      </c>
      <c r="P51" s="10">
        <f>sum(BG51*0.51)+(CD51*0.51)+(DR51*0.11)+(EF51*0.42)+(EK51*0.44)+(W51*0.6)</f>
        <v/>
      </c>
      <c r="Q51" s="33">
        <f>PERCENTRANK(P$2:INDEX($P:$P,LOOKUP(2,1/(ISNUMBER($A$2:$A$1048576)),ROW($A$2:$A$1048576))),P51)</f>
        <v/>
      </c>
      <c r="R51" s="10">
        <f>sum(Y51-FE51)</f>
        <v/>
      </c>
      <c r="S51" s="33">
        <f>PERCENTRANK(R$2:INDEX($R:$R,LOOKUP(2,1/(ISNUMBER($A$2:$A$1048576)),ROW($A$2:$A$1048576))),R51)</f>
        <v/>
      </c>
      <c r="T51" s="34">
        <f>sum(R51-R$106)/R$107</f>
        <v/>
      </c>
      <c r="U51" s="35">
        <f>sum(Y51/AI51)*100</f>
        <v/>
      </c>
      <c r="V51" s="33">
        <f>PERCENTRANK(U$2:INDEX($U:$U,LOOKUP(2,1/(ISNUMBER($A$2:$A$1048576)),ROW($A$2:$A$1048576))),U51)</f>
        <v/>
      </c>
      <c r="W51" s="36">
        <f>sum(U51-U$106)/U$107</f>
        <v/>
      </c>
      <c r="X51" s="9" t="n">
        <v>1.03</v>
      </c>
      <c r="Y51" s="9" t="n">
        <v>1.22</v>
      </c>
      <c r="Z51" s="33">
        <f>PERCENTRANK(Y$2:INDEX($Y:$Y,LOOKUP(2,1/(ISNUMBER($A$2:$A$1048576)),ROW($A$2:$A$1048576))),Y51)</f>
        <v/>
      </c>
      <c r="AA51" s="37">
        <f>sum(Y51-Y$106)/Y$107</f>
        <v/>
      </c>
      <c r="AB51" s="9" t="n">
        <v>10.2</v>
      </c>
      <c r="AC51" s="33">
        <f>PERCENTRANK(AB$2:INDEX($AB:$AB,LOOKUP(2,1/(ISNUMBER($A$2:$A$1048576)),ROW($A$2:$A$1048576))),AB51)</f>
        <v/>
      </c>
      <c r="AD51" s="38">
        <f>sum(AB51-AB$106)/AB$107</f>
        <v/>
      </c>
      <c r="AE51" s="9" t="n">
        <v>3.17</v>
      </c>
      <c r="AF51" s="33">
        <f>PERCENTRANK(AE$2:INDEX($AE:$AE,LOOKUP(2,1/(ISNUMBER($A$2:$A$1048576)),ROW($A$2:$A$1048576))),AE51)</f>
        <v/>
      </c>
      <c r="AG51" s="38">
        <f>sum(AE51-AE$106)/AE$107</f>
        <v/>
      </c>
      <c r="AH51" s="9" t="n">
        <v>31.05</v>
      </c>
      <c r="AI51" s="9" t="n">
        <v>410</v>
      </c>
      <c r="AJ51" s="9" t="n">
        <v>351.3</v>
      </c>
      <c r="AK51" s="9" t="n">
        <v>85.68000000000001</v>
      </c>
      <c r="AL51" s="9" t="n">
        <v>52.41</v>
      </c>
      <c r="AM51" s="9" t="n">
        <v>94.27</v>
      </c>
      <c r="AN51" s="9" t="n">
        <v>18</v>
      </c>
      <c r="AO51" s="9" t="n">
        <v>30.93</v>
      </c>
      <c r="AP51" s="9" t="n">
        <v>45.33</v>
      </c>
      <c r="AQ51" s="9" t="n">
        <v>66.3</v>
      </c>
      <c r="AR51" s="9" t="n">
        <v>29.7</v>
      </c>
      <c r="AS51" s="9" t="n">
        <v>25.5</v>
      </c>
      <c r="AT51" s="33">
        <f>PERCENTRANK(AS$2:INDEX($AS:$AS,LOOKUP(2,1/(ISNUMBER($A$2:$A$1048576)),ROW($A$2:$A$1048576))),AS51)</f>
        <v/>
      </c>
      <c r="AU51" s="39">
        <f>SUM(AS51-AS$106)/AS$107</f>
        <v/>
      </c>
      <c r="AV51" s="9" t="n">
        <v>11.1</v>
      </c>
      <c r="AW51" s="33">
        <f>PERCENTRANK(AV$2:INDEX($AV:$AV,LOOKUP(2,1/(ISNUMBER($A$2:$A$1048576)),ROW($A$2:$A$1048576))),AV51)</f>
        <v/>
      </c>
      <c r="AX51" s="9" t="n">
        <v>172.6</v>
      </c>
      <c r="AY51" s="9" t="n">
        <v>81.5</v>
      </c>
      <c r="AZ51" s="9" t="n">
        <v>47.22</v>
      </c>
      <c r="BA51" s="9" t="n">
        <v>3.83</v>
      </c>
      <c r="BB51" s="9" t="n">
        <v>0.77</v>
      </c>
      <c r="BC51" s="9" t="n">
        <v>20</v>
      </c>
      <c r="BD51" s="9" t="n">
        <v>25.93</v>
      </c>
      <c r="BE51" s="9" t="n">
        <v>6.37</v>
      </c>
      <c r="BF51" s="33">
        <f>PERCENTRANK(BE$2:INDEX($BE:$BE,LOOKUP(2,1/(ISNUMBER($A$2:$A$1048576)),ROW($A$2:$A$1048576))),BE51)</f>
        <v/>
      </c>
      <c r="BG51" s="40">
        <f>sum(BE51-BE$106)/BE$107</f>
        <v/>
      </c>
      <c r="BH51" s="9" t="n">
        <v>24.55</v>
      </c>
      <c r="BI51" s="9" t="n">
        <v>0.4</v>
      </c>
      <c r="BJ51" s="9" t="n">
        <v>0.27</v>
      </c>
      <c r="BK51" s="9" t="n">
        <v>66.67</v>
      </c>
      <c r="BL51" s="9" t="n">
        <v>25.03</v>
      </c>
      <c r="BM51" s="9" t="n">
        <v>3.07</v>
      </c>
      <c r="BN51" s="9" t="n">
        <v>12.25</v>
      </c>
      <c r="BO51" s="9" t="n">
        <v>5.13</v>
      </c>
      <c r="BP51" s="9" t="n">
        <v>1.33</v>
      </c>
      <c r="BQ51" s="9" t="n">
        <v>25.97</v>
      </c>
      <c r="BR51" s="9" t="n">
        <v>1.63</v>
      </c>
      <c r="BS51" s="9" t="n">
        <v>0.43</v>
      </c>
      <c r="BT51" s="9" t="n">
        <v>26.53</v>
      </c>
      <c r="BU51" s="9" t="n">
        <v>0</v>
      </c>
      <c r="BV51" s="9" t="n">
        <v>0</v>
      </c>
      <c r="BW51" s="9" t="n">
        <v>0</v>
      </c>
      <c r="BX51" s="9" t="n">
        <v>14.47</v>
      </c>
      <c r="BY51" s="9" t="n">
        <v>5</v>
      </c>
      <c r="BZ51" s="9" t="n">
        <v>34.56</v>
      </c>
      <c r="CA51" s="9" t="n">
        <v>4.9</v>
      </c>
      <c r="CB51" s="9" t="n">
        <v>5.9</v>
      </c>
      <c r="CC51" s="33">
        <f>PERCENTRANK(CD$2:INDEX($CD:$CD,LOOKUP(2,1/(ISNUMBER($A$2:$A$1048576)),ROW($A$2:$A$1048576))),CD51)</f>
        <v/>
      </c>
      <c r="CD51" s="40">
        <f>sum(CB51-CB$106)/CB$107</f>
        <v/>
      </c>
      <c r="CE51" s="9" t="n">
        <v>23.23</v>
      </c>
      <c r="CF51" s="33">
        <f>PERCENTRANK(CE$2:INDEX($CE:$CE,LOOKUP(2,1/(ISNUMBER($A$2:$A$1048576)),ROW($A$2:$A$1048576))),CE51)</f>
        <v/>
      </c>
      <c r="CG51" s="38">
        <f>sum(CE51-CE$106)/CE$107</f>
        <v/>
      </c>
      <c r="CH51" s="9" t="n">
        <v>4.07</v>
      </c>
      <c r="CI51" s="9" t="n">
        <v>9.33</v>
      </c>
      <c r="CJ51" s="9" t="n">
        <v>16.8</v>
      </c>
      <c r="CK51" s="33">
        <f>PERCENTRANK(CJ$2:INDEX($CJ:$CJ,LOOKUP(2,1/(ISNUMBER($A$2:$A$1048576)),ROW($A$2:$A$1048576))),CJ51)</f>
        <v/>
      </c>
      <c r="CL51" s="38">
        <f>sum(CJ51-CJ$106)/CJ$107</f>
        <v/>
      </c>
      <c r="CM51" s="9" t="n">
        <v>64.83</v>
      </c>
      <c r="CN51" s="9" t="n">
        <v>25.67</v>
      </c>
      <c r="CO51" s="9" t="n">
        <v>39.59</v>
      </c>
      <c r="CP51" s="9" t="n">
        <v>1.57</v>
      </c>
      <c r="CQ51" s="9" t="n">
        <v>1.4</v>
      </c>
      <c r="CR51" s="9" t="n">
        <v>9.67</v>
      </c>
      <c r="CS51" s="33">
        <f>PERCENTRANK(CR$2:INDEX($CR:$CR,LOOKUP(2,1/(ISNUMBER($A$2:$A$1048576)),ROW($A$2:$A$1048576))),CR51)</f>
        <v/>
      </c>
      <c r="CT51" s="39">
        <f>1-(CR51-CR$106)/CR$107</f>
        <v/>
      </c>
      <c r="CU51" s="9" t="n">
        <v>3.4</v>
      </c>
      <c r="CV51" s="33">
        <f>PERCENTRANK(CU$2:INDEX($CU:$CU,LOOKUP(2,1/(ISNUMBER($A$2:$A$1048576)),ROW($A$2:$A$1048576))),CU51)</f>
        <v/>
      </c>
      <c r="CW51" s="39">
        <f>1-(CU51-CU$106)/CU$107</f>
        <v/>
      </c>
      <c r="CX51" s="9" t="n">
        <v>35.17</v>
      </c>
      <c r="CY51" s="9" t="n">
        <v>54.67</v>
      </c>
      <c r="CZ51" s="9" t="n">
        <v>33.1</v>
      </c>
      <c r="DA51" s="9" t="n">
        <v>60.55</v>
      </c>
      <c r="DB51" s="9" t="n">
        <v>33.4</v>
      </c>
      <c r="DC51" s="9" t="n">
        <v>15.33</v>
      </c>
      <c r="DD51" s="9" t="n">
        <v>45.91</v>
      </c>
      <c r="DE51" s="9" t="n">
        <v>2.67</v>
      </c>
      <c r="DF51" s="9" t="n">
        <v>1.2</v>
      </c>
      <c r="DG51" s="9" t="n">
        <v>45</v>
      </c>
      <c r="DH51" s="9" t="n">
        <v>32</v>
      </c>
      <c r="DI51" s="33">
        <f>PERCENTRANK(DH$2:INDEX($DH:$DH,LOOKUP(2,1/(ISNUMBER($A$2:$A$1048576)),ROW($A$2:$A$1048576))),DH51)</f>
        <v/>
      </c>
      <c r="DJ51" s="39">
        <f>SUM(DH51-DH$106)/DH$107</f>
        <v/>
      </c>
      <c r="DK51" s="9" t="n">
        <v>14.1</v>
      </c>
      <c r="DL51" s="9" t="n">
        <v>12.77</v>
      </c>
      <c r="DM51" s="9" t="n">
        <v>1.9</v>
      </c>
      <c r="DN51" s="9" t="n">
        <v>0.17</v>
      </c>
      <c r="DO51" s="9" t="n">
        <v>135.47</v>
      </c>
      <c r="DP51" s="9" t="n">
        <v>104.73</v>
      </c>
      <c r="DQ51" s="33">
        <f>PERCENTRANK(DP$2:INDEX($DP:$DP,LOOKUP(2,1/(ISNUMBER($A$2:$A$1048576)),ROW($A$2:$A$1048576))),DP51)</f>
        <v/>
      </c>
      <c r="DR51" s="40">
        <f>sum(DP51-DP$106)/DP$107</f>
        <v/>
      </c>
      <c r="DS51" s="9" t="n">
        <v>77.31</v>
      </c>
      <c r="DT51" s="9" t="n">
        <v>61.97</v>
      </c>
      <c r="DU51" s="9" t="n">
        <v>58.57</v>
      </c>
      <c r="DV51" s="9" t="n">
        <v>94.51000000000001</v>
      </c>
      <c r="DW51" s="9" t="n">
        <v>161.1</v>
      </c>
      <c r="DX51" s="9" t="n">
        <v>145.83</v>
      </c>
      <c r="DY51" s="9" t="n">
        <v>90.52</v>
      </c>
      <c r="DZ51" s="9" t="n">
        <v>34.83</v>
      </c>
      <c r="EA51" s="9" t="n">
        <v>18.73</v>
      </c>
      <c r="EB51" s="9" t="n">
        <v>53.78</v>
      </c>
      <c r="EC51" s="9" t="n">
        <v>49.8</v>
      </c>
      <c r="ED51" s="9" t="n">
        <v>36.03</v>
      </c>
      <c r="EE51" s="33">
        <f>PERCENTRANK(ED$2:INDEX($ED:$ED,LOOKUP(2,1/(ISNUMBER($A$2:$A$1048576)),ROW($A$2:$A$1048576))),ED51)</f>
        <v/>
      </c>
      <c r="EF51" s="40">
        <f>sum(ED51-ED$106)/ED$107</f>
        <v/>
      </c>
      <c r="EG51" s="9" t="n">
        <v>72.36</v>
      </c>
      <c r="EH51" s="9" t="n">
        <v>65.90000000000001</v>
      </c>
      <c r="EI51" s="9" t="n">
        <v>49.27</v>
      </c>
      <c r="EJ51" s="33">
        <f>PERCENTRANK(EI$2:INDEX($EI:$EI,LOOKUP(2,1/(ISNUMBER($A$2:$A$1048576)),ROW($A$2:$A$1048576))),EI51)</f>
        <v/>
      </c>
      <c r="EK51" s="40">
        <f>sum(EI51-EI$106)/EI$107</f>
        <v/>
      </c>
      <c r="EL51" s="9" t="n">
        <v>74.76000000000001</v>
      </c>
      <c r="EM51" s="9" t="n">
        <v>1.47</v>
      </c>
      <c r="EN51" s="9" t="n">
        <v>0.63</v>
      </c>
      <c r="EO51" s="9" t="n">
        <v>43.18</v>
      </c>
      <c r="EP51" s="9" t="n">
        <v>19.5</v>
      </c>
      <c r="EQ51" s="9" t="n">
        <v>17.13</v>
      </c>
      <c r="ER51" s="9" t="n">
        <v>87.86</v>
      </c>
      <c r="ES51" s="9" t="n">
        <v>7.57</v>
      </c>
      <c r="ET51" s="9" t="n">
        <v>15.2</v>
      </c>
      <c r="EU51" s="9" t="n">
        <v>4.4</v>
      </c>
      <c r="EV51" s="9" t="n">
        <v>8.84</v>
      </c>
      <c r="EW51" s="9" t="n">
        <v>17.15</v>
      </c>
      <c r="EX51" s="33">
        <f>PERCENTRANK(EW$2:INDEX($EW:$EW,LOOKUP(2,1/(ISNUMBER($A$2:$A$1048576)),ROW($A$2:$A$1048576))),EW51)</f>
        <v/>
      </c>
      <c r="EY51" s="38">
        <f>1-(EW51-EW$106)/EW$107</f>
        <v/>
      </c>
      <c r="EZ51" s="9" t="n">
        <v>19.81</v>
      </c>
      <c r="FA51" s="9" t="n">
        <v>12.54</v>
      </c>
      <c r="FB51" s="33">
        <f>PERCENTRANK(FA$2:INDEX($FA:$FA,LOOKUP(2,1/(ISNUMBER($A$2:$A$1048576)),ROW($A$2:$A$1048576))),FA51)</f>
        <v/>
      </c>
      <c r="FC51" s="39">
        <f>1-(FA51-FA$106)/FA$107</f>
        <v/>
      </c>
      <c r="FD51" s="9" t="n">
        <v>1.4</v>
      </c>
      <c r="FE51" s="9" t="n">
        <v>1.27</v>
      </c>
      <c r="FF51" s="33">
        <f>PERCENTRANK(FE$2:INDEX($FE:$FE,LOOKUP(2,1/(ISNUMBER($A$2:$A$1048576)),ROW($A$2:$A$1048576))),FE51)</f>
        <v/>
      </c>
      <c r="FG51" s="39">
        <f>1-(FE51-FE$106)/FE$107</f>
        <v/>
      </c>
      <c r="FH51" s="9" t="n">
        <v>9.67</v>
      </c>
      <c r="FI51" s="9" t="n">
        <v>3.27</v>
      </c>
      <c r="FJ51" s="9" t="n">
        <v>33.79</v>
      </c>
      <c r="FK51" s="9" t="n">
        <v>395.83</v>
      </c>
      <c r="FL51" s="33">
        <f>PERCENTRANK(FK$2:INDEX($FK:$FK,LOOKUP(2,1/(ISNUMBER($A$2:$A$1048576)),ROW($A$2:$A$1048576))),FK51)</f>
        <v/>
      </c>
      <c r="FM51" s="39">
        <f>SWA50-(FK51-FK$106)/FK$107</f>
        <v/>
      </c>
      <c r="FN51" s="9" t="n">
        <v>333.1</v>
      </c>
      <c r="FO51" s="9" t="n">
        <v>84.15000000000001</v>
      </c>
      <c r="FP51" s="9" t="n">
        <v>47.59</v>
      </c>
      <c r="FQ51" s="9" t="n">
        <v>92.33</v>
      </c>
      <c r="FR51" s="9" t="n">
        <v>18.03</v>
      </c>
      <c r="FS51" s="9" t="n">
        <v>32.73</v>
      </c>
      <c r="FT51" s="9" t="n">
        <v>41.57</v>
      </c>
      <c r="FU51" s="9" t="n">
        <v>67.56999999999999</v>
      </c>
      <c r="FV51" s="9" t="n">
        <v>31.3</v>
      </c>
      <c r="FW51" s="9" t="n">
        <v>26</v>
      </c>
      <c r="FX51" s="9" t="n">
        <v>10.27</v>
      </c>
      <c r="FY51" s="9" t="n">
        <v>172.6</v>
      </c>
      <c r="FZ51" s="9" t="n">
        <v>85.06999999999999</v>
      </c>
      <c r="GA51" s="9" t="n">
        <v>49.29</v>
      </c>
      <c r="GB51" s="9" t="n">
        <v>3.87</v>
      </c>
      <c r="GC51" s="9" t="n">
        <v>0.97</v>
      </c>
      <c r="GD51" s="9" t="n">
        <v>25</v>
      </c>
      <c r="GE51" s="9" t="n">
        <v>24.27</v>
      </c>
      <c r="GF51" s="9" t="n">
        <v>5.67</v>
      </c>
      <c r="GG51" s="9" t="n">
        <v>23.35</v>
      </c>
      <c r="GH51" s="9" t="n">
        <v>0.73</v>
      </c>
      <c r="GI51" s="9" t="n">
        <v>0.47</v>
      </c>
      <c r="GJ51" s="9" t="n">
        <v>63.64</v>
      </c>
      <c r="GK51" s="9" t="n">
        <v>24.77</v>
      </c>
      <c r="GL51" s="9" t="n">
        <v>3.17</v>
      </c>
      <c r="GM51" s="9" t="n">
        <v>12.79</v>
      </c>
      <c r="GN51" s="9" t="n">
        <v>4.1</v>
      </c>
      <c r="GO51" s="9" t="n">
        <v>1.5</v>
      </c>
      <c r="GP51" s="9" t="n">
        <v>36.59</v>
      </c>
      <c r="GQ51" s="9" t="n">
        <v>1.97</v>
      </c>
      <c r="GR51" s="9" t="n">
        <v>0.37</v>
      </c>
      <c r="GS51" s="9" t="n">
        <v>18.64</v>
      </c>
      <c r="GT51" s="9" t="n">
        <v>0.17</v>
      </c>
      <c r="GU51" s="9" t="n">
        <v>0.17</v>
      </c>
      <c r="GV51" s="9" t="n">
        <v>100</v>
      </c>
      <c r="GW51" s="9" t="n">
        <v>12.67</v>
      </c>
      <c r="GX51" s="9" t="n">
        <v>4.27</v>
      </c>
      <c r="GY51" s="9" t="n">
        <v>33.68</v>
      </c>
      <c r="GZ51" s="9" t="n">
        <v>4.13</v>
      </c>
      <c r="HA51" s="9" t="n">
        <v>5.87</v>
      </c>
      <c r="HB51" s="9" t="n">
        <v>19.53</v>
      </c>
      <c r="HC51" s="9" t="n">
        <v>3.27</v>
      </c>
      <c r="HD51" s="9" t="n">
        <v>7.67</v>
      </c>
      <c r="HE51" s="9" t="n">
        <v>14.37</v>
      </c>
      <c r="HF51" s="9" t="n">
        <v>54.63</v>
      </c>
      <c r="HG51" s="9" t="n">
        <v>21.53</v>
      </c>
      <c r="HH51" s="9" t="n">
        <v>39.41</v>
      </c>
      <c r="HI51" s="9" t="n">
        <v>1.5</v>
      </c>
      <c r="HJ51" s="9" t="n">
        <v>1.03</v>
      </c>
      <c r="HK51" s="9" t="n">
        <v>10.2</v>
      </c>
      <c r="HL51" s="9" t="n">
        <v>3.43</v>
      </c>
      <c r="HM51" s="9" t="n">
        <v>33.66</v>
      </c>
      <c r="HN51" s="9" t="n">
        <v>64.87</v>
      </c>
      <c r="HO51" s="9" t="n">
        <v>39.17</v>
      </c>
      <c r="HP51" s="9" t="n">
        <v>60.38</v>
      </c>
      <c r="HQ51" s="9" t="n">
        <v>33.4</v>
      </c>
      <c r="HR51" s="9" t="n">
        <v>15.47</v>
      </c>
      <c r="HS51" s="9" t="n">
        <v>46.31</v>
      </c>
      <c r="HT51" s="9" t="n">
        <v>3</v>
      </c>
      <c r="HU51" s="9" t="n">
        <v>1.53</v>
      </c>
      <c r="HV51" s="9" t="n">
        <v>51.11</v>
      </c>
      <c r="HW51" s="9" t="n">
        <v>34.77</v>
      </c>
      <c r="HX51" s="9" t="n">
        <v>15.27</v>
      </c>
      <c r="HY51" s="9" t="n">
        <v>12.27</v>
      </c>
      <c r="HZ51" s="9" t="n">
        <v>2.03</v>
      </c>
      <c r="IA51" s="9" t="n">
        <v>0.07000000000000001</v>
      </c>
      <c r="IB51" s="9" t="n">
        <v>127.03</v>
      </c>
      <c r="IC51" s="9" t="n">
        <v>92.56999999999999</v>
      </c>
      <c r="ID51" s="9" t="n">
        <v>72.87</v>
      </c>
      <c r="IE51" s="9" t="n">
        <v>61.33</v>
      </c>
      <c r="IF51" s="9" t="n">
        <v>58</v>
      </c>
      <c r="IG51" s="9" t="n">
        <v>94.56999999999999</v>
      </c>
      <c r="IH51" s="9" t="n">
        <v>156.67</v>
      </c>
      <c r="II51" s="9" t="n">
        <v>141.43</v>
      </c>
      <c r="IJ51" s="9" t="n">
        <v>90.28</v>
      </c>
      <c r="IK51" s="9" t="n">
        <v>43.33</v>
      </c>
      <c r="IL51" s="9" t="n">
        <v>21.7</v>
      </c>
      <c r="IM51" s="9" t="n">
        <v>50.08</v>
      </c>
      <c r="IN51" s="9" t="n">
        <v>46.3</v>
      </c>
      <c r="IO51" s="9" t="n">
        <v>29.87</v>
      </c>
      <c r="IP51" s="9" t="n">
        <v>64.51000000000001</v>
      </c>
      <c r="IQ51" s="9" t="n">
        <v>60.73</v>
      </c>
      <c r="IR51" s="9" t="n">
        <v>43.07</v>
      </c>
      <c r="IS51" s="9" t="n">
        <v>70.91</v>
      </c>
      <c r="IT51" s="33">
        <f>PERCENTRANK(IS$2:INDEX($IS:$IS,LOOKUP(2,1/(ISNUMBER($A$2:$A$1048576)),ROW($A$2:$A$1048576))),IS51)</f>
        <v/>
      </c>
      <c r="IU51" s="39">
        <f>1-(IS51-IS$106)/IS$107</f>
        <v/>
      </c>
      <c r="IV51" s="9" t="n">
        <v>0.73</v>
      </c>
      <c r="IW51" s="9" t="n">
        <v>0.33</v>
      </c>
      <c r="IX51" s="9" t="n">
        <v>45.45</v>
      </c>
      <c r="IY51" s="9" t="n">
        <v>17.13</v>
      </c>
      <c r="IZ51" s="9" t="n">
        <v>15.33</v>
      </c>
      <c r="JA51" s="9" t="n">
        <v>89.48999999999999</v>
      </c>
      <c r="JB51" s="9" t="n">
        <v>7.67</v>
      </c>
      <c r="JC51" s="9" t="n">
        <v>16.06</v>
      </c>
      <c r="JD51" s="9" t="n">
        <v>4.29</v>
      </c>
      <c r="JE51" s="9" t="n">
        <v>11.68</v>
      </c>
      <c r="JF51" s="9" t="n">
        <v>18.54</v>
      </c>
      <c r="JG51" s="9" t="n">
        <v>20.42</v>
      </c>
      <c r="JH51" s="9" t="n">
        <v>12.56</v>
      </c>
    </row>
    <row r="52">
      <c r="A52" s="12" t="n">
        <v>2023</v>
      </c>
      <c r="B52" s="31" t="inlineStr">
        <is>
          <t>San Diego Loyal</t>
        </is>
      </c>
      <c r="C52" s="12" t="n">
        <v>57</v>
      </c>
      <c r="D52" s="5">
        <f>(C52-AVERAGE($C$2:INDEX($C:$C,LOOKUP(2,1/(ISNUMBER($A$2:$A$1048576)),ROW($A$2:$A$1048576)))))/_xlfn.STDEV.P($C$2:INDEX($C:$C,LOOKUP(2,1/(ISNUMBER($A$2:$A$1048576)),ROW($A$2:$A$1048576))))</f>
        <v/>
      </c>
      <c r="E52" s="12" t="n">
        <v>3</v>
      </c>
      <c r="F52" s="6">
        <f>-E52</f>
        <v/>
      </c>
      <c r="G52" s="7">
        <f>(F52-AVERAGE($F$2:INDEX($F:$F,LOOKUP(2,1/(ISNUMBER($A$2:$A$1048576)),ROW($A$2:$A$1048576)))))/_xlfn.STDEV.P($F$2:INDEX($F:$F,LOOKUP(2,1/(ISNUMBER($A$2:$A$1048576)),ROW($A$2:$A$1048576))))</f>
        <v/>
      </c>
      <c r="H52" s="32">
        <f>sum(0.5*D52)+(0.5*G52)</f>
        <v/>
      </c>
      <c r="I52" s="12" t="inlineStr">
        <is>
          <t>West</t>
        </is>
      </c>
      <c r="J52" s="10">
        <f>sum(L52*L$105)+(N52*N$105)+(P52*P$105)+(T52*R$105)</f>
        <v/>
      </c>
      <c r="K52" s="33">
        <f>PERCENTRANK(J$2:INDEX($J:$J,LOOKUP(2,1/(ISNUMBER($A$2:$A$1048576)),ROW($A$2:$A$1048576))),J52)</f>
        <v/>
      </c>
      <c r="L52" s="10">
        <f>sum(AA52*0.66)+(AD52*0.55)+(AG52*0.59)+(CG52*0.51)+(CL52*0.6)+(EY52*0.31)</f>
        <v/>
      </c>
      <c r="M52" s="33">
        <f>PERCENTRANK(L$2:INDEX($L:$L,LOOKUP(2,1/(ISNUMBER($A$2:$A$1048576)),ROW($A$2:$A$1048576))),L52)</f>
        <v/>
      </c>
      <c r="N52" s="10">
        <f>sum(CT52*0.57)+(CW52*0.71)+(DJ52*0.08)+(FC52*0.33)+(FG52*0.69)+(FM52*0.26)+(IU52*0.54)+(AU52*0.4)</f>
        <v/>
      </c>
      <c r="O52" s="33">
        <f>PERCENTRANK(N$2:INDEX($N:$N,LOOKUP(2,1/(ISNUMBER($A$2:$A$1048576)),ROW($A$2:$A$1048576))),N52)</f>
        <v/>
      </c>
      <c r="P52" s="10">
        <f>sum(BG52*0.51)+(CD52*0.51)+(DR52*0.11)+(EF52*0.42)+(EK52*0.44)+(W52*0.6)</f>
        <v/>
      </c>
      <c r="Q52" s="33">
        <f>PERCENTRANK(P$2:INDEX($P:$P,LOOKUP(2,1/(ISNUMBER($A$2:$A$1048576)),ROW($A$2:$A$1048576))),P52)</f>
        <v/>
      </c>
      <c r="R52" s="10">
        <f>sum(Y52-FE52)</f>
        <v/>
      </c>
      <c r="S52" s="33">
        <f>PERCENTRANK(R$2:INDEX($R:$R,LOOKUP(2,1/(ISNUMBER($A$2:$A$1048576)),ROW($A$2:$A$1048576))),R52)</f>
        <v/>
      </c>
      <c r="T52" s="34">
        <f>sum(R52-R$106)/R$107</f>
        <v/>
      </c>
      <c r="U52" s="35">
        <f>sum(Y52/AI52)*100</f>
        <v/>
      </c>
      <c r="V52" s="33">
        <f>PERCENTRANK(U$2:INDEX($U:$U,LOOKUP(2,1/(ISNUMBER($A$2:$A$1048576)),ROW($A$2:$A$1048576))),U52)</f>
        <v/>
      </c>
      <c r="W52" s="36">
        <f>sum(U52-U$106)/U$107</f>
        <v/>
      </c>
      <c r="X52" s="9" t="n">
        <v>1.83</v>
      </c>
      <c r="Y52" s="9" t="n">
        <v>1.61</v>
      </c>
      <c r="Z52" s="33">
        <f>PERCENTRANK(Y$2:INDEX($Y:$Y,LOOKUP(2,1/(ISNUMBER($A$2:$A$1048576)),ROW($A$2:$A$1048576))),Y52)</f>
        <v/>
      </c>
      <c r="AA52" s="37">
        <f>sum(Y52-Y$106)/Y$107</f>
        <v/>
      </c>
      <c r="AB52" s="9" t="n">
        <v>11.94</v>
      </c>
      <c r="AC52" s="33">
        <f>PERCENTRANK(AB$2:INDEX($AB:$AB,LOOKUP(2,1/(ISNUMBER($A$2:$A$1048576)),ROW($A$2:$A$1048576))),AB52)</f>
        <v/>
      </c>
      <c r="AD52" s="38">
        <f>sum(AB52-AB$106)/AB$107</f>
        <v/>
      </c>
      <c r="AE52" s="9" t="n">
        <v>4.86</v>
      </c>
      <c r="AF52" s="33">
        <f>PERCENTRANK(AE$2:INDEX($AE:$AE,LOOKUP(2,1/(ISNUMBER($A$2:$A$1048576)),ROW($A$2:$A$1048576))),AE52)</f>
        <v/>
      </c>
      <c r="AG52" s="38">
        <f>sum(AE52-AE$106)/AE$107</f>
        <v/>
      </c>
      <c r="AH52" s="9" t="n">
        <v>40.67</v>
      </c>
      <c r="AI52" s="9" t="n">
        <v>457.71</v>
      </c>
      <c r="AJ52" s="9" t="n">
        <v>390</v>
      </c>
      <c r="AK52" s="9" t="n">
        <v>85.20999999999999</v>
      </c>
      <c r="AL52" s="9" t="n">
        <v>56.61</v>
      </c>
      <c r="AM52" s="9" t="n">
        <v>97.40000000000001</v>
      </c>
      <c r="AN52" s="9" t="n">
        <v>16.8</v>
      </c>
      <c r="AO52" s="9" t="n">
        <v>34.83</v>
      </c>
      <c r="AP52" s="9" t="n">
        <v>45.77</v>
      </c>
      <c r="AQ52" s="9" t="n">
        <v>73.23</v>
      </c>
      <c r="AR52" s="9" t="n">
        <v>31.06</v>
      </c>
      <c r="AS52" s="9" t="n">
        <v>31.09</v>
      </c>
      <c r="AT52" s="33">
        <f>PERCENTRANK(AS$2:INDEX($AS:$AS,LOOKUP(2,1/(ISNUMBER($A$2:$A$1048576)),ROW($A$2:$A$1048576))),AS52)</f>
        <v/>
      </c>
      <c r="AU52" s="39">
        <f>SUM(AS52-AS$106)/AS$107</f>
        <v/>
      </c>
      <c r="AV52" s="9" t="n">
        <v>11.09</v>
      </c>
      <c r="AW52" s="33">
        <f>PERCENTRANK(AV$2:INDEX($AV:$AV,LOOKUP(2,1/(ISNUMBER($A$2:$A$1048576)),ROW($A$2:$A$1048576))),AV52)</f>
        <v/>
      </c>
      <c r="AX52" s="9" t="n">
        <v>191.03</v>
      </c>
      <c r="AY52" s="9" t="n">
        <v>89.06</v>
      </c>
      <c r="AZ52" s="9" t="n">
        <v>46.62</v>
      </c>
      <c r="BA52" s="9" t="n">
        <v>5</v>
      </c>
      <c r="BB52" s="9" t="n">
        <v>1.31</v>
      </c>
      <c r="BC52" s="9" t="n">
        <v>26.29</v>
      </c>
      <c r="BD52" s="9" t="n">
        <v>27.23</v>
      </c>
      <c r="BE52" s="9" t="n">
        <v>7.03</v>
      </c>
      <c r="BF52" s="33">
        <f>PERCENTRANK(BE$2:INDEX($BE:$BE,LOOKUP(2,1/(ISNUMBER($A$2:$A$1048576)),ROW($A$2:$A$1048576))),BE52)</f>
        <v/>
      </c>
      <c r="BG52" s="40">
        <f>sum(BE52-BE$106)/BE$107</f>
        <v/>
      </c>
      <c r="BH52" s="9" t="n">
        <v>25.81</v>
      </c>
      <c r="BI52" s="9" t="n">
        <v>1.34</v>
      </c>
      <c r="BJ52" s="9" t="n">
        <v>0.66</v>
      </c>
      <c r="BK52" s="9" t="n">
        <v>48.94</v>
      </c>
      <c r="BL52" s="9" t="n">
        <v>29.4</v>
      </c>
      <c r="BM52" s="9" t="n">
        <v>3.57</v>
      </c>
      <c r="BN52" s="9" t="n">
        <v>12.15</v>
      </c>
      <c r="BO52" s="9" t="n">
        <v>4.91</v>
      </c>
      <c r="BP52" s="9" t="n">
        <v>1.34</v>
      </c>
      <c r="BQ52" s="9" t="n">
        <v>27.33</v>
      </c>
      <c r="BR52" s="9" t="n">
        <v>2.8</v>
      </c>
      <c r="BS52" s="9" t="n">
        <v>0.83</v>
      </c>
      <c r="BT52" s="9" t="n">
        <v>29.59</v>
      </c>
      <c r="BU52" s="9" t="n">
        <v>0.2</v>
      </c>
      <c r="BV52" s="9" t="n">
        <v>0.14</v>
      </c>
      <c r="BW52" s="9" t="n">
        <v>71.43000000000001</v>
      </c>
      <c r="BX52" s="9" t="n">
        <v>15.43</v>
      </c>
      <c r="BY52" s="9" t="n">
        <v>5.11</v>
      </c>
      <c r="BZ52" s="9" t="n">
        <v>33.15</v>
      </c>
      <c r="CA52" s="9" t="n">
        <v>4.89</v>
      </c>
      <c r="CB52" s="9" t="n">
        <v>5.89</v>
      </c>
      <c r="CC52" s="33">
        <f>PERCENTRANK(CD$2:INDEX($CD:$CD,LOOKUP(2,1/(ISNUMBER($A$2:$A$1048576)),ROW($A$2:$A$1048576))),CD52)</f>
        <v/>
      </c>
      <c r="CD52" s="40">
        <f>sum(CB52-CB$106)/CB$107</f>
        <v/>
      </c>
      <c r="CE52" s="9" t="n">
        <v>23.31</v>
      </c>
      <c r="CF52" s="33">
        <f>PERCENTRANK(CE$2:INDEX($CE:$CE,LOOKUP(2,1/(ISNUMBER($A$2:$A$1048576)),ROW($A$2:$A$1048576))),CE52)</f>
        <v/>
      </c>
      <c r="CG52" s="38">
        <f>sum(CE52-CE$106)/CE$107</f>
        <v/>
      </c>
      <c r="CH52" s="9" t="n">
        <v>4.14</v>
      </c>
      <c r="CI52" s="9" t="n">
        <v>9.77</v>
      </c>
      <c r="CJ52" s="9" t="n">
        <v>16.29</v>
      </c>
      <c r="CK52" s="33">
        <f>PERCENTRANK(CJ$2:INDEX($CJ:$CJ,LOOKUP(2,1/(ISNUMBER($A$2:$A$1048576)),ROW($A$2:$A$1048576))),CJ52)</f>
        <v/>
      </c>
      <c r="CL52" s="38">
        <f>sum(CJ52-CJ$106)/CJ$107</f>
        <v/>
      </c>
      <c r="CM52" s="9" t="n">
        <v>74.14</v>
      </c>
      <c r="CN52" s="9" t="n">
        <v>30.49</v>
      </c>
      <c r="CO52" s="9" t="n">
        <v>41.12</v>
      </c>
      <c r="CP52" s="9" t="n">
        <v>1.34</v>
      </c>
      <c r="CQ52" s="9" t="n">
        <v>1.31</v>
      </c>
      <c r="CR52" s="9" t="n">
        <v>11.43</v>
      </c>
      <c r="CS52" s="33">
        <f>PERCENTRANK(CR$2:INDEX($CR:$CR,LOOKUP(2,1/(ISNUMBER($A$2:$A$1048576)),ROW($A$2:$A$1048576))),CR52)</f>
        <v/>
      </c>
      <c r="CT52" s="39">
        <f>1-(CR52-CR$106)/CR$107</f>
        <v/>
      </c>
      <c r="CU52" s="9" t="n">
        <v>3.69</v>
      </c>
      <c r="CV52" s="33">
        <f>PERCENTRANK(CU$2:INDEX($CU:$CU,LOOKUP(2,1/(ISNUMBER($A$2:$A$1048576)),ROW($A$2:$A$1048576))),CU52)</f>
        <v/>
      </c>
      <c r="CW52" s="39">
        <f>1-(CU52-CU$106)/CU$107</f>
        <v/>
      </c>
      <c r="CX52" s="9" t="n">
        <v>32.25</v>
      </c>
      <c r="CY52" s="9" t="n">
        <v>60.09</v>
      </c>
      <c r="CZ52" s="9" t="n">
        <v>34.26</v>
      </c>
      <c r="DA52" s="9" t="n">
        <v>57.01</v>
      </c>
      <c r="DB52" s="9" t="n">
        <v>31</v>
      </c>
      <c r="DC52" s="9" t="n">
        <v>13.8</v>
      </c>
      <c r="DD52" s="9" t="n">
        <v>44.52</v>
      </c>
      <c r="DE52" s="9" t="n">
        <v>3.57</v>
      </c>
      <c r="DF52" s="9" t="n">
        <v>1.51</v>
      </c>
      <c r="DG52" s="9" t="n">
        <v>42.4</v>
      </c>
      <c r="DH52" s="9" t="n">
        <v>35.23</v>
      </c>
      <c r="DI52" s="33">
        <f>PERCENTRANK(DH$2:INDEX($DH:$DH,LOOKUP(2,1/(ISNUMBER($A$2:$A$1048576)),ROW($A$2:$A$1048576))),DH52)</f>
        <v/>
      </c>
      <c r="DJ52" s="39">
        <f>SUM(DH52-DH$106)/DH$107</f>
        <v/>
      </c>
      <c r="DK52" s="9" t="n">
        <v>13.17</v>
      </c>
      <c r="DL52" s="9" t="n">
        <v>13.09</v>
      </c>
      <c r="DM52" s="9" t="n">
        <v>2.23</v>
      </c>
      <c r="DN52" s="9" t="n">
        <v>0.06</v>
      </c>
      <c r="DO52" s="9" t="n">
        <v>146.17</v>
      </c>
      <c r="DP52" s="9" t="n">
        <v>109.63</v>
      </c>
      <c r="DQ52" s="33">
        <f>PERCENTRANK(DP$2:INDEX($DP:$DP,LOOKUP(2,1/(ISNUMBER($A$2:$A$1048576)),ROW($A$2:$A$1048576))),DP52)</f>
        <v/>
      </c>
      <c r="DR52" s="40">
        <f>sum(DP52-DP$106)/DP$107</f>
        <v/>
      </c>
      <c r="DS52" s="9" t="n">
        <v>75</v>
      </c>
      <c r="DT52" s="9" t="n">
        <v>64.89</v>
      </c>
      <c r="DU52" s="9" t="n">
        <v>61.6</v>
      </c>
      <c r="DV52" s="9" t="n">
        <v>94.94</v>
      </c>
      <c r="DW52" s="9" t="n">
        <v>182.66</v>
      </c>
      <c r="DX52" s="9" t="n">
        <v>165.51</v>
      </c>
      <c r="DY52" s="9" t="n">
        <v>90.61</v>
      </c>
      <c r="DZ52" s="9" t="n">
        <v>45.26</v>
      </c>
      <c r="EA52" s="9" t="n">
        <v>25.17</v>
      </c>
      <c r="EB52" s="9" t="n">
        <v>55.62</v>
      </c>
      <c r="EC52" s="9" t="n">
        <v>52.43</v>
      </c>
      <c r="ED52" s="9" t="n">
        <v>35.89</v>
      </c>
      <c r="EE52" s="33">
        <f>PERCENTRANK(ED$2:INDEX($ED:$ED,LOOKUP(2,1/(ISNUMBER($A$2:$A$1048576)),ROW($A$2:$A$1048576))),ED52)</f>
        <v/>
      </c>
      <c r="EF52" s="40">
        <f>sum(ED52-ED$106)/ED$107</f>
        <v/>
      </c>
      <c r="EG52" s="9" t="n">
        <v>68.45</v>
      </c>
      <c r="EH52" s="9" t="n">
        <v>67.06</v>
      </c>
      <c r="EI52" s="9" t="n">
        <v>48.86</v>
      </c>
      <c r="EJ52" s="33">
        <f>PERCENTRANK(EI$2:INDEX($EI:$EI,LOOKUP(2,1/(ISNUMBER($A$2:$A$1048576)),ROW($A$2:$A$1048576))),EI52)</f>
        <v/>
      </c>
      <c r="EK52" s="40">
        <f>sum(EI52-EI$106)/EI$107</f>
        <v/>
      </c>
      <c r="EL52" s="9" t="n">
        <v>72.86</v>
      </c>
      <c r="EM52" s="9" t="n">
        <v>2.71</v>
      </c>
      <c r="EN52" s="9" t="n">
        <v>1.06</v>
      </c>
      <c r="EO52" s="9" t="n">
        <v>38.95</v>
      </c>
      <c r="EP52" s="9" t="n">
        <v>20.49</v>
      </c>
      <c r="EQ52" s="9" t="n">
        <v>19.43</v>
      </c>
      <c r="ER52" s="9" t="n">
        <v>94.84</v>
      </c>
      <c r="ES52" s="9" t="n">
        <v>8.17</v>
      </c>
      <c r="ET52" s="9" t="n">
        <v>15.61</v>
      </c>
      <c r="EU52" s="9" t="n">
        <v>4.37</v>
      </c>
      <c r="EV52" s="9" t="n">
        <v>10.14</v>
      </c>
      <c r="EW52" s="9" t="n">
        <v>17.98</v>
      </c>
      <c r="EX52" s="33">
        <f>PERCENTRANK(EW$2:INDEX($EW:$EW,LOOKUP(2,1/(ISNUMBER($A$2:$A$1048576)),ROW($A$2:$A$1048576))),EW52)</f>
        <v/>
      </c>
      <c r="EY52" s="38">
        <f>1-(EW52-EW$106)/EW$107</f>
        <v/>
      </c>
      <c r="EZ52" s="9" t="n">
        <v>19.74</v>
      </c>
      <c r="FA52" s="9" t="n">
        <v>9.99</v>
      </c>
      <c r="FB52" s="33">
        <f>PERCENTRANK(FA$2:INDEX($FA:$FA,LOOKUP(2,1/(ISNUMBER($A$2:$A$1048576)),ROW($A$2:$A$1048576))),FA52)</f>
        <v/>
      </c>
      <c r="FC52" s="39">
        <f>1-(FA52-FA$106)/FA$107</f>
        <v/>
      </c>
      <c r="FD52" s="9" t="n">
        <v>1.34</v>
      </c>
      <c r="FE52" s="9" t="n">
        <v>1.27</v>
      </c>
      <c r="FF52" s="33">
        <f>PERCENTRANK(FE$2:INDEX($FE:$FE,LOOKUP(2,1/(ISNUMBER($A$2:$A$1048576)),ROW($A$2:$A$1048576))),FE52)</f>
        <v/>
      </c>
      <c r="FG52" s="39">
        <f>1-(FE52-FE$106)/FE$107</f>
        <v/>
      </c>
      <c r="FH52" s="9" t="n">
        <v>11.43</v>
      </c>
      <c r="FI52" s="9" t="n">
        <v>3.57</v>
      </c>
      <c r="FJ52" s="9" t="n">
        <v>31.25</v>
      </c>
      <c r="FK52" s="9" t="n">
        <v>368.37</v>
      </c>
      <c r="FL52" s="33">
        <f>PERCENTRANK(FK$2:INDEX($FK:$FK,LOOKUP(2,1/(ISNUMBER($A$2:$A$1048576)),ROW($A$2:$A$1048576))),FK52)</f>
        <v/>
      </c>
      <c r="FM52" s="39">
        <f>SWA51-(FK52-FK$106)/FK$107</f>
        <v/>
      </c>
      <c r="FN52" s="9" t="n">
        <v>304.26</v>
      </c>
      <c r="FO52" s="9" t="n">
        <v>82.59999999999999</v>
      </c>
      <c r="FP52" s="9" t="n">
        <v>43.39</v>
      </c>
      <c r="FQ52" s="9" t="n">
        <v>97.56999999999999</v>
      </c>
      <c r="FR52" s="9" t="n">
        <v>20.89</v>
      </c>
      <c r="FS52" s="9" t="n">
        <v>35.46</v>
      </c>
      <c r="FT52" s="9" t="n">
        <v>41.23</v>
      </c>
      <c r="FU52" s="9" t="n">
        <v>76.23</v>
      </c>
      <c r="FV52" s="9" t="n">
        <v>34.8</v>
      </c>
      <c r="FW52" s="9" t="n">
        <v>30.34</v>
      </c>
      <c r="FX52" s="9" t="n">
        <v>11.09</v>
      </c>
      <c r="FY52" s="9" t="n">
        <v>191.03</v>
      </c>
      <c r="FZ52" s="9" t="n">
        <v>95.17</v>
      </c>
      <c r="GA52" s="9" t="n">
        <v>49.82</v>
      </c>
      <c r="GB52" s="9" t="n">
        <v>4.8</v>
      </c>
      <c r="GC52" s="9" t="n">
        <v>1</v>
      </c>
      <c r="GD52" s="9" t="n">
        <v>20.83</v>
      </c>
      <c r="GE52" s="9" t="n">
        <v>25.06</v>
      </c>
      <c r="GF52" s="9" t="n">
        <v>6.8</v>
      </c>
      <c r="GG52" s="9" t="n">
        <v>27.14</v>
      </c>
      <c r="GH52" s="9" t="n">
        <v>1.43</v>
      </c>
      <c r="GI52" s="9" t="n">
        <v>0.66</v>
      </c>
      <c r="GJ52" s="9" t="n">
        <v>46</v>
      </c>
      <c r="GK52" s="9" t="n">
        <v>23.8</v>
      </c>
      <c r="GL52" s="9" t="n">
        <v>3.51</v>
      </c>
      <c r="GM52" s="9" t="n">
        <v>14.77</v>
      </c>
      <c r="GN52" s="9" t="n">
        <v>4.14</v>
      </c>
      <c r="GO52" s="9" t="n">
        <v>1.31</v>
      </c>
      <c r="GP52" s="9" t="n">
        <v>31.72</v>
      </c>
      <c r="GQ52" s="9" t="n">
        <v>2.66</v>
      </c>
      <c r="GR52" s="9" t="n">
        <v>0.97</v>
      </c>
      <c r="GS52" s="9" t="n">
        <v>36.56</v>
      </c>
      <c r="GT52" s="9" t="n">
        <v>0.14</v>
      </c>
      <c r="GU52" s="9" t="n">
        <v>0.14</v>
      </c>
      <c r="GV52" s="9" t="n">
        <v>100</v>
      </c>
      <c r="GW52" s="9" t="n">
        <v>11.74</v>
      </c>
      <c r="GX52" s="9" t="n">
        <v>3.6</v>
      </c>
      <c r="GY52" s="9" t="n">
        <v>30.66</v>
      </c>
      <c r="GZ52" s="9" t="n">
        <v>3.54</v>
      </c>
      <c r="HA52" s="9" t="n">
        <v>6.03</v>
      </c>
      <c r="HB52" s="9" t="n">
        <v>19.86</v>
      </c>
      <c r="HC52" s="9" t="n">
        <v>4.09</v>
      </c>
      <c r="HD52" s="9" t="n">
        <v>6.8</v>
      </c>
      <c r="HE52" s="9" t="n">
        <v>15.71</v>
      </c>
      <c r="HF52" s="9" t="n">
        <v>60.09</v>
      </c>
      <c r="HG52" s="9" t="n">
        <v>25.83</v>
      </c>
      <c r="HH52" s="9" t="n">
        <v>42.99</v>
      </c>
      <c r="HI52" s="9" t="n">
        <v>1.97</v>
      </c>
      <c r="HJ52" s="9" t="n">
        <v>1.8</v>
      </c>
      <c r="HK52" s="9" t="n">
        <v>11.94</v>
      </c>
      <c r="HL52" s="9" t="n">
        <v>5.09</v>
      </c>
      <c r="HM52" s="9" t="n">
        <v>42.58</v>
      </c>
      <c r="HN52" s="9" t="n">
        <v>74.14</v>
      </c>
      <c r="HO52" s="9" t="n">
        <v>43.66</v>
      </c>
      <c r="HP52" s="9" t="n">
        <v>58.88</v>
      </c>
      <c r="HQ52" s="9" t="n">
        <v>31</v>
      </c>
      <c r="HR52" s="9" t="n">
        <v>14.43</v>
      </c>
      <c r="HS52" s="9" t="n">
        <v>46.54</v>
      </c>
      <c r="HT52" s="9" t="n">
        <v>4.86</v>
      </c>
      <c r="HU52" s="9" t="n">
        <v>2.51</v>
      </c>
      <c r="HV52" s="9" t="n">
        <v>51.76</v>
      </c>
      <c r="HW52" s="9" t="n">
        <v>38.71</v>
      </c>
      <c r="HX52" s="9" t="n">
        <v>18.46</v>
      </c>
      <c r="HY52" s="9" t="n">
        <v>15.34</v>
      </c>
      <c r="HZ52" s="9" t="n">
        <v>2.83</v>
      </c>
      <c r="IA52" s="9" t="n">
        <v>0.09</v>
      </c>
      <c r="IB52" s="9" t="n">
        <v>118.54</v>
      </c>
      <c r="IC52" s="9" t="n">
        <v>83.70999999999999</v>
      </c>
      <c r="ID52" s="9" t="n">
        <v>70.62</v>
      </c>
      <c r="IE52" s="9" t="n">
        <v>55.14</v>
      </c>
      <c r="IF52" s="9" t="n">
        <v>51.14</v>
      </c>
      <c r="IG52" s="9" t="n">
        <v>92.75</v>
      </c>
      <c r="IH52" s="9" t="n">
        <v>138.97</v>
      </c>
      <c r="II52" s="9" t="n">
        <v>122.69</v>
      </c>
      <c r="IJ52" s="9" t="n">
        <v>88.28</v>
      </c>
      <c r="IK52" s="9" t="n">
        <v>41.23</v>
      </c>
      <c r="IL52" s="9" t="n">
        <v>20.97</v>
      </c>
      <c r="IM52" s="9" t="n">
        <v>50.87</v>
      </c>
      <c r="IN52" s="9" t="n">
        <v>42.97</v>
      </c>
      <c r="IO52" s="9" t="n">
        <v>28.03</v>
      </c>
      <c r="IP52" s="9" t="n">
        <v>65.23</v>
      </c>
      <c r="IQ52" s="9" t="n">
        <v>61.6</v>
      </c>
      <c r="IR52" s="9" t="n">
        <v>42.43</v>
      </c>
      <c r="IS52" s="9" t="n">
        <v>68.88</v>
      </c>
      <c r="IT52" s="33">
        <f>PERCENTRANK(IS$2:INDEX($IS:$IS,LOOKUP(2,1/(ISNUMBER($A$2:$A$1048576)),ROW($A$2:$A$1048576))),IS52)</f>
        <v/>
      </c>
      <c r="IU52" s="39">
        <f>1-(IS52-IS$106)/IS$107</f>
        <v/>
      </c>
      <c r="IV52" s="9" t="n">
        <v>3.29</v>
      </c>
      <c r="IW52" s="9" t="n">
        <v>1.26</v>
      </c>
      <c r="IX52" s="9" t="n">
        <v>38.26</v>
      </c>
      <c r="IY52" s="9" t="n">
        <v>18.34</v>
      </c>
      <c r="IZ52" s="9" t="n">
        <v>15.8</v>
      </c>
      <c r="JA52" s="9" t="n">
        <v>86.14</v>
      </c>
      <c r="JB52" s="9" t="n">
        <v>7.34</v>
      </c>
      <c r="JC52" s="9" t="n">
        <v>16.25</v>
      </c>
      <c r="JD52" s="9" t="n">
        <v>3.72</v>
      </c>
      <c r="JE52" s="9" t="n">
        <v>11.99</v>
      </c>
      <c r="JF52" s="9" t="n">
        <v>18.78</v>
      </c>
      <c r="JG52" s="9" t="n">
        <v>20.25</v>
      </c>
      <c r="JH52" s="9" t="n">
        <v>12.04</v>
      </c>
    </row>
    <row r="53">
      <c r="A53" s="12" t="n">
        <v>2024</v>
      </c>
      <c r="B53" s="31" t="inlineStr">
        <is>
          <t>New Mexico United</t>
        </is>
      </c>
      <c r="C53" s="12" t="n">
        <v>59</v>
      </c>
      <c r="D53" s="5">
        <f>(C53-AVERAGE($C$2:INDEX($C:$C,LOOKUP(2,1/(ISNUMBER($A$2:$A$1048576)),ROW($A$2:$A$1048576)))))/_xlfn.STDEV.P($C$2:INDEX($C:$C,LOOKUP(2,1/(ISNUMBER($A$2:$A$1048576)),ROW($A$2:$A$1048576))))</f>
        <v/>
      </c>
      <c r="E53" s="12" t="n">
        <v>1</v>
      </c>
      <c r="F53" s="6">
        <f>-E53</f>
        <v/>
      </c>
      <c r="G53" s="7">
        <f>(F53-AVERAGE($F$2:INDEX($F:$F,LOOKUP(2,1/(ISNUMBER($A$2:$A$1048576)),ROW($A$2:$A$1048576)))))/_xlfn.STDEV.P($F$2:INDEX($F:$F,LOOKUP(2,1/(ISNUMBER($A$2:$A$1048576)),ROW($A$2:$A$1048576))))</f>
        <v/>
      </c>
      <c r="H53" s="32">
        <f>sum(0.5*D53)+(0.5*G53)</f>
        <v/>
      </c>
      <c r="I53" s="12" t="inlineStr">
        <is>
          <t>West</t>
        </is>
      </c>
      <c r="J53" s="10">
        <f>sum(L53*L$105)+(N53*N$105)+(P53*P$105)+(T53*R$105)</f>
        <v/>
      </c>
      <c r="K53" s="33">
        <f>PERCENTRANK(J$2:INDEX($J:$J,LOOKUP(2,1/(ISNUMBER($A$2:$A$1048576)),ROW($A$2:$A$1048576))),J53)</f>
        <v/>
      </c>
      <c r="L53" s="10">
        <f>sum(AA53*0.66)+(AD53*0.55)+(AG53*0.59)+(CG53*0.51)+(CL53*0.6)+(EY53*0.31)</f>
        <v/>
      </c>
      <c r="M53" s="33">
        <f>PERCENTRANK(L$2:INDEX($L:$L,LOOKUP(2,1/(ISNUMBER($A$2:$A$1048576)),ROW($A$2:$A$1048576))),L53)</f>
        <v/>
      </c>
      <c r="N53" s="10">
        <f>sum(CT53*0.57)+(CW53*0.71)+(DJ53*0.08)+(FC53*0.33)+(FG53*0.69)+(FM53*0.26)+(IU53*0.54)+(AU53*0.4)</f>
        <v/>
      </c>
      <c r="O53" s="33">
        <f>PERCENTRANK(N$2:INDEX($N:$N,LOOKUP(2,1/(ISNUMBER($A$2:$A$1048576)),ROW($A$2:$A$1048576))),N53)</f>
        <v/>
      </c>
      <c r="P53" s="10">
        <f>sum(BG53*0.51)+(CD53*0.51)+(DR53*0.11)+(EF53*0.42)+(EK53*0.44)+(W53*0.6)</f>
        <v/>
      </c>
      <c r="Q53" s="33">
        <f>PERCENTRANK(P$2:INDEX($P:$P,LOOKUP(2,1/(ISNUMBER($A$2:$A$1048576)),ROW($A$2:$A$1048576))),P53)</f>
        <v/>
      </c>
      <c r="R53" s="10">
        <f>sum(Y53-FE53)</f>
        <v/>
      </c>
      <c r="S53" s="33">
        <f>PERCENTRANK(R$2:INDEX($R:$R,LOOKUP(2,1/(ISNUMBER($A$2:$A$1048576)),ROW($A$2:$A$1048576))),R53)</f>
        <v/>
      </c>
      <c r="T53" s="34">
        <f>sum(R53-R$106)/R$107</f>
        <v/>
      </c>
      <c r="U53" s="35">
        <f>sum(Y53/AI53)*100</f>
        <v/>
      </c>
      <c r="V53" s="33">
        <f>PERCENTRANK(U$2:INDEX($U:$U,LOOKUP(2,1/(ISNUMBER($A$2:$A$1048576)),ROW($A$2:$A$1048576))),U53)</f>
        <v/>
      </c>
      <c r="W53" s="36">
        <f>sum(U53-U$106)/U$107</f>
        <v/>
      </c>
      <c r="X53" s="9" t="n">
        <v>1.33</v>
      </c>
      <c r="Y53" s="9" t="n">
        <v>1.46</v>
      </c>
      <c r="Z53" s="33">
        <f>PERCENTRANK(Y$2:INDEX($Y:$Y,LOOKUP(2,1/(ISNUMBER($A$2:$A$1048576)),ROW($A$2:$A$1048576))),Y53)</f>
        <v/>
      </c>
      <c r="AA53" s="37">
        <f>sum(Y53-Y$106)/Y$107</f>
        <v/>
      </c>
      <c r="AB53" s="9" t="n">
        <v>11.53</v>
      </c>
      <c r="AC53" s="33">
        <f>PERCENTRANK(AB$2:INDEX($AB:$AB,LOOKUP(2,1/(ISNUMBER($A$2:$A$1048576)),ROW($A$2:$A$1048576))),AB53)</f>
        <v/>
      </c>
      <c r="AD53" s="38">
        <f>sum(AB53-AB$106)/AB$107</f>
        <v/>
      </c>
      <c r="AE53" s="9" t="n">
        <v>4.92</v>
      </c>
      <c r="AF53" s="33">
        <f>PERCENTRANK(AE$2:INDEX($AE:$AE,LOOKUP(2,1/(ISNUMBER($A$2:$A$1048576)),ROW($A$2:$A$1048576))),AE53)</f>
        <v/>
      </c>
      <c r="AG53" s="38">
        <f>sum(AE53-AE$106)/AE$107</f>
        <v/>
      </c>
      <c r="AH53" s="9" t="n">
        <v>42.65</v>
      </c>
      <c r="AI53" s="9" t="n">
        <v>445.17</v>
      </c>
      <c r="AJ53" s="9" t="n">
        <v>374.36</v>
      </c>
      <c r="AK53" s="9" t="n">
        <v>84.09</v>
      </c>
      <c r="AL53" s="9" t="n">
        <v>53.94</v>
      </c>
      <c r="AM53" s="9" t="n">
        <v>99.5</v>
      </c>
      <c r="AN53" s="9" t="n">
        <v>18.42</v>
      </c>
      <c r="AO53" s="9" t="n">
        <v>32.94</v>
      </c>
      <c r="AP53" s="9" t="n">
        <v>48.14</v>
      </c>
      <c r="AQ53" s="9" t="n">
        <v>72.89</v>
      </c>
      <c r="AR53" s="9" t="n">
        <v>34.36</v>
      </c>
      <c r="AS53" s="9" t="n">
        <v>27.44</v>
      </c>
      <c r="AT53" s="33">
        <f>PERCENTRANK(AS$2:INDEX($AS:$AS,LOOKUP(2,1/(ISNUMBER($A$2:$A$1048576)),ROW($A$2:$A$1048576))),AS53)</f>
        <v/>
      </c>
      <c r="AU53" s="39">
        <f>SUM(AS53-AS$106)/AS$107</f>
        <v/>
      </c>
      <c r="AV53" s="9" t="n">
        <v>11.08</v>
      </c>
      <c r="AW53" s="33">
        <f>PERCENTRANK(AV$2:INDEX($AV:$AV,LOOKUP(2,1/(ISNUMBER($A$2:$A$1048576)),ROW($A$2:$A$1048576))),AV53)</f>
        <v/>
      </c>
      <c r="AX53" s="9" t="n">
        <v>182.42</v>
      </c>
      <c r="AY53" s="9" t="n">
        <v>87.06</v>
      </c>
      <c r="AZ53" s="9" t="n">
        <v>47.72</v>
      </c>
      <c r="BA53" s="9" t="n">
        <v>5.11</v>
      </c>
      <c r="BB53" s="9" t="n">
        <v>1.69</v>
      </c>
      <c r="BC53" s="9" t="n">
        <v>33.15</v>
      </c>
      <c r="BD53" s="9" t="n">
        <v>26.72</v>
      </c>
      <c r="BE53" s="9" t="n">
        <v>6.86</v>
      </c>
      <c r="BF53" s="33">
        <f>PERCENTRANK(BE$2:INDEX($BE:$BE,LOOKUP(2,1/(ISNUMBER($A$2:$A$1048576)),ROW($A$2:$A$1048576))),BE53)</f>
        <v/>
      </c>
      <c r="BG53" s="40">
        <f>sum(BE53-BE$106)/BE$107</f>
        <v/>
      </c>
      <c r="BH53" s="9" t="n">
        <v>25.68</v>
      </c>
      <c r="BI53" s="9" t="n">
        <v>0.78</v>
      </c>
      <c r="BJ53" s="9" t="n">
        <v>0.44</v>
      </c>
      <c r="BK53" s="9" t="n">
        <v>57.14</v>
      </c>
      <c r="BL53" s="9" t="n">
        <v>29.19</v>
      </c>
      <c r="BM53" s="9" t="n">
        <v>3.42</v>
      </c>
      <c r="BN53" s="9" t="n">
        <v>11.7</v>
      </c>
      <c r="BO53" s="9" t="n">
        <v>4.47</v>
      </c>
      <c r="BP53" s="9" t="n">
        <v>1.08</v>
      </c>
      <c r="BQ53" s="9" t="n">
        <v>24.22</v>
      </c>
      <c r="BR53" s="9" t="n">
        <v>1.64</v>
      </c>
      <c r="BS53" s="9" t="n">
        <v>0.36</v>
      </c>
      <c r="BT53" s="9" t="n">
        <v>22.03</v>
      </c>
      <c r="BU53" s="9" t="n">
        <v>0.28</v>
      </c>
      <c r="BV53" s="9" t="n">
        <v>0.14</v>
      </c>
      <c r="BW53" s="9" t="n">
        <v>50</v>
      </c>
      <c r="BX53" s="9" t="n">
        <v>11.44</v>
      </c>
      <c r="BY53" s="9" t="n">
        <v>3.64</v>
      </c>
      <c r="BZ53" s="9" t="n">
        <v>31.8</v>
      </c>
      <c r="CA53" s="9" t="n">
        <v>3.61</v>
      </c>
      <c r="CB53" s="9" t="n">
        <v>9.859999999999999</v>
      </c>
      <c r="CC53" s="33">
        <f>PERCENTRANK(CD$2:INDEX($CD:$CD,LOOKUP(2,1/(ISNUMBER($A$2:$A$1048576)),ROW($A$2:$A$1048576))),CD53)</f>
        <v/>
      </c>
      <c r="CD53" s="40">
        <f>sum(CB53-CB$106)/CB$107</f>
        <v/>
      </c>
      <c r="CE53" s="9" t="n">
        <v>26.22</v>
      </c>
      <c r="CF53" s="33">
        <f>PERCENTRANK(CE$2:INDEX($CE:$CE,LOOKUP(2,1/(ISNUMBER($A$2:$A$1048576)),ROW($A$2:$A$1048576))),CE53)</f>
        <v/>
      </c>
      <c r="CG53" s="38">
        <f>sum(CE53-CE$106)/CE$107</f>
        <v/>
      </c>
      <c r="CH53" s="9" t="n">
        <v>4.14</v>
      </c>
      <c r="CI53" s="9" t="n">
        <v>6.22</v>
      </c>
      <c r="CJ53" s="9" t="n">
        <v>18.53</v>
      </c>
      <c r="CK53" s="33">
        <f>PERCENTRANK(CJ$2:INDEX($CJ:$CJ,LOOKUP(2,1/(ISNUMBER($A$2:$A$1048576)),ROW($A$2:$A$1048576))),CJ53)</f>
        <v/>
      </c>
      <c r="CL53" s="38">
        <f>sum(CJ53-CJ$106)/CJ$107</f>
        <v/>
      </c>
      <c r="CM53" s="9" t="n">
        <v>64.75</v>
      </c>
      <c r="CN53" s="9" t="n">
        <v>25.53</v>
      </c>
      <c r="CO53" s="9" t="n">
        <v>39.43</v>
      </c>
      <c r="CP53" s="9" t="n">
        <v>2.08</v>
      </c>
      <c r="CQ53" s="9" t="n">
        <v>1.28</v>
      </c>
      <c r="CR53" s="9" t="n">
        <v>10.97</v>
      </c>
      <c r="CS53" s="33">
        <f>PERCENTRANK(CR$2:INDEX($CR:$CR,LOOKUP(2,1/(ISNUMBER($A$2:$A$1048576)),ROW($A$2:$A$1048576))),CR53)</f>
        <v/>
      </c>
      <c r="CT53" s="39">
        <f>1-(CR53-CR$106)/CR$107</f>
        <v/>
      </c>
      <c r="CU53" s="9" t="n">
        <v>3.97</v>
      </c>
      <c r="CV53" s="33">
        <f>PERCENTRANK(CU$2:INDEX($CU:$CU,LOOKUP(2,1/(ISNUMBER($A$2:$A$1048576)),ROW($A$2:$A$1048576))),CU53)</f>
        <v/>
      </c>
      <c r="CW53" s="39">
        <f>1-(CU53-CU$106)/CU$107</f>
        <v/>
      </c>
      <c r="CX53" s="9" t="n">
        <v>36.2</v>
      </c>
      <c r="CY53" s="9" t="n">
        <v>63.56</v>
      </c>
      <c r="CZ53" s="9" t="n">
        <v>38.75</v>
      </c>
      <c r="DA53" s="9" t="n">
        <v>60.97</v>
      </c>
      <c r="DB53" s="9" t="n">
        <v>29.94</v>
      </c>
      <c r="DC53" s="9" t="n">
        <v>13.28</v>
      </c>
      <c r="DD53" s="9" t="n">
        <v>44.34</v>
      </c>
      <c r="DE53" s="9" t="n">
        <v>4.28</v>
      </c>
      <c r="DF53" s="9" t="n">
        <v>2.08</v>
      </c>
      <c r="DG53" s="9" t="n">
        <v>48.7</v>
      </c>
      <c r="DH53" s="9" t="n">
        <v>36.31</v>
      </c>
      <c r="DI53" s="33">
        <f>PERCENTRANK(DH$2:INDEX($DH:$DH,LOOKUP(2,1/(ISNUMBER($A$2:$A$1048576)),ROW($A$2:$A$1048576))),DH53)</f>
        <v/>
      </c>
      <c r="DJ53" s="39">
        <f>SUM(DH53-DH$106)/DH$107</f>
        <v/>
      </c>
      <c r="DK53" s="9" t="n">
        <v>14.58</v>
      </c>
      <c r="DL53" s="9" t="n">
        <v>12.53</v>
      </c>
      <c r="DM53" s="9" t="n">
        <v>2.47</v>
      </c>
      <c r="DN53" s="9" t="n">
        <v>0.06</v>
      </c>
      <c r="DO53" s="9" t="n">
        <v>147.78</v>
      </c>
      <c r="DP53" s="9" t="n">
        <v>107.81</v>
      </c>
      <c r="DQ53" s="33">
        <f>PERCENTRANK(DP$2:INDEX($DP:$DP,LOOKUP(2,1/(ISNUMBER($A$2:$A$1048576)),ROW($A$2:$A$1048576))),DP53)</f>
        <v/>
      </c>
      <c r="DR53" s="40">
        <f>sum(DP53-DP$106)/DP$107</f>
        <v/>
      </c>
      <c r="DS53" s="9" t="n">
        <v>72.95</v>
      </c>
      <c r="DT53" s="9" t="n">
        <v>66.17</v>
      </c>
      <c r="DU53" s="9" t="n">
        <v>62.61</v>
      </c>
      <c r="DV53" s="9" t="n">
        <v>94.63</v>
      </c>
      <c r="DW53" s="9" t="n">
        <v>173.31</v>
      </c>
      <c r="DX53" s="9" t="n">
        <v>156.36</v>
      </c>
      <c r="DY53" s="9" t="n">
        <v>90.22</v>
      </c>
      <c r="DZ53" s="9" t="n">
        <v>46.36</v>
      </c>
      <c r="EA53" s="9" t="n">
        <v>24.44</v>
      </c>
      <c r="EB53" s="9" t="n">
        <v>52.73</v>
      </c>
      <c r="EC53" s="9" t="n">
        <v>54.86</v>
      </c>
      <c r="ED53" s="9" t="n">
        <v>36.47</v>
      </c>
      <c r="EE53" s="33">
        <f>PERCENTRANK(ED$2:INDEX($ED:$ED,LOOKUP(2,1/(ISNUMBER($A$2:$A$1048576)),ROW($A$2:$A$1048576))),ED53)</f>
        <v/>
      </c>
      <c r="EF53" s="40">
        <f>sum(ED53-ED$106)/ED$107</f>
        <v/>
      </c>
      <c r="EG53" s="9" t="n">
        <v>66.48</v>
      </c>
      <c r="EH53" s="9" t="n">
        <v>72.44</v>
      </c>
      <c r="EI53" s="9" t="n">
        <v>53.89</v>
      </c>
      <c r="EJ53" s="33">
        <f>PERCENTRANK(EI$2:INDEX($EI:$EI,LOOKUP(2,1/(ISNUMBER($A$2:$A$1048576)),ROW($A$2:$A$1048576))),EI53)</f>
        <v/>
      </c>
      <c r="EK53" s="40">
        <f>sum(EI53-EI$106)/EI$107</f>
        <v/>
      </c>
      <c r="EL53" s="9" t="n">
        <v>74.39</v>
      </c>
      <c r="EM53" s="9" t="n">
        <v>2.42</v>
      </c>
      <c r="EN53" s="9" t="n">
        <v>1</v>
      </c>
      <c r="EO53" s="9" t="n">
        <v>41.38</v>
      </c>
      <c r="EP53" s="9" t="n">
        <v>20.92</v>
      </c>
      <c r="EQ53" s="9" t="n">
        <v>18.61</v>
      </c>
      <c r="ER53" s="9" t="n">
        <v>88.98</v>
      </c>
      <c r="ES53" s="9" t="n">
        <v>9.890000000000001</v>
      </c>
      <c r="ET53" s="9" t="n">
        <v>16.26</v>
      </c>
      <c r="EU53" s="9" t="n">
        <v>4.33</v>
      </c>
      <c r="EV53" s="9" t="n">
        <v>10.67</v>
      </c>
      <c r="EW53" s="9" t="n">
        <v>18.72</v>
      </c>
      <c r="EX53" s="33">
        <f>PERCENTRANK(EW$2:INDEX($EW:$EW,LOOKUP(2,1/(ISNUMBER($A$2:$A$1048576)),ROW($A$2:$A$1048576))),EW53)</f>
        <v/>
      </c>
      <c r="EY53" s="38">
        <f>1-(EW53-EW$106)/EW$107</f>
        <v/>
      </c>
      <c r="EZ53" s="9" t="n">
        <v>20.08</v>
      </c>
      <c r="FA53" s="9" t="n">
        <v>10.37</v>
      </c>
      <c r="FB53" s="33">
        <f>PERCENTRANK(FA$2:INDEX($FA:$FA,LOOKUP(2,1/(ISNUMBER($A$2:$A$1048576)),ROW($A$2:$A$1048576))),FA53)</f>
        <v/>
      </c>
      <c r="FC53" s="39">
        <f>1-(FA53-FA$106)/FA$107</f>
        <v/>
      </c>
      <c r="FD53" s="9" t="n">
        <v>1.28</v>
      </c>
      <c r="FE53" s="9" t="n">
        <v>1.42</v>
      </c>
      <c r="FF53" s="33">
        <f>PERCENTRANK(FE$2:INDEX($FE:$FE,LOOKUP(2,1/(ISNUMBER($A$2:$A$1048576)),ROW($A$2:$A$1048576))),FE53)</f>
        <v/>
      </c>
      <c r="FG53" s="39">
        <f>1-(FE53-FE$106)/FE$107</f>
        <v/>
      </c>
      <c r="FH53" s="9" t="n">
        <v>10.97</v>
      </c>
      <c r="FI53" s="9" t="n">
        <v>3.75</v>
      </c>
      <c r="FJ53" s="9" t="n">
        <v>34.18</v>
      </c>
      <c r="FK53" s="9" t="n">
        <v>362.72</v>
      </c>
      <c r="FL53" s="33">
        <f>PERCENTRANK(FK$2:INDEX($FK:$FK,LOOKUP(2,1/(ISNUMBER($A$2:$A$1048576)),ROW($A$2:$A$1048576))),FK53)</f>
        <v/>
      </c>
      <c r="FM53" s="39">
        <f>SWA52-(FK53-FK$106)/FK$107</f>
        <v/>
      </c>
      <c r="FN53" s="9" t="n">
        <v>295.56</v>
      </c>
      <c r="FO53" s="9" t="n">
        <v>81.48</v>
      </c>
      <c r="FP53" s="9" t="n">
        <v>46.06</v>
      </c>
      <c r="FQ53" s="9" t="n">
        <v>95.86</v>
      </c>
      <c r="FR53" s="9" t="n">
        <v>19.03</v>
      </c>
      <c r="FS53" s="9" t="n">
        <v>33.36</v>
      </c>
      <c r="FT53" s="9" t="n">
        <v>43.47</v>
      </c>
      <c r="FU53" s="9" t="n">
        <v>74.25</v>
      </c>
      <c r="FV53" s="9" t="n">
        <v>35.97</v>
      </c>
      <c r="FW53" s="9" t="n">
        <v>28.44</v>
      </c>
      <c r="FX53" s="9" t="n">
        <v>9.83</v>
      </c>
      <c r="FY53" s="9" t="n">
        <v>182.42</v>
      </c>
      <c r="FZ53" s="9" t="n">
        <v>89.14</v>
      </c>
      <c r="GA53" s="9" t="n">
        <v>48.87</v>
      </c>
      <c r="GB53" s="9" t="n">
        <v>4.61</v>
      </c>
      <c r="GC53" s="9" t="n">
        <v>1.25</v>
      </c>
      <c r="GD53" s="9" t="n">
        <v>27.11</v>
      </c>
      <c r="GE53" s="9" t="n">
        <v>25.36</v>
      </c>
      <c r="GF53" s="9" t="n">
        <v>6.39</v>
      </c>
      <c r="GG53" s="9" t="n">
        <v>25.19</v>
      </c>
      <c r="GH53" s="9" t="n">
        <v>0.83</v>
      </c>
      <c r="GI53" s="9" t="n">
        <v>0.44</v>
      </c>
      <c r="GJ53" s="9" t="n">
        <v>53.33</v>
      </c>
      <c r="GK53" s="9" t="n">
        <v>25.86</v>
      </c>
      <c r="GL53" s="9" t="n">
        <v>3.61</v>
      </c>
      <c r="GM53" s="9" t="n">
        <v>13.96</v>
      </c>
      <c r="GN53" s="9" t="n">
        <v>4.67</v>
      </c>
      <c r="GO53" s="9" t="n">
        <v>1.67</v>
      </c>
      <c r="GP53" s="9" t="n">
        <v>35.71</v>
      </c>
      <c r="GQ53" s="9" t="n">
        <v>2.28</v>
      </c>
      <c r="GR53" s="9" t="n">
        <v>0.6899999999999999</v>
      </c>
      <c r="GS53" s="9" t="n">
        <v>30.49</v>
      </c>
      <c r="GT53" s="9" t="n">
        <v>0.14</v>
      </c>
      <c r="GU53" s="9" t="n">
        <v>0.14</v>
      </c>
      <c r="GV53" s="9" t="n">
        <v>100</v>
      </c>
      <c r="GW53" s="9" t="n">
        <v>15.22</v>
      </c>
      <c r="GX53" s="9" t="n">
        <v>4.75</v>
      </c>
      <c r="GY53" s="9" t="n">
        <v>31.2</v>
      </c>
      <c r="GZ53" s="9" t="n">
        <v>5.06</v>
      </c>
      <c r="HA53" s="9" t="n">
        <v>5.67</v>
      </c>
      <c r="HB53" s="9" t="n">
        <v>23.33</v>
      </c>
      <c r="HC53" s="9" t="n">
        <v>3.97</v>
      </c>
      <c r="HD53" s="9" t="n">
        <v>9.279999999999999</v>
      </c>
      <c r="HE53" s="9" t="n">
        <v>15.72</v>
      </c>
      <c r="HF53" s="9" t="n">
        <v>63.56</v>
      </c>
      <c r="HG53" s="9" t="n">
        <v>24.81</v>
      </c>
      <c r="HH53" s="9" t="n">
        <v>39.03</v>
      </c>
      <c r="HI53" s="9" t="n">
        <v>2</v>
      </c>
      <c r="HJ53" s="9" t="n">
        <v>1.33</v>
      </c>
      <c r="HK53" s="9" t="n">
        <v>11.53</v>
      </c>
      <c r="HL53" s="9" t="n">
        <v>5.11</v>
      </c>
      <c r="HM53" s="9" t="n">
        <v>44.34</v>
      </c>
      <c r="HN53" s="9" t="n">
        <v>64.75</v>
      </c>
      <c r="HO53" s="9" t="n">
        <v>39.22</v>
      </c>
      <c r="HP53" s="9" t="n">
        <v>60.57</v>
      </c>
      <c r="HQ53" s="9" t="n">
        <v>29.94</v>
      </c>
      <c r="HR53" s="9" t="n">
        <v>14.36</v>
      </c>
      <c r="HS53" s="9" t="n">
        <v>47.96</v>
      </c>
      <c r="HT53" s="9" t="n">
        <v>3.67</v>
      </c>
      <c r="HU53" s="9" t="n">
        <v>1.86</v>
      </c>
      <c r="HV53" s="9" t="n">
        <v>50.76</v>
      </c>
      <c r="HW53" s="9" t="n">
        <v>38.03</v>
      </c>
      <c r="HX53" s="9" t="n">
        <v>14.14</v>
      </c>
      <c r="HY53" s="9" t="n">
        <v>14</v>
      </c>
      <c r="HZ53" s="9" t="n">
        <v>2.56</v>
      </c>
      <c r="IA53" s="9" t="n">
        <v>0.08</v>
      </c>
      <c r="IB53" s="9" t="n">
        <v>130.33</v>
      </c>
      <c r="IC53" s="9" t="n">
        <v>93.78</v>
      </c>
      <c r="ID53" s="9" t="n">
        <v>71.95</v>
      </c>
      <c r="IE53" s="9" t="n">
        <v>58.14</v>
      </c>
      <c r="IF53" s="9" t="n">
        <v>54.08</v>
      </c>
      <c r="IG53" s="9" t="n">
        <v>93.02</v>
      </c>
      <c r="IH53" s="9" t="n">
        <v>125.78</v>
      </c>
      <c r="II53" s="9" t="n">
        <v>109.36</v>
      </c>
      <c r="IJ53" s="9" t="n">
        <v>86.95</v>
      </c>
      <c r="IK53" s="9" t="n">
        <v>42.86</v>
      </c>
      <c r="IL53" s="9" t="n">
        <v>21.78</v>
      </c>
      <c r="IM53" s="9" t="n">
        <v>50.81</v>
      </c>
      <c r="IN53" s="9" t="n">
        <v>50.36</v>
      </c>
      <c r="IO53" s="9" t="n">
        <v>32.03</v>
      </c>
      <c r="IP53" s="9" t="n">
        <v>63.6</v>
      </c>
      <c r="IQ53" s="9" t="n">
        <v>66.94</v>
      </c>
      <c r="IR53" s="9" t="n">
        <v>47.92</v>
      </c>
      <c r="IS53" s="9" t="n">
        <v>71.58</v>
      </c>
      <c r="IT53" s="33">
        <f>PERCENTRANK(IS$2:INDEX($IS:$IS,LOOKUP(2,1/(ISNUMBER($A$2:$A$1048576)),ROW($A$2:$A$1048576))),IS53)</f>
        <v/>
      </c>
      <c r="IU53" s="39">
        <f>1-(IS53-IS$106)/IS$107</f>
        <v/>
      </c>
      <c r="IV53" s="9" t="n">
        <v>1.56</v>
      </c>
      <c r="IW53" s="9" t="n">
        <v>0.64</v>
      </c>
      <c r="IX53" s="9" t="n">
        <v>41.07</v>
      </c>
      <c r="IY53" s="9" t="n">
        <v>19.69</v>
      </c>
      <c r="IZ53" s="9" t="n">
        <v>17.19</v>
      </c>
      <c r="JA53" s="9" t="n">
        <v>87.31</v>
      </c>
      <c r="JB53" s="9" t="n">
        <v>8.25</v>
      </c>
      <c r="JC53" s="9" t="n">
        <v>15.66</v>
      </c>
      <c r="JD53" s="9" t="n">
        <v>3.57</v>
      </c>
      <c r="JE53" s="9" t="n">
        <v>12.34</v>
      </c>
      <c r="JF53" s="9" t="n">
        <v>18.38</v>
      </c>
      <c r="JG53" s="9" t="n">
        <v>20.84</v>
      </c>
      <c r="JH53" s="9" t="n">
        <v>13</v>
      </c>
    </row>
    <row r="54">
      <c r="A54" s="10" t="n">
        <v>2024</v>
      </c>
      <c r="B54" s="31" t="inlineStr">
        <is>
          <t>Birmingham Legion</t>
        </is>
      </c>
      <c r="C54" s="10" t="n">
        <v>45</v>
      </c>
      <c r="D54" s="5">
        <f>(C54-AVERAGE($C$2:INDEX($C:$C,LOOKUP(2,1/(ISNUMBER($A$2:$A$1048576)),ROW($A$2:$A$1048576)))))/_xlfn.STDEV.P($C$2:INDEX($C:$C,LOOKUP(2,1/(ISNUMBER($A$2:$A$1048576)),ROW($A$2:$A$1048576))))</f>
        <v/>
      </c>
      <c r="E54" s="10" t="n">
        <v>9</v>
      </c>
      <c r="F54" s="6">
        <f>-E54</f>
        <v/>
      </c>
      <c r="G54" s="7">
        <f>(F54-AVERAGE($F$2:INDEX($F:$F,LOOKUP(2,1/(ISNUMBER($A$2:$A$1048576)),ROW($A$2:$A$1048576)))))/_xlfn.STDEV.P($F$2:INDEX($F:$F,LOOKUP(2,1/(ISNUMBER($A$2:$A$1048576)),ROW($A$2:$A$1048576))))</f>
        <v/>
      </c>
      <c r="H54" s="32">
        <f>sum(0.5*D54)+(0.5*G54)</f>
        <v/>
      </c>
      <c r="I54" s="12" t="inlineStr">
        <is>
          <t>East</t>
        </is>
      </c>
      <c r="J54" s="10">
        <f>sum(L54*L$105)+(N54*N$105)+(P54*P$105)+(T54*R$105)</f>
        <v/>
      </c>
      <c r="K54" s="33">
        <f>PERCENTRANK(J$2:INDEX($J:$J,LOOKUP(2,1/(ISNUMBER($A$2:$A$1048576)),ROW($A$2:$A$1048576))),J54)</f>
        <v/>
      </c>
      <c r="L54" s="10">
        <f>sum(AA54*0.66)+(AD54*0.55)+(AG54*0.59)+(CG54*0.51)+(CL54*0.6)+(EY54*0.31)</f>
        <v/>
      </c>
      <c r="M54" s="33">
        <f>PERCENTRANK(L$2:INDEX($L:$L,LOOKUP(2,1/(ISNUMBER($A$2:$A$1048576)),ROW($A$2:$A$1048576))),L54)</f>
        <v/>
      </c>
      <c r="N54" s="10">
        <f>sum(CT54*0.57)+(CW54*0.71)+(DJ54*0.08)+(FC54*0.33)+(FG54*0.69)+(FM54*0.26)+(IU54*0.54)+(AU54*0.4)</f>
        <v/>
      </c>
      <c r="O54" s="33">
        <f>PERCENTRANK(N$2:INDEX($N:$N,LOOKUP(2,1/(ISNUMBER($A$2:$A$1048576)),ROW($A$2:$A$1048576))),N54)</f>
        <v/>
      </c>
      <c r="P54" s="10">
        <f>sum(BG54*0.51)+(CD54*0.51)+(DR54*0.11)+(EF54*0.42)+(EK54*0.44)+(W54*0.6)</f>
        <v/>
      </c>
      <c r="Q54" s="33">
        <f>PERCENTRANK(P$2:INDEX($P:$P,LOOKUP(2,1/(ISNUMBER($A$2:$A$1048576)),ROW($A$2:$A$1048576))),P54)</f>
        <v/>
      </c>
      <c r="R54" s="10">
        <f>sum(Y54-FE54)</f>
        <v/>
      </c>
      <c r="S54" s="33">
        <f>PERCENTRANK(R$2:INDEX($R:$R,LOOKUP(2,1/(ISNUMBER($A$2:$A$1048576)),ROW($A$2:$A$1048576))),R54)</f>
        <v/>
      </c>
      <c r="T54" s="34">
        <f>sum(R54-R$106)/R$107</f>
        <v/>
      </c>
      <c r="U54" s="35">
        <f>sum(Y54/AI54)*100</f>
        <v/>
      </c>
      <c r="V54" s="33">
        <f>PERCENTRANK(U$2:INDEX($U:$U,LOOKUP(2,1/(ISNUMBER($A$2:$A$1048576)),ROW($A$2:$A$1048576))),U54)</f>
        <v/>
      </c>
      <c r="W54" s="36">
        <f>sum(U54-U$106)/U$107</f>
        <v/>
      </c>
      <c r="X54" s="9" t="n">
        <v>1.3</v>
      </c>
      <c r="Y54" s="9" t="n">
        <v>1.29</v>
      </c>
      <c r="Z54" s="33">
        <f>PERCENTRANK(Y$2:INDEX($Y:$Y,LOOKUP(2,1/(ISNUMBER($A$2:$A$1048576)),ROW($A$2:$A$1048576))),Y54)</f>
        <v/>
      </c>
      <c r="AA54" s="37">
        <f>sum(Y54-Y$106)/Y$107</f>
        <v/>
      </c>
      <c r="AB54" s="9" t="n">
        <v>12.64</v>
      </c>
      <c r="AC54" s="33">
        <f>PERCENTRANK(AB$2:INDEX($AB:$AB,LOOKUP(2,1/(ISNUMBER($A$2:$A$1048576)),ROW($A$2:$A$1048576))),AB54)</f>
        <v/>
      </c>
      <c r="AD54" s="38">
        <f>sum(AB54-AB$106)/AB$107</f>
        <v/>
      </c>
      <c r="AE54" s="9" t="n">
        <v>4.21</v>
      </c>
      <c r="AF54" s="33">
        <f>PERCENTRANK(AE$2:INDEX($AE:$AE,LOOKUP(2,1/(ISNUMBER($A$2:$A$1048576)),ROW($A$2:$A$1048576))),AE54)</f>
        <v/>
      </c>
      <c r="AG54" s="38">
        <f>sum(AE54-AE$106)/AE$107</f>
        <v/>
      </c>
      <c r="AH54" s="9" t="n">
        <v>33.33</v>
      </c>
      <c r="AI54" s="9" t="n">
        <v>430.39</v>
      </c>
      <c r="AJ54" s="9" t="n">
        <v>358.61</v>
      </c>
      <c r="AK54" s="9" t="n">
        <v>83.31999999999999</v>
      </c>
      <c r="AL54" s="9" t="n">
        <v>49.34</v>
      </c>
      <c r="AM54" s="9" t="n">
        <v>98.06</v>
      </c>
      <c r="AN54" s="9" t="n">
        <v>18.12</v>
      </c>
      <c r="AO54" s="9" t="n">
        <v>31.76</v>
      </c>
      <c r="AP54" s="9" t="n">
        <v>48.18</v>
      </c>
      <c r="AQ54" s="9" t="n">
        <v>72.48</v>
      </c>
      <c r="AR54" s="9" t="n">
        <v>35</v>
      </c>
      <c r="AS54" s="9" t="n">
        <v>26.52</v>
      </c>
      <c r="AT54" s="33">
        <f>PERCENTRANK(AS$2:INDEX($AS:$AS,LOOKUP(2,1/(ISNUMBER($A$2:$A$1048576)),ROW($A$2:$A$1048576))),AS54)</f>
        <v/>
      </c>
      <c r="AU54" s="39">
        <f>SUM(AS54-AS$106)/AS$107</f>
        <v/>
      </c>
      <c r="AV54" s="9" t="n">
        <v>10.97</v>
      </c>
      <c r="AW54" s="33">
        <f>PERCENTRANK(AV$2:INDEX($AV:$AV,LOOKUP(2,1/(ISNUMBER($A$2:$A$1048576)),ROW($A$2:$A$1048576))),AV54)</f>
        <v/>
      </c>
      <c r="AX54" s="9" t="n">
        <v>174.18</v>
      </c>
      <c r="AY54" s="9" t="n">
        <v>82.27</v>
      </c>
      <c r="AZ54" s="9" t="n">
        <v>47.23</v>
      </c>
      <c r="BA54" s="9" t="n">
        <v>6.12</v>
      </c>
      <c r="BB54" s="9" t="n">
        <v>1.88</v>
      </c>
      <c r="BC54" s="9" t="n">
        <v>30.69</v>
      </c>
      <c r="BD54" s="9" t="n">
        <v>29.21</v>
      </c>
      <c r="BE54" s="9" t="n">
        <v>8.27</v>
      </c>
      <c r="BF54" s="33">
        <f>PERCENTRANK(BE$2:INDEX($BE:$BE,LOOKUP(2,1/(ISNUMBER($A$2:$A$1048576)),ROW($A$2:$A$1048576))),BE54)</f>
        <v/>
      </c>
      <c r="BG54" s="40">
        <f>sum(BE54-BE$106)/BE$107</f>
        <v/>
      </c>
      <c r="BH54" s="9" t="n">
        <v>28.32</v>
      </c>
      <c r="BI54" s="9" t="n">
        <v>0.91</v>
      </c>
      <c r="BJ54" s="9" t="n">
        <v>0.61</v>
      </c>
      <c r="BK54" s="9" t="n">
        <v>66.67</v>
      </c>
      <c r="BL54" s="9" t="n">
        <v>25.45</v>
      </c>
      <c r="BM54" s="9" t="n">
        <v>3.45</v>
      </c>
      <c r="BN54" s="9" t="n">
        <v>13.57</v>
      </c>
      <c r="BO54" s="9" t="n">
        <v>4.94</v>
      </c>
      <c r="BP54" s="9" t="n">
        <v>1.52</v>
      </c>
      <c r="BQ54" s="9" t="n">
        <v>30.67</v>
      </c>
      <c r="BR54" s="9" t="n">
        <v>1.73</v>
      </c>
      <c r="BS54" s="9" t="n">
        <v>0.58</v>
      </c>
      <c r="BT54" s="9" t="n">
        <v>33.33</v>
      </c>
      <c r="BU54" s="9" t="n">
        <v>0</v>
      </c>
      <c r="BV54" s="9" t="n">
        <v>0</v>
      </c>
      <c r="BW54" s="9" t="n">
        <v>0</v>
      </c>
      <c r="BX54" s="9" t="n">
        <v>12.85</v>
      </c>
      <c r="BY54" s="9" t="n">
        <v>3.58</v>
      </c>
      <c r="BZ54" s="9" t="n">
        <v>27.83</v>
      </c>
      <c r="CA54" s="9" t="n">
        <v>3.61</v>
      </c>
      <c r="CB54" s="9" t="n">
        <v>6.82</v>
      </c>
      <c r="CC54" s="33">
        <f>PERCENTRANK(CD$2:INDEX($CD:$CD,LOOKUP(2,1/(ISNUMBER($A$2:$A$1048576)),ROW($A$2:$A$1048576))),CD54)</f>
        <v/>
      </c>
      <c r="CD54" s="40">
        <f>sum(CB54-CB$106)/CB$107</f>
        <v/>
      </c>
      <c r="CE54" s="9" t="n">
        <v>22.94</v>
      </c>
      <c r="CF54" s="33">
        <f>PERCENTRANK(CE$2:INDEX($CE:$CE,LOOKUP(2,1/(ISNUMBER($A$2:$A$1048576)),ROW($A$2:$A$1048576))),CE54)</f>
        <v/>
      </c>
      <c r="CG54" s="38">
        <f>sum(CE54-CE$106)/CE$107</f>
        <v/>
      </c>
      <c r="CH54" s="9" t="n">
        <v>4.18</v>
      </c>
      <c r="CI54" s="9" t="n">
        <v>7.58</v>
      </c>
      <c r="CJ54" s="9" t="n">
        <v>15.52</v>
      </c>
      <c r="CK54" s="33">
        <f>PERCENTRANK(CJ$2:INDEX($CJ:$CJ,LOOKUP(2,1/(ISNUMBER($A$2:$A$1048576)),ROW($A$2:$A$1048576))),CJ54)</f>
        <v/>
      </c>
      <c r="CL54" s="38">
        <f>sum(CJ54-CJ$106)/CJ$107</f>
        <v/>
      </c>
      <c r="CM54" s="9" t="n">
        <v>60.73</v>
      </c>
      <c r="CN54" s="9" t="n">
        <v>23.03</v>
      </c>
      <c r="CO54" s="9" t="n">
        <v>37.92</v>
      </c>
      <c r="CP54" s="9" t="n">
        <v>2.15</v>
      </c>
      <c r="CQ54" s="9" t="n">
        <v>1.55</v>
      </c>
      <c r="CR54" s="9" t="n">
        <v>13.03</v>
      </c>
      <c r="CS54" s="33">
        <f>PERCENTRANK(CR$2:INDEX($CR:$CR,LOOKUP(2,1/(ISNUMBER($A$2:$A$1048576)),ROW($A$2:$A$1048576))),CR54)</f>
        <v/>
      </c>
      <c r="CT54" s="39">
        <f>1-(CR54-CR$106)/CR$107</f>
        <v/>
      </c>
      <c r="CU54" s="9" t="n">
        <v>4.79</v>
      </c>
      <c r="CV54" s="33">
        <f>PERCENTRANK(CU$2:INDEX($CU:$CU,LOOKUP(2,1/(ISNUMBER($A$2:$A$1048576)),ROW($A$2:$A$1048576))),CU54)</f>
        <v/>
      </c>
      <c r="CW54" s="39">
        <f>1-(CU54-CU$106)/CU$107</f>
        <v/>
      </c>
      <c r="CX54" s="9" t="n">
        <v>36.74</v>
      </c>
      <c r="CY54" s="9" t="n">
        <v>62.79</v>
      </c>
      <c r="CZ54" s="9" t="n">
        <v>36.55</v>
      </c>
      <c r="DA54" s="9" t="n">
        <v>58.2</v>
      </c>
      <c r="DB54" s="9" t="n">
        <v>29.03</v>
      </c>
      <c r="DC54" s="9" t="n">
        <v>13.52</v>
      </c>
      <c r="DD54" s="9" t="n">
        <v>46.56</v>
      </c>
      <c r="DE54" s="9" t="n">
        <v>1.97</v>
      </c>
      <c r="DF54" s="9" t="n">
        <v>1.18</v>
      </c>
      <c r="DG54" s="9" t="n">
        <v>60</v>
      </c>
      <c r="DH54" s="9" t="n">
        <v>36.06</v>
      </c>
      <c r="DI54" s="33">
        <f>PERCENTRANK(DH$2:INDEX($DH:$DH,LOOKUP(2,1/(ISNUMBER($A$2:$A$1048576)),ROW($A$2:$A$1048576))),DH54)</f>
        <v/>
      </c>
      <c r="DJ54" s="39">
        <f>SUM(DH54-DH$106)/DH$107</f>
        <v/>
      </c>
      <c r="DK54" s="9" t="n">
        <v>12.58</v>
      </c>
      <c r="DL54" s="9" t="n">
        <v>11.24</v>
      </c>
      <c r="DM54" s="9" t="n">
        <v>2</v>
      </c>
      <c r="DN54" s="9" t="n">
        <v>0.06</v>
      </c>
      <c r="DO54" s="9" t="n">
        <v>141.48</v>
      </c>
      <c r="DP54" s="9" t="n">
        <v>102.58</v>
      </c>
      <c r="DQ54" s="33">
        <f>PERCENTRANK(DP$2:INDEX($DP:$DP,LOOKUP(2,1/(ISNUMBER($A$2:$A$1048576)),ROW($A$2:$A$1048576))),DP54)</f>
        <v/>
      </c>
      <c r="DR54" s="40">
        <f>sum(DP54-DP$106)/DP$107</f>
        <v/>
      </c>
      <c r="DS54" s="9" t="n">
        <v>72.5</v>
      </c>
      <c r="DT54" s="9" t="n">
        <v>63.52</v>
      </c>
      <c r="DU54" s="9" t="n">
        <v>60.3</v>
      </c>
      <c r="DV54" s="9" t="n">
        <v>94.94</v>
      </c>
      <c r="DW54" s="9" t="n">
        <v>170</v>
      </c>
      <c r="DX54" s="9" t="n">
        <v>151.76</v>
      </c>
      <c r="DY54" s="9" t="n">
        <v>89.27</v>
      </c>
      <c r="DZ54" s="9" t="n">
        <v>49.12</v>
      </c>
      <c r="EA54" s="9" t="n">
        <v>24.52</v>
      </c>
      <c r="EB54" s="9" t="n">
        <v>49.91</v>
      </c>
      <c r="EC54" s="9" t="n">
        <v>59.67</v>
      </c>
      <c r="ED54" s="9" t="n">
        <v>40.15</v>
      </c>
      <c r="EE54" s="33">
        <f>PERCENTRANK(ED$2:INDEX($ED:$ED,LOOKUP(2,1/(ISNUMBER($A$2:$A$1048576)),ROW($A$2:$A$1048576))),ED54)</f>
        <v/>
      </c>
      <c r="EF54" s="40">
        <f>sum(ED54-ED$106)/ED$107</f>
        <v/>
      </c>
      <c r="EG54" s="9" t="n">
        <v>67.29000000000001</v>
      </c>
      <c r="EH54" s="9" t="n">
        <v>71.7</v>
      </c>
      <c r="EI54" s="9" t="n">
        <v>51.79</v>
      </c>
      <c r="EJ54" s="33">
        <f>PERCENTRANK(EI$2:INDEX($EI:$EI,LOOKUP(2,1/(ISNUMBER($A$2:$A$1048576)),ROW($A$2:$A$1048576))),EI54)</f>
        <v/>
      </c>
      <c r="EK54" s="40">
        <f>sum(EI54-EI$106)/EI$107</f>
        <v/>
      </c>
      <c r="EL54" s="9" t="n">
        <v>72.23</v>
      </c>
      <c r="EM54" s="9" t="n">
        <v>1.64</v>
      </c>
      <c r="EN54" s="9" t="n">
        <v>0.7</v>
      </c>
      <c r="EO54" s="9" t="n">
        <v>42.59</v>
      </c>
      <c r="EP54" s="9" t="n">
        <v>19.82</v>
      </c>
      <c r="EQ54" s="9" t="n">
        <v>17.67</v>
      </c>
      <c r="ER54" s="9" t="n">
        <v>89.14</v>
      </c>
      <c r="ES54" s="9" t="n">
        <v>9.15</v>
      </c>
      <c r="ET54" s="9" t="n">
        <v>16.15</v>
      </c>
      <c r="EU54" s="9" t="n">
        <v>4.23</v>
      </c>
      <c r="EV54" s="9" t="n">
        <v>11.75</v>
      </c>
      <c r="EW54" s="9" t="n">
        <v>20.05</v>
      </c>
      <c r="EX54" s="33">
        <f>PERCENTRANK(EW$2:INDEX($EW:$EW,LOOKUP(2,1/(ISNUMBER($A$2:$A$1048576)),ROW($A$2:$A$1048576))),EW54)</f>
        <v/>
      </c>
      <c r="EY54" s="38">
        <f>1-(EW54-EW$106)/EW$107</f>
        <v/>
      </c>
      <c r="EZ54" s="9" t="n">
        <v>20.93</v>
      </c>
      <c r="FA54" s="9" t="n">
        <v>14.23</v>
      </c>
      <c r="FB54" s="33">
        <f>PERCENTRANK(FA$2:INDEX($FA:$FA,LOOKUP(2,1/(ISNUMBER($A$2:$A$1048576)),ROW($A$2:$A$1048576))),FA54)</f>
        <v/>
      </c>
      <c r="FC54" s="39">
        <f>1-(FA54-FA$106)/FA$107</f>
        <v/>
      </c>
      <c r="FD54" s="9" t="n">
        <v>1.55</v>
      </c>
      <c r="FE54" s="9" t="n">
        <v>1.52</v>
      </c>
      <c r="FF54" s="33">
        <f>PERCENTRANK(FE$2:INDEX($FE:$FE,LOOKUP(2,1/(ISNUMBER($A$2:$A$1048576)),ROW($A$2:$A$1048576))),FE54)</f>
        <v/>
      </c>
      <c r="FG54" s="39">
        <f>1-(FE54-FE$106)/FE$107</f>
        <v/>
      </c>
      <c r="FH54" s="9" t="n">
        <v>13.03</v>
      </c>
      <c r="FI54" s="9" t="n">
        <v>4.61</v>
      </c>
      <c r="FJ54" s="9" t="n">
        <v>35.35</v>
      </c>
      <c r="FK54" s="9" t="n">
        <v>444.39</v>
      </c>
      <c r="FL54" s="33">
        <f>PERCENTRANK(FK$2:INDEX($FK:$FK,LOOKUP(2,1/(ISNUMBER($A$2:$A$1048576)),ROW($A$2:$A$1048576))),FK54)</f>
        <v/>
      </c>
      <c r="FM54" s="39">
        <f>SWA53-(FK54-FK$106)/FK$107</f>
        <v/>
      </c>
      <c r="FN54" s="9" t="n">
        <v>377.85</v>
      </c>
      <c r="FO54" s="9" t="n">
        <v>85.03</v>
      </c>
      <c r="FP54" s="9" t="n">
        <v>50.66</v>
      </c>
      <c r="FQ54" s="9" t="n">
        <v>98.33</v>
      </c>
      <c r="FR54" s="9" t="n">
        <v>18.94</v>
      </c>
      <c r="FS54" s="9" t="n">
        <v>32.18</v>
      </c>
      <c r="FT54" s="9" t="n">
        <v>47.21</v>
      </c>
      <c r="FU54" s="9" t="n">
        <v>73.7</v>
      </c>
      <c r="FV54" s="9" t="n">
        <v>35.55</v>
      </c>
      <c r="FW54" s="9" t="n">
        <v>27.24</v>
      </c>
      <c r="FX54" s="9" t="n">
        <v>10.91</v>
      </c>
      <c r="FY54" s="9" t="n">
        <v>174.18</v>
      </c>
      <c r="FZ54" s="9" t="n">
        <v>85.94</v>
      </c>
      <c r="GA54" s="9" t="n">
        <v>49.34</v>
      </c>
      <c r="GB54" s="9" t="n">
        <v>5.09</v>
      </c>
      <c r="GC54" s="9" t="n">
        <v>1.67</v>
      </c>
      <c r="GD54" s="9" t="n">
        <v>32.74</v>
      </c>
      <c r="GE54" s="9" t="n">
        <v>29.73</v>
      </c>
      <c r="GF54" s="9" t="n">
        <v>8.390000000000001</v>
      </c>
      <c r="GG54" s="9" t="n">
        <v>28.24</v>
      </c>
      <c r="GH54" s="9" t="n">
        <v>0.85</v>
      </c>
      <c r="GI54" s="9" t="n">
        <v>0.39</v>
      </c>
      <c r="GJ54" s="9" t="n">
        <v>46.43</v>
      </c>
      <c r="GK54" s="9" t="n">
        <v>26.03</v>
      </c>
      <c r="GL54" s="9" t="n">
        <v>3.52</v>
      </c>
      <c r="GM54" s="9" t="n">
        <v>13.5</v>
      </c>
      <c r="GN54" s="9" t="n">
        <v>5.39</v>
      </c>
      <c r="GO54" s="9" t="n">
        <v>1.58</v>
      </c>
      <c r="GP54" s="9" t="n">
        <v>29.21</v>
      </c>
      <c r="GQ54" s="9" t="n">
        <v>2.12</v>
      </c>
      <c r="GR54" s="9" t="n">
        <v>0.39</v>
      </c>
      <c r="GS54" s="9" t="n">
        <v>18.57</v>
      </c>
      <c r="GT54" s="9" t="n">
        <v>0.12</v>
      </c>
      <c r="GU54" s="9" t="n">
        <v>0.12</v>
      </c>
      <c r="GV54" s="9" t="n">
        <v>100</v>
      </c>
      <c r="GW54" s="9" t="n">
        <v>14.24</v>
      </c>
      <c r="GX54" s="9" t="n">
        <v>5.12</v>
      </c>
      <c r="GY54" s="9" t="n">
        <v>35.96</v>
      </c>
      <c r="GZ54" s="9" t="n">
        <v>4.97</v>
      </c>
      <c r="HA54" s="9" t="n">
        <v>7.64</v>
      </c>
      <c r="HB54" s="9" t="n">
        <v>24.79</v>
      </c>
      <c r="HC54" s="9" t="n">
        <v>4.27</v>
      </c>
      <c r="HD54" s="9" t="n">
        <v>8.58</v>
      </c>
      <c r="HE54" s="9" t="n">
        <v>18.94</v>
      </c>
      <c r="HF54" s="9" t="n">
        <v>62.76</v>
      </c>
      <c r="HG54" s="9" t="n">
        <v>26.21</v>
      </c>
      <c r="HH54" s="9" t="n">
        <v>41.77</v>
      </c>
      <c r="HI54" s="9" t="n">
        <v>1.67</v>
      </c>
      <c r="HJ54" s="9" t="n">
        <v>1.3</v>
      </c>
      <c r="HK54" s="9" t="n">
        <v>12.64</v>
      </c>
      <c r="HL54" s="9" t="n">
        <v>4.39</v>
      </c>
      <c r="HM54" s="9" t="n">
        <v>34.77</v>
      </c>
      <c r="HN54" s="9" t="n">
        <v>60.73</v>
      </c>
      <c r="HO54" s="9" t="n">
        <v>37.7</v>
      </c>
      <c r="HP54" s="9" t="n">
        <v>62.08</v>
      </c>
      <c r="HQ54" s="9" t="n">
        <v>29.06</v>
      </c>
      <c r="HR54" s="9" t="n">
        <v>13.45</v>
      </c>
      <c r="HS54" s="9" t="n">
        <v>46.3</v>
      </c>
      <c r="HT54" s="9" t="n">
        <v>2.58</v>
      </c>
      <c r="HU54" s="9" t="n">
        <v>1.64</v>
      </c>
      <c r="HV54" s="9" t="n">
        <v>63.53</v>
      </c>
      <c r="HW54" s="9" t="n">
        <v>38.18</v>
      </c>
      <c r="HX54" s="9" t="n">
        <v>15.24</v>
      </c>
      <c r="HY54" s="9" t="n">
        <v>11.06</v>
      </c>
      <c r="HZ54" s="9" t="n">
        <v>1.55</v>
      </c>
      <c r="IA54" s="9" t="n">
        <v>0.03</v>
      </c>
      <c r="IB54" s="9" t="n">
        <v>146.67</v>
      </c>
      <c r="IC54" s="9" t="n">
        <v>111.12</v>
      </c>
      <c r="ID54" s="9" t="n">
        <v>75.76000000000001</v>
      </c>
      <c r="IE54" s="9" t="n">
        <v>67</v>
      </c>
      <c r="IF54" s="9" t="n">
        <v>63.03</v>
      </c>
      <c r="IG54" s="9" t="n">
        <v>94.08</v>
      </c>
      <c r="IH54" s="9" t="n">
        <v>174.12</v>
      </c>
      <c r="II54" s="9" t="n">
        <v>156.97</v>
      </c>
      <c r="IJ54" s="9" t="n">
        <v>90.15000000000001</v>
      </c>
      <c r="IK54" s="9" t="n">
        <v>40.91</v>
      </c>
      <c r="IL54" s="9" t="n">
        <v>23</v>
      </c>
      <c r="IM54" s="9" t="n">
        <v>56.22</v>
      </c>
      <c r="IN54" s="9" t="n">
        <v>56.76</v>
      </c>
      <c r="IO54" s="9" t="n">
        <v>39.45</v>
      </c>
      <c r="IP54" s="9" t="n">
        <v>69.51000000000001</v>
      </c>
      <c r="IQ54" s="9" t="n">
        <v>72.94</v>
      </c>
      <c r="IR54" s="9" t="n">
        <v>55.18</v>
      </c>
      <c r="IS54" s="9" t="n">
        <v>75.65000000000001</v>
      </c>
      <c r="IT54" s="33">
        <f>PERCENTRANK(IS$2:INDEX($IS:$IS,LOOKUP(2,1/(ISNUMBER($A$2:$A$1048576)),ROW($A$2:$A$1048576))),IS54)</f>
        <v/>
      </c>
      <c r="IU54" s="39">
        <f>1-(IS54-IS$106)/IS$107</f>
        <v/>
      </c>
      <c r="IV54" s="9" t="n">
        <v>1.94</v>
      </c>
      <c r="IW54" s="9" t="n">
        <v>0.7</v>
      </c>
      <c r="IX54" s="9" t="n">
        <v>35.94</v>
      </c>
      <c r="IY54" s="9" t="n">
        <v>17.82</v>
      </c>
      <c r="IZ54" s="9" t="n">
        <v>16.03</v>
      </c>
      <c r="JA54" s="9" t="n">
        <v>89.97</v>
      </c>
      <c r="JB54" s="9" t="n">
        <v>8.82</v>
      </c>
      <c r="JC54" s="9" t="n">
        <v>16.22</v>
      </c>
      <c r="JD54" s="9" t="n">
        <v>4.4</v>
      </c>
      <c r="JE54" s="9" t="n">
        <v>9.449999999999999</v>
      </c>
      <c r="JF54" s="9" t="n">
        <v>18.72</v>
      </c>
      <c r="JG54" s="9" t="n">
        <v>19.97</v>
      </c>
      <c r="JH54" s="9" t="n">
        <v>13.13</v>
      </c>
    </row>
    <row r="55">
      <c r="A55" s="12" t="n">
        <v>2022</v>
      </c>
      <c r="B55" s="31" t="inlineStr">
        <is>
          <t>San Diego Loyal</t>
        </is>
      </c>
      <c r="C55" s="12" t="n">
        <v>60</v>
      </c>
      <c r="D55" s="5">
        <f>(C55-AVERAGE($C$2:INDEX($C:$C,LOOKUP(2,1/(ISNUMBER($A$2:$A$1048576)),ROW($A$2:$A$1048576)))))/_xlfn.STDEV.P($C$2:INDEX($C:$C,LOOKUP(2,1/(ISNUMBER($A$2:$A$1048576)),ROW($A$2:$A$1048576))))</f>
        <v/>
      </c>
      <c r="E55" s="12" t="n">
        <v>2</v>
      </c>
      <c r="F55" s="6">
        <f>-E55</f>
        <v/>
      </c>
      <c r="G55" s="7">
        <f>(F55-AVERAGE($F$2:INDEX($F:$F,LOOKUP(2,1/(ISNUMBER($A$2:$A$1048576)),ROW($A$2:$A$1048576)))))/_xlfn.STDEV.P($F$2:INDEX($F:$F,LOOKUP(2,1/(ISNUMBER($A$2:$A$1048576)),ROW($A$2:$A$1048576))))</f>
        <v/>
      </c>
      <c r="H55" s="32">
        <f>sum(0.5*D55)+(0.5*G55)</f>
        <v/>
      </c>
      <c r="I55" s="12" t="inlineStr">
        <is>
          <t>West</t>
        </is>
      </c>
      <c r="J55" s="10">
        <f>sum(L55*L$105)+(N55*N$105)+(P55*P$105)+(T55*R$105)</f>
        <v/>
      </c>
      <c r="K55" s="33">
        <f>PERCENTRANK(J$2:INDEX($J:$J,LOOKUP(2,1/(ISNUMBER($A$2:$A$1048576)),ROW($A$2:$A$1048576))),J55)</f>
        <v/>
      </c>
      <c r="L55" s="10">
        <f>sum(AA55*0.66)+(AD55*0.55)+(AG55*0.59)+(CG55*0.51)+(CL55*0.6)+(EY55*0.31)</f>
        <v/>
      </c>
      <c r="M55" s="33">
        <f>PERCENTRANK(L$2:INDEX($L:$L,LOOKUP(2,1/(ISNUMBER($A$2:$A$1048576)),ROW($A$2:$A$1048576))),L55)</f>
        <v/>
      </c>
      <c r="N55" s="10">
        <f>sum(CT55*0.57)+(CW55*0.71)+(DJ55*0.08)+(FC55*0.33)+(FG55*0.69)+(FM55*0.26)+(IU55*0.54)+(AU55*0.4)</f>
        <v/>
      </c>
      <c r="O55" s="33">
        <f>PERCENTRANK(N$2:INDEX($N:$N,LOOKUP(2,1/(ISNUMBER($A$2:$A$1048576)),ROW($A$2:$A$1048576))),N55)</f>
        <v/>
      </c>
      <c r="P55" s="10">
        <f>sum(BG55*0.51)+(CD55*0.51)+(DR55*0.11)+(EF55*0.42)+(EK55*0.44)+(W55*0.6)</f>
        <v/>
      </c>
      <c r="Q55" s="33">
        <f>PERCENTRANK(P$2:INDEX($P:$P,LOOKUP(2,1/(ISNUMBER($A$2:$A$1048576)),ROW($A$2:$A$1048576))),P55)</f>
        <v/>
      </c>
      <c r="R55" s="10">
        <f>sum(Y55-FE55)</f>
        <v/>
      </c>
      <c r="S55" s="33">
        <f>PERCENTRANK(R$2:INDEX($R:$R,LOOKUP(2,1/(ISNUMBER($A$2:$A$1048576)),ROW($A$2:$A$1048576))),R55)</f>
        <v/>
      </c>
      <c r="T55" s="34">
        <f>sum(R55-R$106)/R$107</f>
        <v/>
      </c>
      <c r="U55" s="35">
        <f>sum(Y55/AI55)*100</f>
        <v/>
      </c>
      <c r="V55" s="33">
        <f>PERCENTRANK(U$2:INDEX($U:$U,LOOKUP(2,1/(ISNUMBER($A$2:$A$1048576)),ROW($A$2:$A$1048576))),U55)</f>
        <v/>
      </c>
      <c r="W55" s="36">
        <f>sum(U55-U$106)/U$107</f>
        <v/>
      </c>
      <c r="X55" s="9" t="n">
        <v>1.94</v>
      </c>
      <c r="Y55" s="9" t="n">
        <v>1.82</v>
      </c>
      <c r="Z55" s="33">
        <f>PERCENTRANK(Y$2:INDEX($Y:$Y,LOOKUP(2,1/(ISNUMBER($A$2:$A$1048576)),ROW($A$2:$A$1048576))),Y55)</f>
        <v/>
      </c>
      <c r="AA55" s="37">
        <f>sum(Y55-Y$106)/Y$107</f>
        <v/>
      </c>
      <c r="AB55" s="9" t="n">
        <v>12.69</v>
      </c>
      <c r="AC55" s="33">
        <f>PERCENTRANK(AB$2:INDEX($AB:$AB,LOOKUP(2,1/(ISNUMBER($A$2:$A$1048576)),ROW($A$2:$A$1048576))),AB55)</f>
        <v/>
      </c>
      <c r="AD55" s="38">
        <f>sum(AB55-AB$106)/AB$107</f>
        <v/>
      </c>
      <c r="AE55" s="9" t="n">
        <v>5.17</v>
      </c>
      <c r="AF55" s="33">
        <f>PERCENTRANK(AE$2:INDEX($AE:$AE,LOOKUP(2,1/(ISNUMBER($A$2:$A$1048576)),ROW($A$2:$A$1048576))),AE55)</f>
        <v/>
      </c>
      <c r="AG55" s="38">
        <f>sum(AE55-AE$106)/AE$107</f>
        <v/>
      </c>
      <c r="AH55" s="9" t="n">
        <v>40.77</v>
      </c>
      <c r="AI55" s="9" t="n">
        <v>436.14</v>
      </c>
      <c r="AJ55" s="9" t="n">
        <v>367.83</v>
      </c>
      <c r="AK55" s="9" t="n">
        <v>84.34</v>
      </c>
      <c r="AL55" s="9" t="n">
        <v>55.63</v>
      </c>
      <c r="AM55" s="9" t="n">
        <v>99.17</v>
      </c>
      <c r="AN55" s="9" t="n">
        <v>17.71</v>
      </c>
      <c r="AO55" s="9" t="n">
        <v>37.57</v>
      </c>
      <c r="AP55" s="9" t="n">
        <v>43.89</v>
      </c>
      <c r="AQ55" s="9" t="n">
        <v>77.91</v>
      </c>
      <c r="AR55" s="9" t="n">
        <v>36.91</v>
      </c>
      <c r="AS55" s="9" t="n">
        <v>30.03</v>
      </c>
      <c r="AT55" s="33">
        <f>PERCENTRANK(AS$2:INDEX($AS:$AS,LOOKUP(2,1/(ISNUMBER($A$2:$A$1048576)),ROW($A$2:$A$1048576))),AS55)</f>
        <v/>
      </c>
      <c r="AU55" s="39">
        <f>SUM(AS55-AS$106)/AS$107</f>
        <v/>
      </c>
      <c r="AV55" s="9" t="n">
        <v>10.97</v>
      </c>
      <c r="AW55" s="33">
        <f>PERCENTRANK(AV$2:INDEX($AV:$AV,LOOKUP(2,1/(ISNUMBER($A$2:$A$1048576)),ROW($A$2:$A$1048576))),AV55)</f>
        <v/>
      </c>
      <c r="AX55" s="9" t="n">
        <v>196.8</v>
      </c>
      <c r="AY55" s="9" t="n">
        <v>95.63</v>
      </c>
      <c r="AZ55" s="9" t="n">
        <v>48.59</v>
      </c>
      <c r="BA55" s="9" t="n">
        <v>4.31</v>
      </c>
      <c r="BB55" s="9" t="n">
        <v>1.49</v>
      </c>
      <c r="BC55" s="9" t="n">
        <v>34.44</v>
      </c>
      <c r="BD55" s="9" t="n">
        <v>27.69</v>
      </c>
      <c r="BE55" s="9" t="n">
        <v>6.91</v>
      </c>
      <c r="BF55" s="33">
        <f>PERCENTRANK(BE$2:INDEX($BE:$BE,LOOKUP(2,1/(ISNUMBER($A$2:$A$1048576)),ROW($A$2:$A$1048576))),BE55)</f>
        <v/>
      </c>
      <c r="BG55" s="40">
        <f>sum(BE55-BE$106)/BE$107</f>
        <v/>
      </c>
      <c r="BH55" s="9" t="n">
        <v>24.97</v>
      </c>
      <c r="BI55" s="9" t="n">
        <v>1.49</v>
      </c>
      <c r="BJ55" s="9" t="n">
        <v>0.71</v>
      </c>
      <c r="BK55" s="9" t="n">
        <v>48.08</v>
      </c>
      <c r="BL55" s="9" t="n">
        <v>29.8</v>
      </c>
      <c r="BM55" s="9" t="n">
        <v>4.23</v>
      </c>
      <c r="BN55" s="9" t="n">
        <v>14.19</v>
      </c>
      <c r="BO55" s="9" t="n">
        <v>5</v>
      </c>
      <c r="BP55" s="9" t="n">
        <v>1.37</v>
      </c>
      <c r="BQ55" s="9" t="n">
        <v>27.43</v>
      </c>
      <c r="BR55" s="9" t="n">
        <v>2.69</v>
      </c>
      <c r="BS55" s="9" t="n">
        <v>0.8</v>
      </c>
      <c r="BT55" s="9" t="n">
        <v>29.79</v>
      </c>
      <c r="BU55" s="9" t="n">
        <v>0.29</v>
      </c>
      <c r="BV55" s="9" t="n">
        <v>0.14</v>
      </c>
      <c r="BW55" s="9" t="n">
        <v>50</v>
      </c>
      <c r="BX55" s="9" t="n">
        <v>14.77</v>
      </c>
      <c r="BY55" s="9" t="n">
        <v>5.54</v>
      </c>
      <c r="BZ55" s="9" t="n">
        <v>37.52</v>
      </c>
      <c r="CA55" s="9" t="n">
        <v>5.4</v>
      </c>
      <c r="CB55" s="9" t="n">
        <v>6.14</v>
      </c>
      <c r="CC55" s="33">
        <f>PERCENTRANK(CD$2:INDEX($CD:$CD,LOOKUP(2,1/(ISNUMBER($A$2:$A$1048576)),ROW($A$2:$A$1048576))),CD55)</f>
        <v/>
      </c>
      <c r="CD55" s="40">
        <f>sum(CB55-CB$106)/CB$107</f>
        <v/>
      </c>
      <c r="CE55" s="9" t="n">
        <v>24.2</v>
      </c>
      <c r="CF55" s="33">
        <f>PERCENTRANK(CE$2:INDEX($CE:$CE,LOOKUP(2,1/(ISNUMBER($A$2:$A$1048576)),ROW($A$2:$A$1048576))),CE55)</f>
        <v/>
      </c>
      <c r="CG55" s="38">
        <f>sum(CE55-CE$106)/CE$107</f>
        <v/>
      </c>
      <c r="CH55" s="9" t="n">
        <v>4.91</v>
      </c>
      <c r="CI55" s="9" t="n">
        <v>8.890000000000001</v>
      </c>
      <c r="CJ55" s="9" t="n">
        <v>18.6</v>
      </c>
      <c r="CK55" s="33">
        <f>PERCENTRANK(CJ$2:INDEX($CJ:$CJ,LOOKUP(2,1/(ISNUMBER($A$2:$A$1048576)),ROW($A$2:$A$1048576))),CJ55)</f>
        <v/>
      </c>
      <c r="CL55" s="38">
        <f>sum(CJ55-CJ$106)/CJ$107</f>
        <v/>
      </c>
      <c r="CM55" s="9" t="n">
        <v>76.83</v>
      </c>
      <c r="CN55" s="9" t="n">
        <v>33.37</v>
      </c>
      <c r="CO55" s="9" t="n">
        <v>43.44</v>
      </c>
      <c r="CP55" s="9" t="n">
        <v>1.74</v>
      </c>
      <c r="CQ55" s="9" t="n">
        <v>1.66</v>
      </c>
      <c r="CR55" s="9" t="n">
        <v>11.17</v>
      </c>
      <c r="CS55" s="33">
        <f>PERCENTRANK(CR$2:INDEX($CR:$CR,LOOKUP(2,1/(ISNUMBER($A$2:$A$1048576)),ROW($A$2:$A$1048576))),CR55)</f>
        <v/>
      </c>
      <c r="CT55" s="39">
        <f>1-(CR55-CR$106)/CR$107</f>
        <v/>
      </c>
      <c r="CU55" s="9" t="n">
        <v>4.14</v>
      </c>
      <c r="CV55" s="33">
        <f>PERCENTRANK(CU$2:INDEX($CU:$CU,LOOKUP(2,1/(ISNUMBER($A$2:$A$1048576)),ROW($A$2:$A$1048576))),CU55)</f>
        <v/>
      </c>
      <c r="CW55" s="39">
        <f>1-(CU55-CU$106)/CU$107</f>
        <v/>
      </c>
      <c r="CX55" s="9" t="n">
        <v>37.08</v>
      </c>
      <c r="CY55" s="9" t="n">
        <v>59.37</v>
      </c>
      <c r="CZ55" s="9" t="n">
        <v>34.03</v>
      </c>
      <c r="DA55" s="9" t="n">
        <v>57.31</v>
      </c>
      <c r="DB55" s="9" t="n">
        <v>29.8</v>
      </c>
      <c r="DC55" s="9" t="n">
        <v>15.14</v>
      </c>
      <c r="DD55" s="9" t="n">
        <v>50.81</v>
      </c>
      <c r="DE55" s="9" t="n">
        <v>4.86</v>
      </c>
      <c r="DF55" s="9" t="n">
        <v>1.8</v>
      </c>
      <c r="DG55" s="9" t="n">
        <v>37.06</v>
      </c>
      <c r="DH55" s="9" t="n">
        <v>39.2</v>
      </c>
      <c r="DI55" s="33">
        <f>PERCENTRANK(DH$2:INDEX($DH:$DH,LOOKUP(2,1/(ISNUMBER($A$2:$A$1048576)),ROW($A$2:$A$1048576))),DH55)</f>
        <v/>
      </c>
      <c r="DJ55" s="39">
        <f>SUM(DH55-DH$106)/DH$107</f>
        <v/>
      </c>
      <c r="DK55" s="9" t="n">
        <v>14.83</v>
      </c>
      <c r="DL55" s="9" t="n">
        <v>13.69</v>
      </c>
      <c r="DM55" s="9" t="n">
        <v>2.8</v>
      </c>
      <c r="DN55" s="9" t="n">
        <v>0.26</v>
      </c>
      <c r="DO55" s="9" t="n">
        <v>143.66</v>
      </c>
      <c r="DP55" s="9" t="n">
        <v>107</v>
      </c>
      <c r="DQ55" s="33">
        <f>PERCENTRANK(DP$2:INDEX($DP:$DP,LOOKUP(2,1/(ISNUMBER($A$2:$A$1048576)),ROW($A$2:$A$1048576))),DP55)</f>
        <v/>
      </c>
      <c r="DR55" s="40">
        <f>sum(DP55-DP$106)/DP$107</f>
        <v/>
      </c>
      <c r="DS55" s="9" t="n">
        <v>74.48</v>
      </c>
      <c r="DT55" s="9" t="n">
        <v>65.23</v>
      </c>
      <c r="DU55" s="9" t="n">
        <v>61.11</v>
      </c>
      <c r="DV55" s="9" t="n">
        <v>93.69</v>
      </c>
      <c r="DW55" s="9" t="n">
        <v>163.77</v>
      </c>
      <c r="DX55" s="9" t="n">
        <v>147.37</v>
      </c>
      <c r="DY55" s="9" t="n">
        <v>89.98999999999999</v>
      </c>
      <c r="DZ55" s="9" t="n">
        <v>47.77</v>
      </c>
      <c r="EA55" s="9" t="n">
        <v>27.94</v>
      </c>
      <c r="EB55" s="9" t="n">
        <v>58.49</v>
      </c>
      <c r="EC55" s="9" t="n">
        <v>47.94</v>
      </c>
      <c r="ED55" s="9" t="n">
        <v>32.77</v>
      </c>
      <c r="EE55" s="33">
        <f>PERCENTRANK(ED$2:INDEX($ED:$ED,LOOKUP(2,1/(ISNUMBER($A$2:$A$1048576)),ROW($A$2:$A$1048576))),ED55)</f>
        <v/>
      </c>
      <c r="EF55" s="40">
        <f>sum(ED55-ED$106)/ED$107</f>
        <v/>
      </c>
      <c r="EG55" s="9" t="n">
        <v>68.36</v>
      </c>
      <c r="EH55" s="9" t="n">
        <v>73.43000000000001</v>
      </c>
      <c r="EI55" s="9" t="n">
        <v>53.03</v>
      </c>
      <c r="EJ55" s="33">
        <f>PERCENTRANK(EI$2:INDEX($EI:$EI,LOOKUP(2,1/(ISNUMBER($A$2:$A$1048576)),ROW($A$2:$A$1048576))),EI55)</f>
        <v/>
      </c>
      <c r="EK55" s="40">
        <f>sum(EI55-EI$106)/EI$107</f>
        <v/>
      </c>
      <c r="EL55" s="9" t="n">
        <v>72.22</v>
      </c>
      <c r="EM55" s="9" t="n">
        <v>4</v>
      </c>
      <c r="EN55" s="9" t="n">
        <v>1.63</v>
      </c>
      <c r="EO55" s="9" t="n">
        <v>40.71</v>
      </c>
      <c r="EP55" s="9" t="n">
        <v>19.77</v>
      </c>
      <c r="EQ55" s="9" t="n">
        <v>18.71</v>
      </c>
      <c r="ER55" s="9" t="n">
        <v>94.65000000000001</v>
      </c>
      <c r="ES55" s="9" t="n">
        <v>6.74</v>
      </c>
      <c r="ET55" s="9" t="n">
        <v>16.03</v>
      </c>
      <c r="EU55" s="9" t="n">
        <v>4.06</v>
      </c>
      <c r="EV55" s="9" t="n">
        <v>11.28</v>
      </c>
      <c r="EW55" s="9" t="n">
        <v>16.93</v>
      </c>
      <c r="EX55" s="33">
        <f>PERCENTRANK(EW$2:INDEX($EW:$EW,LOOKUP(2,1/(ISNUMBER($A$2:$A$1048576)),ROW($A$2:$A$1048576))),EW55)</f>
        <v/>
      </c>
      <c r="EY55" s="38">
        <f>1-(EW55-EW$106)/EW$107</f>
        <v/>
      </c>
      <c r="EZ55" s="9" t="n">
        <v>20.08</v>
      </c>
      <c r="FA55" s="9" t="n">
        <v>8.960000000000001</v>
      </c>
      <c r="FB55" s="33">
        <f>PERCENTRANK(FA$2:INDEX($FA:$FA,LOOKUP(2,1/(ISNUMBER($A$2:$A$1048576)),ROW($A$2:$A$1048576))),FA55)</f>
        <v/>
      </c>
      <c r="FC55" s="39">
        <f>1-(FA55-FA$106)/FA$107</f>
        <v/>
      </c>
      <c r="FD55" s="9" t="n">
        <v>1.66</v>
      </c>
      <c r="FE55" s="9" t="n">
        <v>1.26</v>
      </c>
      <c r="FF55" s="33">
        <f>PERCENTRANK(FE$2:INDEX($FE:$FE,LOOKUP(2,1/(ISNUMBER($A$2:$A$1048576)),ROW($A$2:$A$1048576))),FE55)</f>
        <v/>
      </c>
      <c r="FG55" s="39">
        <f>1-(FE55-FE$106)/FE$107</f>
        <v/>
      </c>
      <c r="FH55" s="9" t="n">
        <v>11.17</v>
      </c>
      <c r="FI55" s="9" t="n">
        <v>4</v>
      </c>
      <c r="FJ55" s="9" t="n">
        <v>35.81</v>
      </c>
      <c r="FK55" s="9" t="n">
        <v>358.71</v>
      </c>
      <c r="FL55" s="33">
        <f>PERCENTRANK(FK$2:INDEX($FK:$FK,LOOKUP(2,1/(ISNUMBER($A$2:$A$1048576)),ROW($A$2:$A$1048576))),FK55)</f>
        <v/>
      </c>
      <c r="FM55" s="39">
        <f>SWA54-(FK55-FK$106)/FK$107</f>
        <v/>
      </c>
      <c r="FN55" s="9" t="n">
        <v>291.86</v>
      </c>
      <c r="FO55" s="9" t="n">
        <v>81.36</v>
      </c>
      <c r="FP55" s="9" t="n">
        <v>44.37</v>
      </c>
      <c r="FQ55" s="9" t="n">
        <v>96.77</v>
      </c>
      <c r="FR55" s="9" t="n">
        <v>17.69</v>
      </c>
      <c r="FS55" s="9" t="n">
        <v>33.03</v>
      </c>
      <c r="FT55" s="9" t="n">
        <v>46.06</v>
      </c>
      <c r="FU55" s="9" t="n">
        <v>77.54000000000001</v>
      </c>
      <c r="FV55" s="9" t="n">
        <v>34.09</v>
      </c>
      <c r="FW55" s="9" t="n">
        <v>31.6</v>
      </c>
      <c r="FX55" s="9" t="n">
        <v>11.86</v>
      </c>
      <c r="FY55" s="9" t="n">
        <v>196.8</v>
      </c>
      <c r="FZ55" s="9" t="n">
        <v>94.63</v>
      </c>
      <c r="GA55" s="9" t="n">
        <v>48.08</v>
      </c>
      <c r="GB55" s="9" t="n">
        <v>5.03</v>
      </c>
      <c r="GC55" s="9" t="n">
        <v>1.31</v>
      </c>
      <c r="GD55" s="9" t="n">
        <v>26.14</v>
      </c>
      <c r="GE55" s="9" t="n">
        <v>25.83</v>
      </c>
      <c r="GF55" s="9" t="n">
        <v>6.74</v>
      </c>
      <c r="GG55" s="9" t="n">
        <v>26.11</v>
      </c>
      <c r="GH55" s="9" t="n">
        <v>1.43</v>
      </c>
      <c r="GI55" s="9" t="n">
        <v>0.57</v>
      </c>
      <c r="GJ55" s="9" t="n">
        <v>40</v>
      </c>
      <c r="GK55" s="9" t="n">
        <v>25.86</v>
      </c>
      <c r="GL55" s="9" t="n">
        <v>3.26</v>
      </c>
      <c r="GM55" s="9" t="n">
        <v>12.6</v>
      </c>
      <c r="GN55" s="9" t="n">
        <v>4.4</v>
      </c>
      <c r="GO55" s="9" t="n">
        <v>1.51</v>
      </c>
      <c r="GP55" s="9" t="n">
        <v>34.42</v>
      </c>
      <c r="GQ55" s="9" t="n">
        <v>2.46</v>
      </c>
      <c r="GR55" s="9" t="n">
        <v>0.49</v>
      </c>
      <c r="GS55" s="9" t="n">
        <v>19.77</v>
      </c>
      <c r="GT55" s="9" t="n">
        <v>0.2</v>
      </c>
      <c r="GU55" s="9" t="n">
        <v>0.17</v>
      </c>
      <c r="GV55" s="9" t="n">
        <v>85.70999999999999</v>
      </c>
      <c r="GW55" s="9" t="n">
        <v>12.57</v>
      </c>
      <c r="GX55" s="9" t="n">
        <v>3.69</v>
      </c>
      <c r="GY55" s="9" t="n">
        <v>29.32</v>
      </c>
      <c r="GZ55" s="9" t="n">
        <v>4.03</v>
      </c>
      <c r="HA55" s="9" t="n">
        <v>5.89</v>
      </c>
      <c r="HB55" s="9" t="n">
        <v>21.83</v>
      </c>
      <c r="HC55" s="9" t="n">
        <v>3.23</v>
      </c>
      <c r="HD55" s="9" t="n">
        <v>7.97</v>
      </c>
      <c r="HE55" s="9" t="n">
        <v>14.74</v>
      </c>
      <c r="HF55" s="9" t="n">
        <v>59.37</v>
      </c>
      <c r="HG55" s="9" t="n">
        <v>25.34</v>
      </c>
      <c r="HH55" s="9" t="n">
        <v>42.69</v>
      </c>
      <c r="HI55" s="9" t="n">
        <v>2.14</v>
      </c>
      <c r="HJ55" s="9" t="n">
        <v>1.94</v>
      </c>
      <c r="HK55" s="9" t="n">
        <v>12.69</v>
      </c>
      <c r="HL55" s="9" t="n">
        <v>5.37</v>
      </c>
      <c r="HM55" s="9" t="n">
        <v>42.34</v>
      </c>
      <c r="HN55" s="9" t="n">
        <v>76.83</v>
      </c>
      <c r="HO55" s="9" t="n">
        <v>43.46</v>
      </c>
      <c r="HP55" s="9" t="n">
        <v>56.56</v>
      </c>
      <c r="HQ55" s="9" t="n">
        <v>29.8</v>
      </c>
      <c r="HR55" s="9" t="n">
        <v>12.89</v>
      </c>
      <c r="HS55" s="9" t="n">
        <v>43.24</v>
      </c>
      <c r="HT55" s="9" t="n">
        <v>4.69</v>
      </c>
      <c r="HU55" s="9" t="n">
        <v>2.34</v>
      </c>
      <c r="HV55" s="9" t="n">
        <v>50</v>
      </c>
      <c r="HW55" s="9" t="n">
        <v>38.49</v>
      </c>
      <c r="HX55" s="9" t="n">
        <v>14.17</v>
      </c>
      <c r="HY55" s="9" t="n">
        <v>16.37</v>
      </c>
      <c r="HZ55" s="9" t="n">
        <v>3.29</v>
      </c>
      <c r="IA55" s="9" t="n">
        <v>0.23</v>
      </c>
      <c r="IB55" s="9" t="n">
        <v>120.86</v>
      </c>
      <c r="IC55" s="9" t="n">
        <v>82.73999999999999</v>
      </c>
      <c r="ID55" s="9" t="n">
        <v>68.45999999999999</v>
      </c>
      <c r="IE55" s="9" t="n">
        <v>51.83</v>
      </c>
      <c r="IF55" s="9" t="n">
        <v>48.34</v>
      </c>
      <c r="IG55" s="9" t="n">
        <v>93.27</v>
      </c>
      <c r="IH55" s="9" t="n">
        <v>137.89</v>
      </c>
      <c r="II55" s="9" t="n">
        <v>122</v>
      </c>
      <c r="IJ55" s="9" t="n">
        <v>88.48</v>
      </c>
      <c r="IK55" s="9" t="n">
        <v>43.97</v>
      </c>
      <c r="IL55" s="9" t="n">
        <v>21.2</v>
      </c>
      <c r="IM55" s="9" t="n">
        <v>48.21</v>
      </c>
      <c r="IN55" s="9" t="n">
        <v>48.63</v>
      </c>
      <c r="IO55" s="9" t="n">
        <v>30.34</v>
      </c>
      <c r="IP55" s="9" t="n">
        <v>62.4</v>
      </c>
      <c r="IQ55" s="9" t="n">
        <v>63.46</v>
      </c>
      <c r="IR55" s="9" t="n">
        <v>44.4</v>
      </c>
      <c r="IS55" s="9" t="n">
        <v>69.97</v>
      </c>
      <c r="IT55" s="33">
        <f>PERCENTRANK(IS$2:INDEX($IS:$IS,LOOKUP(2,1/(ISNUMBER($A$2:$A$1048576)),ROW($A$2:$A$1048576))),IS55)</f>
        <v/>
      </c>
      <c r="IU55" s="39">
        <f>1-(IS55-IS$106)/IS$107</f>
        <v/>
      </c>
      <c r="IV55" s="9" t="n">
        <v>3.54</v>
      </c>
      <c r="IW55" s="9" t="n">
        <v>1.37</v>
      </c>
      <c r="IX55" s="9" t="n">
        <v>38.71</v>
      </c>
      <c r="IY55" s="9" t="n">
        <v>19.51</v>
      </c>
      <c r="IZ55" s="9" t="n">
        <v>17.11</v>
      </c>
      <c r="JA55" s="9" t="n">
        <v>87.7</v>
      </c>
      <c r="JB55" s="9" t="n">
        <v>7.89</v>
      </c>
      <c r="JC55" s="9" t="n">
        <v>16.38</v>
      </c>
      <c r="JD55" s="9" t="n">
        <v>3.55</v>
      </c>
      <c r="JE55" s="9" t="n">
        <v>12.93</v>
      </c>
      <c r="JF55" s="9" t="n">
        <v>19.09</v>
      </c>
      <c r="JG55" s="9" t="n">
        <v>20.74</v>
      </c>
      <c r="JH55" s="9" t="n">
        <v>11.26</v>
      </c>
    </row>
    <row r="56">
      <c r="A56" s="12" t="n">
        <v>2022</v>
      </c>
      <c r="B56" s="31" t="inlineStr">
        <is>
          <t>Monterey Bay FC</t>
        </is>
      </c>
      <c r="C56" s="12" t="n">
        <v>40</v>
      </c>
      <c r="D56" s="5">
        <f>(C56-AVERAGE($C$2:INDEX($C:$C,LOOKUP(2,1/(ISNUMBER($A$2:$A$1048576)),ROW($A$2:$A$1048576)))))/_xlfn.STDEV.P($C$2:INDEX($C:$C,LOOKUP(2,1/(ISNUMBER($A$2:$A$1048576)),ROW($A$2:$A$1048576))))</f>
        <v/>
      </c>
      <c r="E56" s="12" t="n">
        <v>12</v>
      </c>
      <c r="F56" s="6">
        <f>-E56</f>
        <v/>
      </c>
      <c r="G56" s="7">
        <f>(F56-AVERAGE($F$2:INDEX($F:$F,LOOKUP(2,1/(ISNUMBER($A$2:$A$1048576)),ROW($A$2:$A$1048576)))))/_xlfn.STDEV.P($F$2:INDEX($F:$F,LOOKUP(2,1/(ISNUMBER($A$2:$A$1048576)),ROW($A$2:$A$1048576))))</f>
        <v/>
      </c>
      <c r="H56" s="32">
        <f>sum(0.5*D56)+(0.5*G56)</f>
        <v/>
      </c>
      <c r="I56" s="12" t="inlineStr">
        <is>
          <t>West</t>
        </is>
      </c>
      <c r="J56" s="10">
        <f>sum(L56*L$105)+(N56*N$105)+(P56*P$105)+(T56*R$105)</f>
        <v/>
      </c>
      <c r="K56" s="33">
        <f>PERCENTRANK(J$2:INDEX($J:$J,LOOKUP(2,1/(ISNUMBER($A$2:$A$1048576)),ROW($A$2:$A$1048576))),J56)</f>
        <v/>
      </c>
      <c r="L56" s="10">
        <f>sum(AA56*0.66)+(AD56*0.55)+(AG56*0.59)+(CG56*0.51)+(CL56*0.6)+(EY56*0.31)</f>
        <v/>
      </c>
      <c r="M56" s="33">
        <f>PERCENTRANK(L$2:INDEX($L:$L,LOOKUP(2,1/(ISNUMBER($A$2:$A$1048576)),ROW($A$2:$A$1048576))),L56)</f>
        <v/>
      </c>
      <c r="N56" s="10">
        <f>sum(CT56*0.57)+(CW56*0.71)+(DJ56*0.08)+(FC56*0.33)+(FG56*0.69)+(FM56*0.26)+(IU56*0.54)+(AU56*0.4)</f>
        <v/>
      </c>
      <c r="O56" s="33">
        <f>PERCENTRANK(N$2:INDEX($N:$N,LOOKUP(2,1/(ISNUMBER($A$2:$A$1048576)),ROW($A$2:$A$1048576))),N56)</f>
        <v/>
      </c>
      <c r="P56" s="10">
        <f>sum(BG56*0.51)+(CD56*0.51)+(DR56*0.11)+(EF56*0.42)+(EK56*0.44)+(W56*0.6)</f>
        <v/>
      </c>
      <c r="Q56" s="33">
        <f>PERCENTRANK(P$2:INDEX($P:$P,LOOKUP(2,1/(ISNUMBER($A$2:$A$1048576)),ROW($A$2:$A$1048576))),P56)</f>
        <v/>
      </c>
      <c r="R56" s="10">
        <f>sum(Y56-FE56)</f>
        <v/>
      </c>
      <c r="S56" s="33">
        <f>PERCENTRANK(R$2:INDEX($R:$R,LOOKUP(2,1/(ISNUMBER($A$2:$A$1048576)),ROW($A$2:$A$1048576))),R56)</f>
        <v/>
      </c>
      <c r="T56" s="34">
        <f>sum(R56-R$106)/R$107</f>
        <v/>
      </c>
      <c r="U56" s="35">
        <f>sum(Y56/AI56)*100</f>
        <v/>
      </c>
      <c r="V56" s="33">
        <f>PERCENTRANK(U$2:INDEX($U:$U,LOOKUP(2,1/(ISNUMBER($A$2:$A$1048576)),ROW($A$2:$A$1048576))),U56)</f>
        <v/>
      </c>
      <c r="W56" s="36">
        <f>sum(U56-U$106)/U$107</f>
        <v/>
      </c>
      <c r="X56" s="9" t="n">
        <v>1.24</v>
      </c>
      <c r="Y56" s="9" t="n">
        <v>1.27</v>
      </c>
      <c r="Z56" s="33">
        <f>PERCENTRANK(Y$2:INDEX($Y:$Y,LOOKUP(2,1/(ISNUMBER($A$2:$A$1048576)),ROW($A$2:$A$1048576))),Y56)</f>
        <v/>
      </c>
      <c r="AA56" s="37">
        <f>sum(Y56-Y$106)/Y$107</f>
        <v/>
      </c>
      <c r="AB56" s="9" t="n">
        <v>9.789999999999999</v>
      </c>
      <c r="AC56" s="33">
        <f>PERCENTRANK(AB$2:INDEX($AB:$AB,LOOKUP(2,1/(ISNUMBER($A$2:$A$1048576)),ROW($A$2:$A$1048576))),AB56)</f>
        <v/>
      </c>
      <c r="AD56" s="38">
        <f>sum(AB56-AB$106)/AB$107</f>
        <v/>
      </c>
      <c r="AE56" s="9" t="n">
        <v>3.56</v>
      </c>
      <c r="AF56" s="33">
        <f>PERCENTRANK(AE$2:INDEX($AE:$AE,LOOKUP(2,1/(ISNUMBER($A$2:$A$1048576)),ROW($A$2:$A$1048576))),AE56)</f>
        <v/>
      </c>
      <c r="AG56" s="38">
        <f>sum(AE56-AE$106)/AE$107</f>
        <v/>
      </c>
      <c r="AH56" s="9" t="n">
        <v>36.34</v>
      </c>
      <c r="AI56" s="9" t="n">
        <v>372.79</v>
      </c>
      <c r="AJ56" s="9" t="n">
        <v>298.85</v>
      </c>
      <c r="AK56" s="9" t="n">
        <v>80.17</v>
      </c>
      <c r="AL56" s="9" t="n">
        <v>43.94</v>
      </c>
      <c r="AM56" s="9" t="n">
        <v>108.59</v>
      </c>
      <c r="AN56" s="9" t="n">
        <v>19.68</v>
      </c>
      <c r="AO56" s="9" t="n">
        <v>41.06</v>
      </c>
      <c r="AP56" s="9" t="n">
        <v>47.85</v>
      </c>
      <c r="AQ56" s="9" t="n">
        <v>81.34999999999999</v>
      </c>
      <c r="AR56" s="9" t="n">
        <v>39.18</v>
      </c>
      <c r="AS56" s="9" t="n">
        <v>31.29</v>
      </c>
      <c r="AT56" s="33">
        <f>PERCENTRANK(AS$2:INDEX($AS:$AS,LOOKUP(2,1/(ISNUMBER($A$2:$A$1048576)),ROW($A$2:$A$1048576))),AS56)</f>
        <v/>
      </c>
      <c r="AU56" s="39">
        <f>SUM(AS56-AS$106)/AS$107</f>
        <v/>
      </c>
      <c r="AV56" s="9" t="n">
        <v>10.88</v>
      </c>
      <c r="AW56" s="33">
        <f>PERCENTRANK(AV$2:INDEX($AV:$AV,LOOKUP(2,1/(ISNUMBER($A$2:$A$1048576)),ROW($A$2:$A$1048576))),AV56)</f>
        <v/>
      </c>
      <c r="AX56" s="9" t="n">
        <v>206.24</v>
      </c>
      <c r="AY56" s="9" t="n">
        <v>97.23999999999999</v>
      </c>
      <c r="AZ56" s="9" t="n">
        <v>47.15</v>
      </c>
      <c r="BA56" s="9" t="n">
        <v>3.74</v>
      </c>
      <c r="BB56" s="9" t="n">
        <v>0.76</v>
      </c>
      <c r="BC56" s="9" t="n">
        <v>20.47</v>
      </c>
      <c r="BD56" s="9" t="n">
        <v>28.53</v>
      </c>
      <c r="BE56" s="9" t="n">
        <v>5.82</v>
      </c>
      <c r="BF56" s="33">
        <f>PERCENTRANK(BE$2:INDEX($BE:$BE,LOOKUP(2,1/(ISNUMBER($A$2:$A$1048576)),ROW($A$2:$A$1048576))),BE56)</f>
        <v/>
      </c>
      <c r="BG56" s="40">
        <f>sum(BE56-BE$106)/BE$107</f>
        <v/>
      </c>
      <c r="BH56" s="9" t="n">
        <v>20.41</v>
      </c>
      <c r="BI56" s="9" t="n">
        <v>1.44</v>
      </c>
      <c r="BJ56" s="9" t="n">
        <v>0.65</v>
      </c>
      <c r="BK56" s="9" t="n">
        <v>44.9</v>
      </c>
      <c r="BL56" s="9" t="n">
        <v>25.35</v>
      </c>
      <c r="BM56" s="9" t="n">
        <v>2.82</v>
      </c>
      <c r="BN56" s="9" t="n">
        <v>11.14</v>
      </c>
      <c r="BO56" s="9" t="n">
        <v>4.94</v>
      </c>
      <c r="BP56" s="9" t="n">
        <v>1.32</v>
      </c>
      <c r="BQ56" s="9" t="n">
        <v>26.79</v>
      </c>
      <c r="BR56" s="9" t="n">
        <v>2.71</v>
      </c>
      <c r="BS56" s="9" t="n">
        <v>0.65</v>
      </c>
      <c r="BT56" s="9" t="n">
        <v>23.91</v>
      </c>
      <c r="BU56" s="9" t="n">
        <v>0.03</v>
      </c>
      <c r="BV56" s="9" t="n">
        <v>0</v>
      </c>
      <c r="BW56" s="9" t="n">
        <v>0</v>
      </c>
      <c r="BX56" s="9" t="n">
        <v>14.29</v>
      </c>
      <c r="BY56" s="9" t="n">
        <v>3.97</v>
      </c>
      <c r="BZ56" s="9" t="n">
        <v>27.78</v>
      </c>
      <c r="CA56" s="9" t="n">
        <v>3.85</v>
      </c>
      <c r="CB56" s="9" t="n">
        <v>4.88</v>
      </c>
      <c r="CC56" s="33">
        <f>PERCENTRANK(CD$2:INDEX($CD:$CD,LOOKUP(2,1/(ISNUMBER($A$2:$A$1048576)),ROW($A$2:$A$1048576))),CD56)</f>
        <v/>
      </c>
      <c r="CD56" s="40">
        <f>sum(CB56-CB$106)/CB$107</f>
        <v/>
      </c>
      <c r="CE56" s="9" t="n">
        <v>20.82</v>
      </c>
      <c r="CF56" s="33">
        <f>PERCENTRANK(CE$2:INDEX($CE:$CE,LOOKUP(2,1/(ISNUMBER($A$2:$A$1048576)),ROW($A$2:$A$1048576))),CE56)</f>
        <v/>
      </c>
      <c r="CG56" s="38">
        <f>sum(CE56-CE$106)/CE$107</f>
        <v/>
      </c>
      <c r="CH56" s="9" t="n">
        <v>3.91</v>
      </c>
      <c r="CI56" s="9" t="n">
        <v>9.09</v>
      </c>
      <c r="CJ56" s="9" t="n">
        <v>14.32</v>
      </c>
      <c r="CK56" s="33">
        <f>PERCENTRANK(CJ$2:INDEX($CJ:$CJ,LOOKUP(2,1/(ISNUMBER($A$2:$A$1048576)),ROW($A$2:$A$1048576))),CJ56)</f>
        <v/>
      </c>
      <c r="CL56" s="38">
        <f>sum(CJ56-CJ$106)/CJ$107</f>
        <v/>
      </c>
      <c r="CM56" s="9" t="n">
        <v>66.47</v>
      </c>
      <c r="CN56" s="9" t="n">
        <v>25.35</v>
      </c>
      <c r="CO56" s="9" t="n">
        <v>38.14</v>
      </c>
      <c r="CP56" s="9" t="n">
        <v>1.35</v>
      </c>
      <c r="CQ56" s="9" t="n">
        <v>1.74</v>
      </c>
      <c r="CR56" s="9" t="n">
        <v>11.59</v>
      </c>
      <c r="CS56" s="33">
        <f>PERCENTRANK(CR$2:INDEX($CR:$CR,LOOKUP(2,1/(ISNUMBER($A$2:$A$1048576)),ROW($A$2:$A$1048576))),CR56)</f>
        <v/>
      </c>
      <c r="CT56" s="39">
        <f>1-(CR56-CR$106)/CR$107</f>
        <v/>
      </c>
      <c r="CU56" s="9" t="n">
        <v>4.79</v>
      </c>
      <c r="CV56" s="33">
        <f>PERCENTRANK(CU$2:INDEX($CU:$CU,LOOKUP(2,1/(ISNUMBER($A$2:$A$1048576)),ROW($A$2:$A$1048576))),CU56)</f>
        <v/>
      </c>
      <c r="CW56" s="39">
        <f>1-(CU56-CU$106)/CU$107</f>
        <v/>
      </c>
      <c r="CX56" s="9" t="n">
        <v>41.37</v>
      </c>
      <c r="CY56" s="9" t="n">
        <v>70.76000000000001</v>
      </c>
      <c r="CZ56" s="9" t="n">
        <v>41.76</v>
      </c>
      <c r="DA56" s="9" t="n">
        <v>59.02</v>
      </c>
      <c r="DB56" s="9" t="n">
        <v>36.94</v>
      </c>
      <c r="DC56" s="9" t="n">
        <v>17.38</v>
      </c>
      <c r="DD56" s="9" t="n">
        <v>47.05</v>
      </c>
      <c r="DE56" s="9" t="n">
        <v>4.62</v>
      </c>
      <c r="DF56" s="9" t="n">
        <v>1.91</v>
      </c>
      <c r="DG56" s="9" t="n">
        <v>41.4</v>
      </c>
      <c r="DH56" s="9" t="n">
        <v>43.09</v>
      </c>
      <c r="DI56" s="33">
        <f>PERCENTRANK(DH$2:INDEX($DH:$DH,LOOKUP(2,1/(ISNUMBER($A$2:$A$1048576)),ROW($A$2:$A$1048576))),DH56)</f>
        <v/>
      </c>
      <c r="DJ56" s="39">
        <f>SUM(DH56-DH$106)/DH$107</f>
        <v/>
      </c>
      <c r="DK56" s="9" t="n">
        <v>15.79</v>
      </c>
      <c r="DL56" s="9" t="n">
        <v>13.15</v>
      </c>
      <c r="DM56" s="9" t="n">
        <v>2.18</v>
      </c>
      <c r="DN56" s="9" t="n">
        <v>0.21</v>
      </c>
      <c r="DO56" s="9" t="n">
        <v>134.32</v>
      </c>
      <c r="DP56" s="9" t="n">
        <v>93.79000000000001</v>
      </c>
      <c r="DQ56" s="33">
        <f>PERCENTRANK(DP$2:INDEX($DP:$DP,LOOKUP(2,1/(ISNUMBER($A$2:$A$1048576)),ROW($A$2:$A$1048576))),DP56)</f>
        <v/>
      </c>
      <c r="DR56" s="40">
        <f>sum(DP56-DP$106)/DP$107</f>
        <v/>
      </c>
      <c r="DS56" s="9" t="n">
        <v>69.83</v>
      </c>
      <c r="DT56" s="9" t="n">
        <v>57.53</v>
      </c>
      <c r="DU56" s="9" t="n">
        <v>53.62</v>
      </c>
      <c r="DV56" s="9" t="n">
        <v>93.2</v>
      </c>
      <c r="DW56" s="9" t="n">
        <v>128.18</v>
      </c>
      <c r="DX56" s="9" t="n">
        <v>109.71</v>
      </c>
      <c r="DY56" s="9" t="n">
        <v>85.59</v>
      </c>
      <c r="DZ56" s="9" t="n">
        <v>47.24</v>
      </c>
      <c r="EA56" s="9" t="n">
        <v>24.74</v>
      </c>
      <c r="EB56" s="9" t="n">
        <v>52.37</v>
      </c>
      <c r="EC56" s="9" t="n">
        <v>47.71</v>
      </c>
      <c r="ED56" s="9" t="n">
        <v>30.76</v>
      </c>
      <c r="EE56" s="33">
        <f>PERCENTRANK(ED$2:INDEX($ED:$ED,LOOKUP(2,1/(ISNUMBER($A$2:$A$1048576)),ROW($A$2:$A$1048576))),ED56)</f>
        <v/>
      </c>
      <c r="EF56" s="40">
        <f>sum(ED56-ED$106)/ED$107</f>
        <v/>
      </c>
      <c r="EG56" s="9" t="n">
        <v>64.48999999999999</v>
      </c>
      <c r="EH56" s="9" t="n">
        <v>66.94</v>
      </c>
      <c r="EI56" s="9" t="n">
        <v>46.29</v>
      </c>
      <c r="EJ56" s="33">
        <f>PERCENTRANK(EI$2:INDEX($EI:$EI,LOOKUP(2,1/(ISNUMBER($A$2:$A$1048576)),ROW($A$2:$A$1048576))),EI56)</f>
        <v/>
      </c>
      <c r="EK56" s="40">
        <f>sum(EI56-EI$106)/EI$107</f>
        <v/>
      </c>
      <c r="EL56" s="9" t="n">
        <v>69.16</v>
      </c>
      <c r="EM56" s="9" t="n">
        <v>2.62</v>
      </c>
      <c r="EN56" s="9" t="n">
        <v>0.88</v>
      </c>
      <c r="EO56" s="9" t="n">
        <v>33.71</v>
      </c>
      <c r="EP56" s="9" t="n">
        <v>25.15</v>
      </c>
      <c r="EQ56" s="9" t="n">
        <v>21.79</v>
      </c>
      <c r="ER56" s="9" t="n">
        <v>86.67</v>
      </c>
      <c r="ES56" s="9" t="n">
        <v>8.35</v>
      </c>
      <c r="ET56" s="9" t="n">
        <v>16.42</v>
      </c>
      <c r="EU56" s="9" t="n">
        <v>3.38</v>
      </c>
      <c r="EV56" s="9" t="n">
        <v>13.02</v>
      </c>
      <c r="EW56" s="9" t="n">
        <v>16.96</v>
      </c>
      <c r="EX56" s="33">
        <f>PERCENTRANK(EW$2:INDEX($EW:$EW,LOOKUP(2,1/(ISNUMBER($A$2:$A$1048576)),ROW($A$2:$A$1048576))),EW56)</f>
        <v/>
      </c>
      <c r="EY56" s="38">
        <f>1-(EW56-EW$106)/EW$107</f>
        <v/>
      </c>
      <c r="EZ56" s="9" t="n">
        <v>20.04</v>
      </c>
      <c r="FA56" s="9" t="n">
        <v>12.08</v>
      </c>
      <c r="FB56" s="33">
        <f>PERCENTRANK(FA$2:INDEX($FA:$FA,LOOKUP(2,1/(ISNUMBER($A$2:$A$1048576)),ROW($A$2:$A$1048576))),FA56)</f>
        <v/>
      </c>
      <c r="FC56" s="39">
        <f>1-(FA56-FA$106)/FA$107</f>
        <v/>
      </c>
      <c r="FD56" s="9" t="n">
        <v>1.74</v>
      </c>
      <c r="FE56" s="9" t="n">
        <v>1.62</v>
      </c>
      <c r="FF56" s="33">
        <f>PERCENTRANK(FE$2:INDEX($FE:$FE,LOOKUP(2,1/(ISNUMBER($A$2:$A$1048576)),ROW($A$2:$A$1048576))),FE56)</f>
        <v/>
      </c>
      <c r="FG56" s="39">
        <f>1-(FE56-FE$106)/FE$107</f>
        <v/>
      </c>
      <c r="FH56" s="9" t="n">
        <v>11.59</v>
      </c>
      <c r="FI56" s="9" t="n">
        <v>4.5</v>
      </c>
      <c r="FJ56" s="9" t="n">
        <v>38.83</v>
      </c>
      <c r="FK56" s="9" t="n">
        <v>488.03</v>
      </c>
      <c r="FL56" s="33">
        <f>PERCENTRANK(FK$2:INDEX($FK:$FK,LOOKUP(2,1/(ISNUMBER($A$2:$A$1048576)),ROW($A$2:$A$1048576))),FK56)</f>
        <v/>
      </c>
      <c r="FM56" s="39">
        <f>SWA55-(FK56-FK$106)/FK$107</f>
        <v/>
      </c>
      <c r="FN56" s="9" t="n">
        <v>409.26</v>
      </c>
      <c r="FO56" s="9" t="n">
        <v>83.86</v>
      </c>
      <c r="FP56" s="9" t="n">
        <v>56.06</v>
      </c>
      <c r="FQ56" s="9" t="n">
        <v>106.85</v>
      </c>
      <c r="FR56" s="9" t="n">
        <v>17.65</v>
      </c>
      <c r="FS56" s="9" t="n">
        <v>38.15</v>
      </c>
      <c r="FT56" s="9" t="n">
        <v>51.06</v>
      </c>
      <c r="FU56" s="9" t="n">
        <v>84.5</v>
      </c>
      <c r="FV56" s="9" t="n">
        <v>38.26</v>
      </c>
      <c r="FW56" s="9" t="n">
        <v>34.32</v>
      </c>
      <c r="FX56" s="9" t="n">
        <v>11.91</v>
      </c>
      <c r="FY56" s="9" t="n">
        <v>206.24</v>
      </c>
      <c r="FZ56" s="9" t="n">
        <v>100.41</v>
      </c>
      <c r="GA56" s="9" t="n">
        <v>48.69</v>
      </c>
      <c r="GB56" s="9" t="n">
        <v>4.56</v>
      </c>
      <c r="GC56" s="9" t="n">
        <v>1.21</v>
      </c>
      <c r="GD56" s="9" t="n">
        <v>26.45</v>
      </c>
      <c r="GE56" s="9" t="n">
        <v>31.15</v>
      </c>
      <c r="GF56" s="9" t="n">
        <v>6.59</v>
      </c>
      <c r="GG56" s="9" t="n">
        <v>21.15</v>
      </c>
      <c r="GH56" s="9" t="n">
        <v>2.09</v>
      </c>
      <c r="GI56" s="9" t="n">
        <v>1.18</v>
      </c>
      <c r="GJ56" s="9" t="n">
        <v>56.34</v>
      </c>
      <c r="GK56" s="9" t="n">
        <v>25.79</v>
      </c>
      <c r="GL56" s="9" t="n">
        <v>3.09</v>
      </c>
      <c r="GM56" s="9" t="n">
        <v>11.97</v>
      </c>
      <c r="GN56" s="9" t="n">
        <v>5</v>
      </c>
      <c r="GO56" s="9" t="n">
        <v>1.15</v>
      </c>
      <c r="GP56" s="9" t="n">
        <v>22.94</v>
      </c>
      <c r="GQ56" s="9" t="n">
        <v>2.24</v>
      </c>
      <c r="GR56" s="9" t="n">
        <v>0.62</v>
      </c>
      <c r="GS56" s="9" t="n">
        <v>27.63</v>
      </c>
      <c r="GT56" s="9" t="n">
        <v>0.26</v>
      </c>
      <c r="GU56" s="9" t="n">
        <v>0.21</v>
      </c>
      <c r="GV56" s="9" t="n">
        <v>77.78</v>
      </c>
      <c r="GW56" s="9" t="n">
        <v>15.62</v>
      </c>
      <c r="GX56" s="9" t="n">
        <v>5.18</v>
      </c>
      <c r="GY56" s="9" t="n">
        <v>33.15</v>
      </c>
      <c r="GZ56" s="9" t="n">
        <v>5.15</v>
      </c>
      <c r="HA56" s="9" t="n">
        <v>7.21</v>
      </c>
      <c r="HB56" s="9" t="n">
        <v>25.59</v>
      </c>
      <c r="HC56" s="9" t="n">
        <v>4.18</v>
      </c>
      <c r="HD56" s="9" t="n">
        <v>9.41</v>
      </c>
      <c r="HE56" s="9" t="n">
        <v>17.24</v>
      </c>
      <c r="HF56" s="9" t="n">
        <v>70.76000000000001</v>
      </c>
      <c r="HG56" s="9" t="n">
        <v>29</v>
      </c>
      <c r="HH56" s="9" t="n">
        <v>40.98</v>
      </c>
      <c r="HI56" s="9" t="n">
        <v>2.12</v>
      </c>
      <c r="HJ56" s="9" t="n">
        <v>1.24</v>
      </c>
      <c r="HK56" s="9" t="n">
        <v>9.789999999999999</v>
      </c>
      <c r="HL56" s="9" t="n">
        <v>3.76</v>
      </c>
      <c r="HM56" s="9" t="n">
        <v>38.44</v>
      </c>
      <c r="HN56" s="9" t="n">
        <v>66.47</v>
      </c>
      <c r="HO56" s="9" t="n">
        <v>41.12</v>
      </c>
      <c r="HP56" s="9" t="n">
        <v>61.86</v>
      </c>
      <c r="HQ56" s="9" t="n">
        <v>36.94</v>
      </c>
      <c r="HR56" s="9" t="n">
        <v>16.76</v>
      </c>
      <c r="HS56" s="9" t="n">
        <v>45.38</v>
      </c>
      <c r="HT56" s="9" t="n">
        <v>4.38</v>
      </c>
      <c r="HU56" s="9" t="n">
        <v>2.03</v>
      </c>
      <c r="HV56" s="9" t="n">
        <v>46.31</v>
      </c>
      <c r="HW56" s="9" t="n">
        <v>39.41</v>
      </c>
      <c r="HX56" s="9" t="n">
        <v>16.82</v>
      </c>
      <c r="HY56" s="9" t="n">
        <v>12.65</v>
      </c>
      <c r="HZ56" s="9" t="n">
        <v>2.56</v>
      </c>
      <c r="IA56" s="9" t="n">
        <v>0.06</v>
      </c>
      <c r="IB56" s="9" t="n">
        <v>163.47</v>
      </c>
      <c r="IC56" s="9" t="n">
        <v>121.29</v>
      </c>
      <c r="ID56" s="9" t="n">
        <v>74.2</v>
      </c>
      <c r="IE56" s="9" t="n">
        <v>74.34999999999999</v>
      </c>
      <c r="IF56" s="9" t="n">
        <v>69.97</v>
      </c>
      <c r="IG56" s="9" t="n">
        <v>94.11</v>
      </c>
      <c r="IH56" s="9" t="n">
        <v>185.24</v>
      </c>
      <c r="II56" s="9" t="n">
        <v>165.32</v>
      </c>
      <c r="IJ56" s="9" t="n">
        <v>89.25</v>
      </c>
      <c r="IK56" s="9" t="n">
        <v>47.88</v>
      </c>
      <c r="IL56" s="9" t="n">
        <v>26.74</v>
      </c>
      <c r="IM56" s="9" t="n">
        <v>55.84</v>
      </c>
      <c r="IN56" s="9" t="n">
        <v>65.97</v>
      </c>
      <c r="IO56" s="9" t="n">
        <v>44.76</v>
      </c>
      <c r="IP56" s="9" t="n">
        <v>67.86</v>
      </c>
      <c r="IQ56" s="9" t="n">
        <v>82.44</v>
      </c>
      <c r="IR56" s="9" t="n">
        <v>62.79</v>
      </c>
      <c r="IS56" s="9" t="n">
        <v>76.17</v>
      </c>
      <c r="IT56" s="33">
        <f>PERCENTRANK(IS$2:INDEX($IS:$IS,LOOKUP(2,1/(ISNUMBER($A$2:$A$1048576)),ROW($A$2:$A$1048576))),IS56)</f>
        <v/>
      </c>
      <c r="IU56" s="39">
        <f>1-(IS56-IS$106)/IS$107</f>
        <v/>
      </c>
      <c r="IV56" s="9" t="n">
        <v>4.68</v>
      </c>
      <c r="IW56" s="9" t="n">
        <v>2.12</v>
      </c>
      <c r="IX56" s="9" t="n">
        <v>45.28</v>
      </c>
      <c r="IY56" s="9" t="n">
        <v>22.91</v>
      </c>
      <c r="IZ56" s="9" t="n">
        <v>20.38</v>
      </c>
      <c r="JA56" s="9" t="n">
        <v>88.95999999999999</v>
      </c>
      <c r="JB56" s="9" t="n">
        <v>7.09</v>
      </c>
      <c r="JC56" s="9" t="n">
        <v>16.79</v>
      </c>
      <c r="JD56" s="9" t="n">
        <v>4.46</v>
      </c>
      <c r="JE56" s="9" t="n">
        <v>10.27</v>
      </c>
      <c r="JF56" s="9" t="n">
        <v>17.35</v>
      </c>
      <c r="JG56" s="9" t="n">
        <v>20.07</v>
      </c>
      <c r="JH56" s="9" t="n">
        <v>9.6</v>
      </c>
    </row>
    <row r="57">
      <c r="A57" s="12" t="n">
        <v>2023</v>
      </c>
      <c r="B57" s="31" t="inlineStr">
        <is>
          <t>Memphis 901</t>
        </is>
      </c>
      <c r="C57" s="12" t="n">
        <v>52</v>
      </c>
      <c r="D57" s="5">
        <f>(C57-AVERAGE($C$2:INDEX($C:$C,LOOKUP(2,1/(ISNUMBER($A$2:$A$1048576)),ROW($A$2:$A$1048576)))))/_xlfn.STDEV.P($C$2:INDEX($C:$C,LOOKUP(2,1/(ISNUMBER($A$2:$A$1048576)),ROW($A$2:$A$1048576))))</f>
        <v/>
      </c>
      <c r="E57" s="12" t="n">
        <v>4</v>
      </c>
      <c r="F57" s="6">
        <f>-E57</f>
        <v/>
      </c>
      <c r="G57" s="7">
        <f>(F57-AVERAGE($F$2:INDEX($F:$F,LOOKUP(2,1/(ISNUMBER($A$2:$A$1048576)),ROW($A$2:$A$1048576)))))/_xlfn.STDEV.P($F$2:INDEX($F:$F,LOOKUP(2,1/(ISNUMBER($A$2:$A$1048576)),ROW($A$2:$A$1048576))))</f>
        <v/>
      </c>
      <c r="H57" s="32">
        <f>sum(0.5*D57)+(0.5*G57)</f>
        <v/>
      </c>
      <c r="I57" s="12" t="inlineStr">
        <is>
          <t>East</t>
        </is>
      </c>
      <c r="J57" s="10">
        <f>sum(L57*L$105)+(N57*N$105)+(P57*P$105)+(T57*R$105)</f>
        <v/>
      </c>
      <c r="K57" s="33">
        <f>PERCENTRANK(J$2:INDEX($J:$J,LOOKUP(2,1/(ISNUMBER($A$2:$A$1048576)),ROW($A$2:$A$1048576))),J57)</f>
        <v/>
      </c>
      <c r="L57" s="10">
        <f>sum(AA57*0.66)+(AD57*0.55)+(AG57*0.59)+(CG57*0.51)+(CL57*0.6)+(EY57*0.31)</f>
        <v/>
      </c>
      <c r="M57" s="33">
        <f>PERCENTRANK(L$2:INDEX($L:$L,LOOKUP(2,1/(ISNUMBER($A$2:$A$1048576)),ROW($A$2:$A$1048576))),L57)</f>
        <v/>
      </c>
      <c r="N57" s="10">
        <f>sum(CT57*0.57)+(CW57*0.71)+(DJ57*0.08)+(FC57*0.33)+(FG57*0.69)+(FM57*0.26)+(IU57*0.54)+(AU57*0.4)</f>
        <v/>
      </c>
      <c r="O57" s="33">
        <f>PERCENTRANK(N$2:INDEX($N:$N,LOOKUP(2,1/(ISNUMBER($A$2:$A$1048576)),ROW($A$2:$A$1048576))),N57)</f>
        <v/>
      </c>
      <c r="P57" s="10">
        <f>sum(BG57*0.51)+(CD57*0.51)+(DR57*0.11)+(EF57*0.42)+(EK57*0.44)+(W57*0.6)</f>
        <v/>
      </c>
      <c r="Q57" s="33">
        <f>PERCENTRANK(P$2:INDEX($P:$P,LOOKUP(2,1/(ISNUMBER($A$2:$A$1048576)),ROW($A$2:$A$1048576))),P57)</f>
        <v/>
      </c>
      <c r="R57" s="10">
        <f>sum(Y57-FE57)</f>
        <v/>
      </c>
      <c r="S57" s="33">
        <f>PERCENTRANK(R$2:INDEX($R:$R,LOOKUP(2,1/(ISNUMBER($A$2:$A$1048576)),ROW($A$2:$A$1048576))),R57)</f>
        <v/>
      </c>
      <c r="T57" s="34">
        <f>sum(R57-R$106)/R$107</f>
        <v/>
      </c>
      <c r="U57" s="35">
        <f>sum(Y57/AI57)*100</f>
        <v/>
      </c>
      <c r="V57" s="33">
        <f>PERCENTRANK(U$2:INDEX($U:$U,LOOKUP(2,1/(ISNUMBER($A$2:$A$1048576)),ROW($A$2:$A$1048576))),U57)</f>
        <v/>
      </c>
      <c r="W57" s="36">
        <f>sum(U57-U$106)/U$107</f>
        <v/>
      </c>
      <c r="X57" s="9" t="n">
        <v>1.71</v>
      </c>
      <c r="Y57" s="9" t="n">
        <v>1.47</v>
      </c>
      <c r="Z57" s="33">
        <f>PERCENTRANK(Y$2:INDEX($Y:$Y,LOOKUP(2,1/(ISNUMBER($A$2:$A$1048576)),ROW($A$2:$A$1048576))),Y57)</f>
        <v/>
      </c>
      <c r="AA57" s="37">
        <f>sum(Y57-Y$106)/Y$107</f>
        <v/>
      </c>
      <c r="AB57" s="9" t="n">
        <v>12.26</v>
      </c>
      <c r="AC57" s="33">
        <f>PERCENTRANK(AB$2:INDEX($AB:$AB,LOOKUP(2,1/(ISNUMBER($A$2:$A$1048576)),ROW($A$2:$A$1048576))),AB57)</f>
        <v/>
      </c>
      <c r="AD57" s="38">
        <f>sum(AB57-AB$106)/AB$107</f>
        <v/>
      </c>
      <c r="AE57" s="9" t="n">
        <v>4.46</v>
      </c>
      <c r="AF57" s="33">
        <f>PERCENTRANK(AE$2:INDEX($AE:$AE,LOOKUP(2,1/(ISNUMBER($A$2:$A$1048576)),ROW($A$2:$A$1048576))),AE57)</f>
        <v/>
      </c>
      <c r="AG57" s="38">
        <f>sum(AE57-AE$106)/AE$107</f>
        <v/>
      </c>
      <c r="AH57" s="9" t="n">
        <v>36.36</v>
      </c>
      <c r="AI57" s="9" t="n">
        <v>472.49</v>
      </c>
      <c r="AJ57" s="9" t="n">
        <v>398.43</v>
      </c>
      <c r="AK57" s="9" t="n">
        <v>84.33</v>
      </c>
      <c r="AL57" s="9" t="n">
        <v>55.32</v>
      </c>
      <c r="AM57" s="9" t="n">
        <v>103.97</v>
      </c>
      <c r="AN57" s="9" t="n">
        <v>15.97</v>
      </c>
      <c r="AO57" s="9" t="n">
        <v>39.06</v>
      </c>
      <c r="AP57" s="9" t="n">
        <v>48.94</v>
      </c>
      <c r="AQ57" s="9" t="n">
        <v>81.23</v>
      </c>
      <c r="AR57" s="9" t="n">
        <v>36</v>
      </c>
      <c r="AS57" s="9" t="n">
        <v>34.37</v>
      </c>
      <c r="AT57" s="33">
        <f>PERCENTRANK(AS$2:INDEX($AS:$AS,LOOKUP(2,1/(ISNUMBER($A$2:$A$1048576)),ROW($A$2:$A$1048576))),AS57)</f>
        <v/>
      </c>
      <c r="AU57" s="39">
        <f>SUM(AS57-AS$106)/AS$107</f>
        <v/>
      </c>
      <c r="AV57" s="9" t="n">
        <v>10.86</v>
      </c>
      <c r="AW57" s="33">
        <f>PERCENTRANK(AV$2:INDEX($AV:$AV,LOOKUP(2,1/(ISNUMBER($A$2:$A$1048576)),ROW($A$2:$A$1048576))),AV57)</f>
        <v/>
      </c>
      <c r="AX57" s="9" t="n">
        <v>194.54</v>
      </c>
      <c r="AY57" s="9" t="n">
        <v>91.86</v>
      </c>
      <c r="AZ57" s="9" t="n">
        <v>47.22</v>
      </c>
      <c r="BA57" s="9" t="n">
        <v>5.09</v>
      </c>
      <c r="BB57" s="9" t="n">
        <v>1.54</v>
      </c>
      <c r="BC57" s="9" t="n">
        <v>30.34</v>
      </c>
      <c r="BD57" s="9" t="n">
        <v>28.54</v>
      </c>
      <c r="BE57" s="9" t="n">
        <v>6.94</v>
      </c>
      <c r="BF57" s="33">
        <f>PERCENTRANK(BE$2:INDEX($BE:$BE,LOOKUP(2,1/(ISNUMBER($A$2:$A$1048576)),ROW($A$2:$A$1048576))),BE57)</f>
        <v/>
      </c>
      <c r="BG57" s="40">
        <f>sum(BE57-BE$106)/BE$107</f>
        <v/>
      </c>
      <c r="BH57" s="9" t="n">
        <v>24.32</v>
      </c>
      <c r="BI57" s="9" t="n">
        <v>1.86</v>
      </c>
      <c r="BJ57" s="9" t="n">
        <v>0.83</v>
      </c>
      <c r="BK57" s="9" t="n">
        <v>44.62</v>
      </c>
      <c r="BL57" s="9" t="n">
        <v>26.06</v>
      </c>
      <c r="BM57" s="9" t="n">
        <v>3.8</v>
      </c>
      <c r="BN57" s="9" t="n">
        <v>14.58</v>
      </c>
      <c r="BO57" s="9" t="n">
        <v>4.57</v>
      </c>
      <c r="BP57" s="9" t="n">
        <v>1.51</v>
      </c>
      <c r="BQ57" s="9" t="n">
        <v>33.13</v>
      </c>
      <c r="BR57" s="9" t="n">
        <v>2.69</v>
      </c>
      <c r="BS57" s="9" t="n">
        <v>0.66</v>
      </c>
      <c r="BT57" s="9" t="n">
        <v>24.47</v>
      </c>
      <c r="BU57" s="9" t="n">
        <v>0.17</v>
      </c>
      <c r="BV57" s="9" t="n">
        <v>0.11</v>
      </c>
      <c r="BW57" s="9" t="n">
        <v>66.67</v>
      </c>
      <c r="BX57" s="9" t="n">
        <v>12.57</v>
      </c>
      <c r="BY57" s="9" t="n">
        <v>4.06</v>
      </c>
      <c r="BZ57" s="9" t="n">
        <v>32.27</v>
      </c>
      <c r="CA57" s="9" t="n">
        <v>3.63</v>
      </c>
      <c r="CB57" s="9" t="n">
        <v>8.289999999999999</v>
      </c>
      <c r="CC57" s="33">
        <f>PERCENTRANK(CD$2:INDEX($CD:$CD,LOOKUP(2,1/(ISNUMBER($A$2:$A$1048576)),ROW($A$2:$A$1048576))),CD57)</f>
        <v/>
      </c>
      <c r="CD57" s="40">
        <f>sum(CB57-CB$106)/CB$107</f>
        <v/>
      </c>
      <c r="CE57" s="9" t="n">
        <v>23.57</v>
      </c>
      <c r="CF57" s="33">
        <f>PERCENTRANK(CE$2:INDEX($CE:$CE,LOOKUP(2,1/(ISNUMBER($A$2:$A$1048576)),ROW($A$2:$A$1048576))),CE57)</f>
        <v/>
      </c>
      <c r="CG57" s="38">
        <f>sum(CE57-CE$106)/CE$107</f>
        <v/>
      </c>
      <c r="CH57" s="9" t="n">
        <v>3.77</v>
      </c>
      <c r="CI57" s="9" t="n">
        <v>7.23</v>
      </c>
      <c r="CJ57" s="9" t="n">
        <v>18.17</v>
      </c>
      <c r="CK57" s="33">
        <f>PERCENTRANK(CJ$2:INDEX($CJ:$CJ,LOOKUP(2,1/(ISNUMBER($A$2:$A$1048576)),ROW($A$2:$A$1048576))),CJ57)</f>
        <v/>
      </c>
      <c r="CL57" s="38">
        <f>sum(CJ57-CJ$106)/CJ$107</f>
        <v/>
      </c>
      <c r="CM57" s="9" t="n">
        <v>63.37</v>
      </c>
      <c r="CN57" s="9" t="n">
        <v>25.11</v>
      </c>
      <c r="CO57" s="9" t="n">
        <v>39.63</v>
      </c>
      <c r="CP57" s="9" t="n">
        <v>2.06</v>
      </c>
      <c r="CQ57" s="9" t="n">
        <v>1.54</v>
      </c>
      <c r="CR57" s="9" t="n">
        <v>9</v>
      </c>
      <c r="CS57" s="33">
        <f>PERCENTRANK(CR$2:INDEX($CR:$CR,LOOKUP(2,1/(ISNUMBER($A$2:$A$1048576)),ROW($A$2:$A$1048576))),CR57)</f>
        <v/>
      </c>
      <c r="CT57" s="39">
        <f>1-(CR57-CR$106)/CR$107</f>
        <v/>
      </c>
      <c r="CU57" s="9" t="n">
        <v>3.86</v>
      </c>
      <c r="CV57" s="33">
        <f>PERCENTRANK(CU$2:INDEX($CU:$CU,LOOKUP(2,1/(ISNUMBER($A$2:$A$1048576)),ROW($A$2:$A$1048576))),CU57)</f>
        <v/>
      </c>
      <c r="CW57" s="39">
        <f>1-(CU57-CU$106)/CU$107</f>
        <v/>
      </c>
      <c r="CX57" s="9" t="n">
        <v>42.86</v>
      </c>
      <c r="CY57" s="9" t="n">
        <v>61.54</v>
      </c>
      <c r="CZ57" s="9" t="n">
        <v>36.8</v>
      </c>
      <c r="DA57" s="9" t="n">
        <v>59.8</v>
      </c>
      <c r="DB57" s="9" t="n">
        <v>37.2</v>
      </c>
      <c r="DC57" s="9" t="n">
        <v>16.51</v>
      </c>
      <c r="DD57" s="9" t="n">
        <v>44.39</v>
      </c>
      <c r="DE57" s="9" t="n">
        <v>3.09</v>
      </c>
      <c r="DF57" s="9" t="n">
        <v>1.4</v>
      </c>
      <c r="DG57" s="9" t="n">
        <v>45.37</v>
      </c>
      <c r="DH57" s="9" t="n">
        <v>37.94</v>
      </c>
      <c r="DI57" s="33">
        <f>PERCENTRANK(DH$2:INDEX($DH:$DH,LOOKUP(2,1/(ISNUMBER($A$2:$A$1048576)),ROW($A$2:$A$1048576))),DH57)</f>
        <v/>
      </c>
      <c r="DJ57" s="39">
        <f>SUM(DH57-DH$106)/DH$107</f>
        <v/>
      </c>
      <c r="DK57" s="9" t="n">
        <v>15.2</v>
      </c>
      <c r="DL57" s="9" t="n">
        <v>13.2</v>
      </c>
      <c r="DM57" s="9" t="n">
        <v>2.06</v>
      </c>
      <c r="DN57" s="9" t="n">
        <v>0.17</v>
      </c>
      <c r="DO57" s="9" t="n">
        <v>155.2</v>
      </c>
      <c r="DP57" s="9" t="n">
        <v>113.71</v>
      </c>
      <c r="DQ57" s="33">
        <f>PERCENTRANK(DP$2:INDEX($DP:$DP,LOOKUP(2,1/(ISNUMBER($A$2:$A$1048576)),ROW($A$2:$A$1048576))),DP57)</f>
        <v/>
      </c>
      <c r="DR57" s="40">
        <f>sum(DP57-DP$106)/DP$107</f>
        <v/>
      </c>
      <c r="DS57" s="9" t="n">
        <v>73.27</v>
      </c>
      <c r="DT57" s="9" t="n">
        <v>79.09</v>
      </c>
      <c r="DU57" s="9" t="n">
        <v>74.8</v>
      </c>
      <c r="DV57" s="9" t="n">
        <v>94.58</v>
      </c>
      <c r="DW57" s="9" t="n">
        <v>174.71</v>
      </c>
      <c r="DX57" s="9" t="n">
        <v>157.94</v>
      </c>
      <c r="DY57" s="9" t="n">
        <v>90.40000000000001</v>
      </c>
      <c r="DZ57" s="9" t="n">
        <v>53.57</v>
      </c>
      <c r="EA57" s="9" t="n">
        <v>29.97</v>
      </c>
      <c r="EB57" s="9" t="n">
        <v>55.95</v>
      </c>
      <c r="EC57" s="9" t="n">
        <v>59</v>
      </c>
      <c r="ED57" s="9" t="n">
        <v>39.89</v>
      </c>
      <c r="EE57" s="33">
        <f>PERCENTRANK(ED$2:INDEX($ED:$ED,LOOKUP(2,1/(ISNUMBER($A$2:$A$1048576)),ROW($A$2:$A$1048576))),ED57)</f>
        <v/>
      </c>
      <c r="EF57" s="40">
        <f>sum(ED57-ED$106)/ED$107</f>
        <v/>
      </c>
      <c r="EG57" s="9" t="n">
        <v>67.59999999999999</v>
      </c>
      <c r="EH57" s="9" t="n">
        <v>78.09</v>
      </c>
      <c r="EI57" s="9" t="n">
        <v>58.91</v>
      </c>
      <c r="EJ57" s="33">
        <f>PERCENTRANK(EI$2:INDEX($EI:$EI,LOOKUP(2,1/(ISNUMBER($A$2:$A$1048576)),ROW($A$2:$A$1048576))),EI57)</f>
        <v/>
      </c>
      <c r="EK57" s="40">
        <f>sum(EI57-EI$106)/EI$107</f>
        <v/>
      </c>
      <c r="EL57" s="9" t="n">
        <v>75.45</v>
      </c>
      <c r="EM57" s="9" t="n">
        <v>3.86</v>
      </c>
      <c r="EN57" s="9" t="n">
        <v>1.63</v>
      </c>
      <c r="EO57" s="9" t="n">
        <v>42.22</v>
      </c>
      <c r="EP57" s="9" t="n">
        <v>23.37</v>
      </c>
      <c r="EQ57" s="9" t="n">
        <v>22.37</v>
      </c>
      <c r="ER57" s="9" t="n">
        <v>95.72</v>
      </c>
      <c r="ES57" s="9" t="n">
        <v>6.66</v>
      </c>
      <c r="ET57" s="9" t="n">
        <v>16.61</v>
      </c>
      <c r="EU57" s="9" t="n">
        <v>4.45</v>
      </c>
      <c r="EV57" s="9" t="n">
        <v>11.65</v>
      </c>
      <c r="EW57" s="9" t="n">
        <v>18.44</v>
      </c>
      <c r="EX57" s="33">
        <f>PERCENTRANK(EW$2:INDEX($EW:$EW,LOOKUP(2,1/(ISNUMBER($A$2:$A$1048576)),ROW($A$2:$A$1048576))),EW57)</f>
        <v/>
      </c>
      <c r="EY57" s="38">
        <f>1-(EW57-EW$106)/EW$107</f>
        <v/>
      </c>
      <c r="EZ57" s="9" t="n">
        <v>20.36</v>
      </c>
      <c r="FA57" s="9" t="n">
        <v>10.18</v>
      </c>
      <c r="FB57" s="33">
        <f>PERCENTRANK(FA$2:INDEX($FA:$FA,LOOKUP(2,1/(ISNUMBER($A$2:$A$1048576)),ROW($A$2:$A$1048576))),FA57)</f>
        <v/>
      </c>
      <c r="FC57" s="39">
        <f>1-(FA57-FA$106)/FA$107</f>
        <v/>
      </c>
      <c r="FD57" s="9" t="n">
        <v>1.54</v>
      </c>
      <c r="FE57" s="9" t="n">
        <v>1.32</v>
      </c>
      <c r="FF57" s="33">
        <f>PERCENTRANK(FE$2:INDEX($FE:$FE,LOOKUP(2,1/(ISNUMBER($A$2:$A$1048576)),ROW($A$2:$A$1048576))),FE57)</f>
        <v/>
      </c>
      <c r="FG57" s="39">
        <f>1-(FE57-FE$106)/FE$107</f>
        <v/>
      </c>
      <c r="FH57" s="9" t="n">
        <v>9</v>
      </c>
      <c r="FI57" s="9" t="n">
        <v>3.71</v>
      </c>
      <c r="FJ57" s="9" t="n">
        <v>41.27</v>
      </c>
      <c r="FK57" s="9" t="n">
        <v>364</v>
      </c>
      <c r="FL57" s="33">
        <f>PERCENTRANK(FK$2:INDEX($FK:$FK,LOOKUP(2,1/(ISNUMBER($A$2:$A$1048576)),ROW($A$2:$A$1048576))),FK57)</f>
        <v/>
      </c>
      <c r="FM57" s="39">
        <f>SWA56-(FK57-FK$106)/FK$107</f>
        <v/>
      </c>
      <c r="FN57" s="9" t="n">
        <v>290.34</v>
      </c>
      <c r="FO57" s="9" t="n">
        <v>79.76000000000001</v>
      </c>
      <c r="FP57" s="9" t="n">
        <v>44.68</v>
      </c>
      <c r="FQ57" s="9" t="n">
        <v>103.43</v>
      </c>
      <c r="FR57" s="9" t="n">
        <v>18.06</v>
      </c>
      <c r="FS57" s="9" t="n">
        <v>39.26</v>
      </c>
      <c r="FT57" s="9" t="n">
        <v>46.11</v>
      </c>
      <c r="FU57" s="9" t="n">
        <v>80.73999999999999</v>
      </c>
      <c r="FV57" s="9" t="n">
        <v>37.06</v>
      </c>
      <c r="FW57" s="9" t="n">
        <v>33.71</v>
      </c>
      <c r="FX57" s="9" t="n">
        <v>9.970000000000001</v>
      </c>
      <c r="FY57" s="9" t="n">
        <v>194.54</v>
      </c>
      <c r="FZ57" s="9" t="n">
        <v>93.89</v>
      </c>
      <c r="GA57" s="9" t="n">
        <v>48.26</v>
      </c>
      <c r="GB57" s="9" t="n">
        <v>3.06</v>
      </c>
      <c r="GC57" s="9" t="n">
        <v>0.91</v>
      </c>
      <c r="GD57" s="9" t="n">
        <v>29.91</v>
      </c>
      <c r="GE57" s="9" t="n">
        <v>23.6</v>
      </c>
      <c r="GF57" s="9" t="n">
        <v>4.74</v>
      </c>
      <c r="GG57" s="9" t="n">
        <v>20.1</v>
      </c>
      <c r="GH57" s="9" t="n">
        <v>1.91</v>
      </c>
      <c r="GI57" s="9" t="n">
        <v>0.9399999999999999</v>
      </c>
      <c r="GJ57" s="9" t="n">
        <v>49.25</v>
      </c>
      <c r="GK57" s="9" t="n">
        <v>24.74</v>
      </c>
      <c r="GL57" s="9" t="n">
        <v>2.8</v>
      </c>
      <c r="GM57" s="9" t="n">
        <v>11.32</v>
      </c>
      <c r="GN57" s="9" t="n">
        <v>3.89</v>
      </c>
      <c r="GO57" s="9" t="n">
        <v>1.2</v>
      </c>
      <c r="GP57" s="9" t="n">
        <v>30.88</v>
      </c>
      <c r="GQ57" s="9" t="n">
        <v>2.83</v>
      </c>
      <c r="GR57" s="9" t="n">
        <v>0.74</v>
      </c>
      <c r="GS57" s="9" t="n">
        <v>26.26</v>
      </c>
      <c r="GT57" s="9" t="n">
        <v>0.09</v>
      </c>
      <c r="GU57" s="9" t="n">
        <v>0.06</v>
      </c>
      <c r="GV57" s="9" t="n">
        <v>66.67</v>
      </c>
      <c r="GW57" s="9" t="n">
        <v>12.31</v>
      </c>
      <c r="GX57" s="9" t="n">
        <v>4.14</v>
      </c>
      <c r="GY57" s="9" t="n">
        <v>33.64</v>
      </c>
      <c r="GZ57" s="9" t="n">
        <v>3.94</v>
      </c>
      <c r="HA57" s="9" t="n">
        <v>5.43</v>
      </c>
      <c r="HB57" s="9" t="n">
        <v>20.31</v>
      </c>
      <c r="HC57" s="9" t="n">
        <v>3.89</v>
      </c>
      <c r="HD57" s="9" t="n">
        <v>7.06</v>
      </c>
      <c r="HE57" s="9" t="n">
        <v>15.71</v>
      </c>
      <c r="HF57" s="9" t="n">
        <v>61.54</v>
      </c>
      <c r="HG57" s="9" t="n">
        <v>24.74</v>
      </c>
      <c r="HH57" s="9" t="n">
        <v>40.2</v>
      </c>
      <c r="HI57" s="9" t="n">
        <v>3.37</v>
      </c>
      <c r="HJ57" s="9" t="n">
        <v>1.71</v>
      </c>
      <c r="HK57" s="9" t="n">
        <v>12.26</v>
      </c>
      <c r="HL57" s="9" t="n">
        <v>4.69</v>
      </c>
      <c r="HM57" s="9" t="n">
        <v>38.23</v>
      </c>
      <c r="HN57" s="9" t="n">
        <v>63.37</v>
      </c>
      <c r="HO57" s="9" t="n">
        <v>38.26</v>
      </c>
      <c r="HP57" s="9" t="n">
        <v>60.37</v>
      </c>
      <c r="HQ57" s="9" t="n">
        <v>37.2</v>
      </c>
      <c r="HR57" s="9" t="n">
        <v>17.54</v>
      </c>
      <c r="HS57" s="9" t="n">
        <v>47.16</v>
      </c>
      <c r="HT57" s="9" t="n">
        <v>3.94</v>
      </c>
      <c r="HU57" s="9" t="n">
        <v>1.63</v>
      </c>
      <c r="HV57" s="9" t="n">
        <v>41.3</v>
      </c>
      <c r="HW57" s="9" t="n">
        <v>39.83</v>
      </c>
      <c r="HX57" s="9" t="n">
        <v>14.57</v>
      </c>
      <c r="HY57" s="9" t="n">
        <v>12.8</v>
      </c>
      <c r="HZ57" s="9" t="n">
        <v>2.31</v>
      </c>
      <c r="IA57" s="9" t="n">
        <v>0.09</v>
      </c>
      <c r="IB57" s="9" t="n">
        <v>129</v>
      </c>
      <c r="IC57" s="9" t="n">
        <v>85.56999999999999</v>
      </c>
      <c r="ID57" s="9" t="n">
        <v>66.33</v>
      </c>
      <c r="IE57" s="9" t="n">
        <v>53.23</v>
      </c>
      <c r="IF57" s="9" t="n">
        <v>50.03</v>
      </c>
      <c r="IG57" s="9" t="n">
        <v>93.98999999999999</v>
      </c>
      <c r="IH57" s="9" t="n">
        <v>134.4</v>
      </c>
      <c r="II57" s="9" t="n">
        <v>118.29</v>
      </c>
      <c r="IJ57" s="9" t="n">
        <v>88.01000000000001</v>
      </c>
      <c r="IK57" s="9" t="n">
        <v>52.34</v>
      </c>
      <c r="IL57" s="9" t="n">
        <v>26.11</v>
      </c>
      <c r="IM57" s="9" t="n">
        <v>49.89</v>
      </c>
      <c r="IN57" s="9" t="n">
        <v>49.63</v>
      </c>
      <c r="IO57" s="9" t="n">
        <v>28.34</v>
      </c>
      <c r="IP57" s="9" t="n">
        <v>57.11</v>
      </c>
      <c r="IQ57" s="9" t="n">
        <v>66.48999999999999</v>
      </c>
      <c r="IR57" s="9" t="n">
        <v>45.06</v>
      </c>
      <c r="IS57" s="9" t="n">
        <v>67.77</v>
      </c>
      <c r="IT57" s="33">
        <f>PERCENTRANK(IS$2:INDEX($IS:$IS,LOOKUP(2,1/(ISNUMBER($A$2:$A$1048576)),ROW($A$2:$A$1048576))),IS57)</f>
        <v/>
      </c>
      <c r="IU57" s="39">
        <f>1-(IS57-IS$106)/IS$107</f>
        <v/>
      </c>
      <c r="IV57" s="9" t="n">
        <v>3.8</v>
      </c>
      <c r="IW57" s="9" t="n">
        <v>1.4</v>
      </c>
      <c r="IX57" s="9" t="n">
        <v>36.84</v>
      </c>
      <c r="IY57" s="9" t="n">
        <v>21.46</v>
      </c>
      <c r="IZ57" s="9" t="n">
        <v>19.03</v>
      </c>
      <c r="JA57" s="9" t="n">
        <v>88.68000000000001</v>
      </c>
      <c r="JB57" s="9" t="n">
        <v>7.31</v>
      </c>
      <c r="JC57" s="9" t="n">
        <v>15.8</v>
      </c>
      <c r="JD57" s="9" t="n">
        <v>3.53</v>
      </c>
      <c r="JE57" s="9" t="n">
        <v>15.15</v>
      </c>
      <c r="JF57" s="9" t="n">
        <v>17.2</v>
      </c>
      <c r="JG57" s="9" t="n">
        <v>21.38</v>
      </c>
      <c r="JH57" s="9" t="n">
        <v>13.85</v>
      </c>
    </row>
    <row r="58">
      <c r="A58" s="12" t="n">
        <v>2025</v>
      </c>
      <c r="B58" s="31" t="inlineStr">
        <is>
          <t>Charleston Battery</t>
        </is>
      </c>
      <c r="C58" s="12" t="n">
        <v>62</v>
      </c>
      <c r="D58" s="5">
        <f>(C58-AVERAGE($C$2:INDEX($C:$C,LOOKUP(2,1/(ISNUMBER($A$2:$A$1048576)),ROW($A$2:$A$1048576)))))/_xlfn.STDEV.P($C$2:INDEX($C:$C,LOOKUP(2,1/(ISNUMBER($A$2:$A$1048576)),ROW($A$2:$A$1048576))))</f>
        <v/>
      </c>
      <c r="E58" s="12" t="n">
        <v>2</v>
      </c>
      <c r="F58" s="6">
        <f>-E58</f>
        <v/>
      </c>
      <c r="G58" s="7">
        <f>(F58-AVERAGE($F$2:INDEX($F:$F,LOOKUP(2,1/(ISNUMBER($A$2:$A$1048576)),ROW($A$2:$A$1048576)))))/_xlfn.STDEV.P($F$2:INDEX($F:$F,LOOKUP(2,1/(ISNUMBER($A$2:$A$1048576)),ROW($A$2:$A$1048576))))</f>
        <v/>
      </c>
      <c r="H58" s="32">
        <f>sum(0.5*D58)+(0.5*G58)</f>
        <v/>
      </c>
      <c r="I58" s="12" t="inlineStr">
        <is>
          <t>East</t>
        </is>
      </c>
      <c r="J58" s="10">
        <f>sum(L58*L$105)+(N58*N$105)+(P58*P$105)+(T58*R$105)</f>
        <v/>
      </c>
      <c r="K58" s="33">
        <f>PERCENTRANK(J$2:INDEX($J:$J,LOOKUP(2,1/(ISNUMBER($A$2:$A$1048576)),ROW($A$2:$A$1048576))),J58)</f>
        <v/>
      </c>
      <c r="L58" s="10">
        <f>sum(AA58*0.66)+(AD58*0.55)+(AG58*0.59)+(CG58*0.51)+(CL58*0.6)+(EY58*0.31)</f>
        <v/>
      </c>
      <c r="M58" s="33">
        <f>PERCENTRANK(L$2:INDEX($L:$L,LOOKUP(2,1/(ISNUMBER($A$2:$A$1048576)),ROW($A$2:$A$1048576))),L58)</f>
        <v/>
      </c>
      <c r="N58" s="10">
        <f>sum(CT58*0.57)+(CW58*0.71)+(DJ58*0.08)+(FC58*0.33)+(FG58*0.69)+(FM58*0.26)+(IU58*0.54)+(AU58*0.4)</f>
        <v/>
      </c>
      <c r="O58" s="33">
        <f>PERCENTRANK(N$2:INDEX($N:$N,LOOKUP(2,1/(ISNUMBER($A$2:$A$1048576)),ROW($A$2:$A$1048576))),N58)</f>
        <v/>
      </c>
      <c r="P58" s="10">
        <f>sum(BG58*0.51)+(CD58*0.51)+(DR58*0.11)+(EF58*0.42)+(EK58*0.44)+(W58*0.6)</f>
        <v/>
      </c>
      <c r="Q58" s="33">
        <f>PERCENTRANK(P$2:INDEX($P:$P,LOOKUP(2,1/(ISNUMBER($A$2:$A$1048576)),ROW($A$2:$A$1048576))),P58)</f>
        <v/>
      </c>
      <c r="R58" s="10">
        <f>sum(Y58-FE58)</f>
        <v/>
      </c>
      <c r="S58" s="33">
        <f>PERCENTRANK(R$2:INDEX($R:$R,LOOKUP(2,1/(ISNUMBER($A$2:$A$1048576)),ROW($A$2:$A$1048576))),R58)</f>
        <v/>
      </c>
      <c r="T58" s="34">
        <f>sum(R58-R$106)/R$107</f>
        <v/>
      </c>
      <c r="U58" s="35">
        <f>sum(Y58/AI58)*100</f>
        <v/>
      </c>
      <c r="V58" s="33">
        <f>PERCENTRANK(U$2:INDEX($U:$U,LOOKUP(2,1/(ISNUMBER($A$2:$A$1048576)),ROW($A$2:$A$1048576))),U58)</f>
        <v/>
      </c>
      <c r="W58" s="36">
        <f>sum(U58-U$106)/U$107</f>
        <v/>
      </c>
      <c r="X58" s="9" t="n">
        <v>1.9</v>
      </c>
      <c r="Y58" s="9" t="n">
        <v>1.6</v>
      </c>
      <c r="Z58" s="33">
        <f>PERCENTRANK(Y$2:INDEX($Y:$Y,LOOKUP(2,1/(ISNUMBER($A$2:$A$1048576)),ROW($A$2:$A$1048576))),Y58)</f>
        <v/>
      </c>
      <c r="AA58" s="37">
        <f>sum(Y58-Y$106)/Y$107</f>
        <v/>
      </c>
      <c r="AB58" s="9" t="n">
        <v>12.93</v>
      </c>
      <c r="AC58" s="33">
        <f>PERCENTRANK(AB$2:INDEX($AB:$AB,LOOKUP(2,1/(ISNUMBER($A$2:$A$1048576)),ROW($A$2:$A$1048576))),AB58)</f>
        <v/>
      </c>
      <c r="AD58" s="38">
        <f>sum(AB58-AB$106)/AB$107</f>
        <v/>
      </c>
      <c r="AE58" s="9" t="n">
        <v>5.23</v>
      </c>
      <c r="AF58" s="33">
        <f>PERCENTRANK(AE$2:INDEX($AE:$AE,LOOKUP(2,1/(ISNUMBER($A$2:$A$1048576)),ROW($A$2:$A$1048576))),AE58)</f>
        <v/>
      </c>
      <c r="AG58" s="38">
        <f>sum(AE58-AE$106)/AE$107</f>
        <v/>
      </c>
      <c r="AH58" s="9" t="n">
        <v>40.46</v>
      </c>
      <c r="AI58" s="9" t="n">
        <v>494.37</v>
      </c>
      <c r="AJ58" s="9" t="n">
        <v>425.7</v>
      </c>
      <c r="AK58" s="9" t="n">
        <v>86.11</v>
      </c>
      <c r="AL58" s="9" t="n">
        <v>59.61</v>
      </c>
      <c r="AM58" s="9" t="n">
        <v>102.6</v>
      </c>
      <c r="AN58" s="9" t="n">
        <v>18.6</v>
      </c>
      <c r="AO58" s="9" t="n">
        <v>35.37</v>
      </c>
      <c r="AP58" s="9" t="n">
        <v>48.63</v>
      </c>
      <c r="AQ58" s="9" t="n">
        <v>74.5</v>
      </c>
      <c r="AR58" s="9" t="n">
        <v>33.23</v>
      </c>
      <c r="AS58" s="9" t="n">
        <v>30.47</v>
      </c>
      <c r="AT58" s="33">
        <f>PERCENTRANK(AS$2:INDEX($AS:$AS,LOOKUP(2,1/(ISNUMBER($A$2:$A$1048576)),ROW($A$2:$A$1048576))),AS58)</f>
        <v/>
      </c>
      <c r="AU58" s="39">
        <f>SUM(AS58-AS$106)/AS$107</f>
        <v/>
      </c>
      <c r="AV58" s="9" t="n">
        <v>10.8</v>
      </c>
      <c r="AW58" s="33">
        <f>PERCENTRANK(AV$2:INDEX($AV:$AV,LOOKUP(2,1/(ISNUMBER($A$2:$A$1048576)),ROW($A$2:$A$1048576))),AV58)</f>
        <v/>
      </c>
      <c r="AX58" s="9" t="n">
        <v>173.4</v>
      </c>
      <c r="AY58" s="9" t="n">
        <v>82.67</v>
      </c>
      <c r="AZ58" s="9" t="n">
        <v>47.67</v>
      </c>
      <c r="BA58" s="9" t="n">
        <v>5.83</v>
      </c>
      <c r="BB58" s="9" t="n">
        <v>1.8</v>
      </c>
      <c r="BC58" s="9" t="n">
        <v>30.86</v>
      </c>
      <c r="BD58" s="9" t="n">
        <v>26.57</v>
      </c>
      <c r="BE58" s="9" t="n">
        <v>7.8</v>
      </c>
      <c r="BF58" s="33">
        <f>PERCENTRANK(BE$2:INDEX($BE:$BE,LOOKUP(2,1/(ISNUMBER($A$2:$A$1048576)),ROW($A$2:$A$1048576))),BE58)</f>
        <v/>
      </c>
      <c r="BG58" s="40">
        <f>sum(BE58-BE$106)/BE$107</f>
        <v/>
      </c>
      <c r="BH58" s="9" t="n">
        <v>29.36</v>
      </c>
      <c r="BI58" s="9" t="n">
        <v>0.8</v>
      </c>
      <c r="BJ58" s="9" t="n">
        <v>0.4</v>
      </c>
      <c r="BK58" s="9" t="n">
        <v>50</v>
      </c>
      <c r="BL58" s="9" t="n">
        <v>28.2</v>
      </c>
      <c r="BM58" s="9" t="n">
        <v>3.73</v>
      </c>
      <c r="BN58" s="9" t="n">
        <v>13.24</v>
      </c>
      <c r="BO58" s="9" t="n">
        <v>4.87</v>
      </c>
      <c r="BP58" s="9" t="n">
        <v>1.4</v>
      </c>
      <c r="BQ58" s="9" t="n">
        <v>28.77</v>
      </c>
      <c r="BR58" s="9" t="n">
        <v>2.17</v>
      </c>
      <c r="BS58" s="9" t="n">
        <v>0.53</v>
      </c>
      <c r="BT58" s="9" t="n">
        <v>24.62</v>
      </c>
      <c r="BU58" s="9" t="n">
        <v>0.33</v>
      </c>
      <c r="BV58" s="9" t="n">
        <v>0.3</v>
      </c>
      <c r="BW58" s="9" t="n">
        <v>90</v>
      </c>
      <c r="BX58" s="9" t="n">
        <v>12.07</v>
      </c>
      <c r="BY58" s="9" t="n">
        <v>4.2</v>
      </c>
      <c r="BZ58" s="9" t="n">
        <v>34.81</v>
      </c>
      <c r="CA58" s="9" t="n">
        <v>4.1</v>
      </c>
      <c r="CB58" s="9" t="n">
        <v>8.300000000000001</v>
      </c>
      <c r="CC58" s="33">
        <f>PERCENTRANK(CD$2:INDEX($CD:$CD,LOOKUP(2,1/(ISNUMBER($A$2:$A$1048576)),ROW($A$2:$A$1048576))),CD58)</f>
        <v/>
      </c>
      <c r="CD58" s="40">
        <f>sum(CB58-CB$106)/CB$107</f>
        <v/>
      </c>
      <c r="CE58" s="9" t="n">
        <v>22.63</v>
      </c>
      <c r="CF58" s="33">
        <f>PERCENTRANK(CE$2:INDEX($CE:$CE,LOOKUP(2,1/(ISNUMBER($A$2:$A$1048576)),ROW($A$2:$A$1048576))),CE58)</f>
        <v/>
      </c>
      <c r="CG58" s="38">
        <f>sum(CE58-CE$106)/CE$107</f>
        <v/>
      </c>
      <c r="CH58" s="9" t="n">
        <v>2.9</v>
      </c>
      <c r="CI58" s="9" t="n">
        <v>7.8</v>
      </c>
      <c r="CJ58" s="9" t="n">
        <v>15.43</v>
      </c>
      <c r="CK58" s="33">
        <f>PERCENTRANK(CJ$2:INDEX($CJ:$CJ,LOOKUP(2,1/(ISNUMBER($A$2:$A$1048576)),ROW($A$2:$A$1048576))),CJ58)</f>
        <v/>
      </c>
      <c r="CL58" s="38">
        <f>sum(CJ58-CJ$106)/CJ$107</f>
        <v/>
      </c>
      <c r="CM58" s="9" t="n">
        <v>62.13</v>
      </c>
      <c r="CN58" s="9" t="n">
        <v>24.17</v>
      </c>
      <c r="CO58" s="9" t="n">
        <v>38.89</v>
      </c>
      <c r="CP58" s="9" t="n">
        <v>1.43</v>
      </c>
      <c r="CQ58" s="9" t="n">
        <v>1.07</v>
      </c>
      <c r="CR58" s="9" t="n">
        <v>9.630000000000001</v>
      </c>
      <c r="CS58" s="33">
        <f>PERCENTRANK(CR$2:INDEX($CR:$CR,LOOKUP(2,1/(ISNUMBER($A$2:$A$1048576)),ROW($A$2:$A$1048576))),CR58)</f>
        <v/>
      </c>
      <c r="CT58" s="39">
        <f>1-(CR58-CR$106)/CR$107</f>
        <v/>
      </c>
      <c r="CU58" s="9" t="n">
        <v>3.47</v>
      </c>
      <c r="CV58" s="33">
        <f>PERCENTRANK(CU$2:INDEX($CU:$CU,LOOKUP(2,1/(ISNUMBER($A$2:$A$1048576)),ROW($A$2:$A$1048576))),CU58)</f>
        <v/>
      </c>
      <c r="CW58" s="39">
        <f>1-(CU58-CU$106)/CU$107</f>
        <v/>
      </c>
      <c r="CX58" s="9" t="n">
        <v>35.99</v>
      </c>
      <c r="CY58" s="9" t="n">
        <v>55.87</v>
      </c>
      <c r="CZ58" s="9" t="n">
        <v>34.33</v>
      </c>
      <c r="DA58" s="9" t="n">
        <v>61.46</v>
      </c>
      <c r="DB58" s="9" t="n">
        <v>32.93</v>
      </c>
      <c r="DC58" s="9" t="n">
        <v>15.2</v>
      </c>
      <c r="DD58" s="9" t="n">
        <v>46.15</v>
      </c>
      <c r="DE58" s="9" t="n">
        <v>1.6</v>
      </c>
      <c r="DF58" s="9" t="n">
        <v>0.8</v>
      </c>
      <c r="DG58" s="9" t="n">
        <v>50</v>
      </c>
      <c r="DH58" s="9" t="n">
        <v>34.43</v>
      </c>
      <c r="DI58" s="33">
        <f>PERCENTRANK(DH$2:INDEX($DH:$DH,LOOKUP(2,1/(ISNUMBER($A$2:$A$1048576)),ROW($A$2:$A$1048576))),DH58)</f>
        <v/>
      </c>
      <c r="DJ58" s="39">
        <f>SUM(DH58-DH$106)/DH$107</f>
        <v/>
      </c>
      <c r="DK58" s="9" t="n">
        <v>13.93</v>
      </c>
      <c r="DL58" s="9" t="n">
        <v>13.03</v>
      </c>
      <c r="DM58" s="9" t="n">
        <v>2.3</v>
      </c>
      <c r="DN58" s="9" t="n">
        <v>0.1</v>
      </c>
      <c r="DO58" s="9" t="n">
        <v>154.83</v>
      </c>
      <c r="DP58" s="9" t="n">
        <v>117.53</v>
      </c>
      <c r="DQ58" s="33">
        <f>PERCENTRANK(DP$2:INDEX($DP:$DP,LOOKUP(2,1/(ISNUMBER($A$2:$A$1048576)),ROW($A$2:$A$1048576))),DP58)</f>
        <v/>
      </c>
      <c r="DR58" s="40">
        <f>sum(DP58-DP$106)/DP$107</f>
        <v/>
      </c>
      <c r="DS58" s="9" t="n">
        <v>75.91</v>
      </c>
      <c r="DT58" s="9" t="n">
        <v>73.77</v>
      </c>
      <c r="DU58" s="9" t="n">
        <v>69.40000000000001</v>
      </c>
      <c r="DV58" s="9" t="n">
        <v>94.08</v>
      </c>
      <c r="DW58" s="9" t="n">
        <v>200.73</v>
      </c>
      <c r="DX58" s="9" t="n">
        <v>185</v>
      </c>
      <c r="DY58" s="9" t="n">
        <v>92.16</v>
      </c>
      <c r="DZ58" s="9" t="n">
        <v>49.13</v>
      </c>
      <c r="EA58" s="9" t="n">
        <v>28.9</v>
      </c>
      <c r="EB58" s="9" t="n">
        <v>58.82</v>
      </c>
      <c r="EC58" s="9" t="n">
        <v>59.5</v>
      </c>
      <c r="ED58" s="9" t="n">
        <v>41.5</v>
      </c>
      <c r="EE58" s="33">
        <f>PERCENTRANK(ED$2:INDEX($ED:$ED,LOOKUP(2,1/(ISNUMBER($A$2:$A$1048576)),ROW($A$2:$A$1048576))),ED58)</f>
        <v/>
      </c>
      <c r="EF58" s="40">
        <f>sum(ED58-ED$106)/ED$107</f>
        <v/>
      </c>
      <c r="EG58" s="9" t="n">
        <v>69.75</v>
      </c>
      <c r="EH58" s="9" t="n">
        <v>77.47</v>
      </c>
      <c r="EI58" s="9" t="n">
        <v>58.97</v>
      </c>
      <c r="EJ58" s="33">
        <f>PERCENTRANK(EI$2:INDEX($EI:$EI,LOOKUP(2,1/(ISNUMBER($A$2:$A$1048576)),ROW($A$2:$A$1048576))),EI58)</f>
        <v/>
      </c>
      <c r="EK58" s="40">
        <f>sum(EI58-EI$106)/EI$107</f>
        <v/>
      </c>
      <c r="EL58" s="9" t="n">
        <v>76.12</v>
      </c>
      <c r="EM58" s="9" t="n">
        <v>1.5</v>
      </c>
      <c r="EN58" s="9" t="n">
        <v>0.87</v>
      </c>
      <c r="EO58" s="9" t="n">
        <v>57.78</v>
      </c>
      <c r="EP58" s="9" t="n">
        <v>18.4</v>
      </c>
      <c r="EQ58" s="9" t="n">
        <v>16.5</v>
      </c>
      <c r="ER58" s="9" t="n">
        <v>89.67</v>
      </c>
      <c r="ES58" s="9" t="n">
        <v>6.9</v>
      </c>
      <c r="ET58" s="9" t="n">
        <v>16.04</v>
      </c>
      <c r="EU58" s="9" t="n">
        <v>4.93</v>
      </c>
      <c r="EV58" s="9" t="n">
        <v>10.27</v>
      </c>
      <c r="EW58" s="9" t="n">
        <v>19.29</v>
      </c>
      <c r="EX58" s="33">
        <f>PERCENTRANK(EW$2:INDEX($EW:$EW,LOOKUP(2,1/(ISNUMBER($A$2:$A$1048576)),ROW($A$2:$A$1048576))),EW58)</f>
        <v/>
      </c>
      <c r="EY58" s="38">
        <f>1-(EW58-EW$106)/EW$107</f>
        <v/>
      </c>
      <c r="EZ58" s="9" t="n">
        <v>20</v>
      </c>
      <c r="FA58" s="9" t="n">
        <v>9.57</v>
      </c>
      <c r="FB58" s="33">
        <f>PERCENTRANK(FA$2:INDEX($FA:$FA,LOOKUP(2,1/(ISNUMBER($A$2:$A$1048576)),ROW($A$2:$A$1048576))),FA58)</f>
        <v/>
      </c>
      <c r="FC58" s="39">
        <f>1-(FA58-FA$106)/FA$107</f>
        <v/>
      </c>
      <c r="FD58" s="9" t="n">
        <v>1.07</v>
      </c>
      <c r="FE58" s="9" t="n">
        <v>1.19</v>
      </c>
      <c r="FF58" s="33">
        <f>PERCENTRANK(FE$2:INDEX($FE:$FE,LOOKUP(2,1/(ISNUMBER($A$2:$A$1048576)),ROW($A$2:$A$1048576))),FE58)</f>
        <v/>
      </c>
      <c r="FG58" s="39">
        <f>1-(FE58-FE$106)/FE$107</f>
        <v/>
      </c>
      <c r="FH58" s="9" t="n">
        <v>9.630000000000001</v>
      </c>
      <c r="FI58" s="9" t="n">
        <v>3.17</v>
      </c>
      <c r="FJ58" s="9" t="n">
        <v>32.87</v>
      </c>
      <c r="FK58" s="9" t="n">
        <v>335.77</v>
      </c>
      <c r="FL58" s="33">
        <f>PERCENTRANK(FK$2:INDEX($FK:$FK,LOOKUP(2,1/(ISNUMBER($A$2:$A$1048576)),ROW($A$2:$A$1048576))),FK58)</f>
        <v/>
      </c>
      <c r="FM58" s="39">
        <f>SWA57-(FK58-FK$106)/FK$107</f>
        <v/>
      </c>
      <c r="FN58" s="9" t="n">
        <v>267.7</v>
      </c>
      <c r="FO58" s="9" t="n">
        <v>79.73</v>
      </c>
      <c r="FP58" s="9" t="n">
        <v>40.39</v>
      </c>
      <c r="FQ58" s="9" t="n">
        <v>100.33</v>
      </c>
      <c r="FR58" s="9" t="n">
        <v>17.6</v>
      </c>
      <c r="FS58" s="9" t="n">
        <v>37.77</v>
      </c>
      <c r="FT58" s="9" t="n">
        <v>44.97</v>
      </c>
      <c r="FU58" s="9" t="n">
        <v>72.59999999999999</v>
      </c>
      <c r="FV58" s="9" t="n">
        <v>34.4</v>
      </c>
      <c r="FW58" s="9" t="n">
        <v>27.67</v>
      </c>
      <c r="FX58" s="9" t="n">
        <v>10.53</v>
      </c>
      <c r="FY58" s="9" t="n">
        <v>173.4</v>
      </c>
      <c r="FZ58" s="9" t="n">
        <v>83.87</v>
      </c>
      <c r="GA58" s="9" t="n">
        <v>48.37</v>
      </c>
      <c r="GB58" s="9" t="n">
        <v>4.2</v>
      </c>
      <c r="GC58" s="9" t="n">
        <v>1.07</v>
      </c>
      <c r="GD58" s="9" t="n">
        <v>25.4</v>
      </c>
      <c r="GE58" s="9" t="n">
        <v>23.7</v>
      </c>
      <c r="GF58" s="9" t="n">
        <v>6.13</v>
      </c>
      <c r="GG58" s="9" t="n">
        <v>25.88</v>
      </c>
      <c r="GH58" s="9" t="n">
        <v>0.47</v>
      </c>
      <c r="GI58" s="9" t="n">
        <v>0.23</v>
      </c>
      <c r="GJ58" s="9" t="n">
        <v>50</v>
      </c>
      <c r="GK58" s="9" t="n">
        <v>24.27</v>
      </c>
      <c r="GL58" s="9" t="n">
        <v>2.57</v>
      </c>
      <c r="GM58" s="9" t="n">
        <v>10.58</v>
      </c>
      <c r="GN58" s="9" t="n">
        <v>3.27</v>
      </c>
      <c r="GO58" s="9" t="n">
        <v>0.87</v>
      </c>
      <c r="GP58" s="9" t="n">
        <v>26.53</v>
      </c>
      <c r="GQ58" s="9" t="n">
        <v>2.8</v>
      </c>
      <c r="GR58" s="9" t="n">
        <v>0.53</v>
      </c>
      <c r="GS58" s="9" t="n">
        <v>19.05</v>
      </c>
      <c r="GT58" s="9" t="n">
        <v>0.2</v>
      </c>
      <c r="GU58" s="9" t="n">
        <v>0.17</v>
      </c>
      <c r="GV58" s="9" t="n">
        <v>83.33</v>
      </c>
      <c r="GW58" s="9" t="n">
        <v>11.5</v>
      </c>
      <c r="GX58" s="9" t="n">
        <v>3.7</v>
      </c>
      <c r="GY58" s="9" t="n">
        <v>32.17</v>
      </c>
      <c r="GZ58" s="9" t="n">
        <v>3.63</v>
      </c>
      <c r="HA58" s="9" t="n">
        <v>5.13</v>
      </c>
      <c r="HB58" s="9" t="n">
        <v>19.57</v>
      </c>
      <c r="HC58" s="9" t="n">
        <v>2.63</v>
      </c>
      <c r="HD58" s="9" t="n">
        <v>7.63</v>
      </c>
      <c r="HE58" s="9" t="n">
        <v>13.03</v>
      </c>
      <c r="HF58" s="9" t="n">
        <v>55.9</v>
      </c>
      <c r="HG58" s="9" t="n">
        <v>21.53</v>
      </c>
      <c r="HH58" s="9" t="n">
        <v>38.52</v>
      </c>
      <c r="HI58" s="9" t="n">
        <v>1.57</v>
      </c>
      <c r="HJ58" s="9" t="n">
        <v>1.9</v>
      </c>
      <c r="HK58" s="9" t="n">
        <v>12.93</v>
      </c>
      <c r="HL58" s="9" t="n">
        <v>5.63</v>
      </c>
      <c r="HM58" s="9" t="n">
        <v>43.56</v>
      </c>
      <c r="HN58" s="9" t="n">
        <v>62.1</v>
      </c>
      <c r="HO58" s="9" t="n">
        <v>37.93</v>
      </c>
      <c r="HP58" s="9" t="n">
        <v>61.08</v>
      </c>
      <c r="HQ58" s="9" t="n">
        <v>32.93</v>
      </c>
      <c r="HR58" s="9" t="n">
        <v>14.87</v>
      </c>
      <c r="HS58" s="9" t="n">
        <v>45.14</v>
      </c>
      <c r="HT58" s="9" t="n">
        <v>2.9</v>
      </c>
      <c r="HU58" s="9" t="n">
        <v>1.5</v>
      </c>
      <c r="HV58" s="9" t="n">
        <v>51.72</v>
      </c>
      <c r="HW58" s="9" t="n">
        <v>35.3</v>
      </c>
      <c r="HX58" s="9" t="n">
        <v>11.87</v>
      </c>
      <c r="HY58" s="9" t="n">
        <v>15.8</v>
      </c>
      <c r="HZ58" s="9" t="n">
        <v>2.43</v>
      </c>
      <c r="IA58" s="9" t="n">
        <v>0.07000000000000001</v>
      </c>
      <c r="IB58" s="9" t="n">
        <v>121.83</v>
      </c>
      <c r="IC58" s="9" t="n">
        <v>82.90000000000001</v>
      </c>
      <c r="ID58" s="9" t="n">
        <v>68.04000000000001</v>
      </c>
      <c r="IE58" s="9" t="n">
        <v>50.67</v>
      </c>
      <c r="IF58" s="9" t="n">
        <v>46.9</v>
      </c>
      <c r="IG58" s="9" t="n">
        <v>92.56999999999999</v>
      </c>
      <c r="IH58" s="9" t="n">
        <v>112.5</v>
      </c>
      <c r="II58" s="9" t="n">
        <v>96.7</v>
      </c>
      <c r="IJ58" s="9" t="n">
        <v>85.95999999999999</v>
      </c>
      <c r="IK58" s="9" t="n">
        <v>45.37</v>
      </c>
      <c r="IL58" s="9" t="n">
        <v>21.93</v>
      </c>
      <c r="IM58" s="9" t="n">
        <v>48.35</v>
      </c>
      <c r="IN58" s="9" t="n">
        <v>45.43</v>
      </c>
      <c r="IO58" s="9" t="n">
        <v>27.5</v>
      </c>
      <c r="IP58" s="9" t="n">
        <v>60.53</v>
      </c>
      <c r="IQ58" s="9" t="n">
        <v>60.73</v>
      </c>
      <c r="IR58" s="9" t="n">
        <v>39.77</v>
      </c>
      <c r="IS58" s="9" t="n">
        <v>65.48</v>
      </c>
      <c r="IT58" s="33">
        <f>PERCENTRANK(IS$2:INDEX($IS:$IS,LOOKUP(2,1/(ISNUMBER($A$2:$A$1048576)),ROW($A$2:$A$1048576))),IS58)</f>
        <v/>
      </c>
      <c r="IU58" s="39">
        <f>1-(IS58-IS$106)/IS$107</f>
        <v/>
      </c>
      <c r="IV58" s="9" t="n">
        <v>0.53</v>
      </c>
      <c r="IW58" s="9" t="n">
        <v>0.17</v>
      </c>
      <c r="IX58" s="9" t="n">
        <v>31.25</v>
      </c>
      <c r="IY58" s="9" t="n">
        <v>17.6</v>
      </c>
      <c r="IZ58" s="9" t="n">
        <v>15.13</v>
      </c>
      <c r="JA58" s="9" t="n">
        <v>85.98</v>
      </c>
      <c r="JB58" s="9" t="n">
        <v>7.77</v>
      </c>
      <c r="JC58" s="9" t="n">
        <v>15.92</v>
      </c>
      <c r="JD58" s="9" t="n">
        <v>3.49</v>
      </c>
      <c r="JE58" s="9" t="n">
        <v>14.3</v>
      </c>
      <c r="JF58" s="9" t="n">
        <v>18.6</v>
      </c>
      <c r="JG58" s="9" t="n">
        <v>20.06</v>
      </c>
      <c r="JH58" s="9" t="n">
        <v>14.03</v>
      </c>
    </row>
    <row r="59">
      <c r="A59" s="12" t="n">
        <v>2025</v>
      </c>
      <c r="B59" s="31" t="inlineStr">
        <is>
          <t>Tampa Bay Rowdies</t>
        </is>
      </c>
      <c r="C59" s="12" t="n">
        <v>34</v>
      </c>
      <c r="D59" s="5">
        <f>(C59-AVERAGE($C$2:INDEX($C:$C,LOOKUP(2,1/(ISNUMBER($A$2:$A$1048576)),ROW($A$2:$A$1048576)))))/_xlfn.STDEV.P($C$2:INDEX($C:$C,LOOKUP(2,1/(ISNUMBER($A$2:$A$1048576)),ROW($A$2:$A$1048576))))</f>
        <v/>
      </c>
      <c r="E59" s="12" t="n">
        <v>10</v>
      </c>
      <c r="F59" s="6">
        <f>-E59</f>
        <v/>
      </c>
      <c r="G59" s="7">
        <f>(F59-AVERAGE($F$2:INDEX($F:$F,LOOKUP(2,1/(ISNUMBER($A$2:$A$1048576)),ROW($A$2:$A$1048576)))))/_xlfn.STDEV.P($F$2:INDEX($F:$F,LOOKUP(2,1/(ISNUMBER($A$2:$A$1048576)),ROW($A$2:$A$1048576))))</f>
        <v/>
      </c>
      <c r="H59" s="32">
        <f>sum(0.5*D59)+(0.5*G59)</f>
        <v/>
      </c>
      <c r="I59" s="12" t="inlineStr">
        <is>
          <t>East</t>
        </is>
      </c>
      <c r="J59" s="10">
        <f>sum(L59*L$105)+(N59*N$105)+(P59*P$105)+(T59*R$105)</f>
        <v/>
      </c>
      <c r="K59" s="33">
        <f>PERCENTRANK(J$2:INDEX($J:$J,LOOKUP(2,1/(ISNUMBER($A$2:$A$1048576)),ROW($A$2:$A$1048576))),J59)</f>
        <v/>
      </c>
      <c r="L59" s="10">
        <f>sum(AA59*0.66)+(AD59*0.55)+(AG59*0.59)+(CG59*0.51)+(CL59*0.6)+(EY59*0.31)</f>
        <v/>
      </c>
      <c r="M59" s="33">
        <f>PERCENTRANK(L$2:INDEX($L:$L,LOOKUP(2,1/(ISNUMBER($A$2:$A$1048576)),ROW($A$2:$A$1048576))),L59)</f>
        <v/>
      </c>
      <c r="N59" s="10">
        <f>sum(CT59*0.57)+(CW59*0.71)+(DJ59*0.08)+(FC59*0.33)+(FG59*0.69)+(FM59*0.26)+(IU59*0.54)+(AU59*0.4)</f>
        <v/>
      </c>
      <c r="O59" s="33">
        <f>PERCENTRANK(N$2:INDEX($N:$N,LOOKUP(2,1/(ISNUMBER($A$2:$A$1048576)),ROW($A$2:$A$1048576))),N59)</f>
        <v/>
      </c>
      <c r="P59" s="10">
        <f>sum(BG59*0.51)+(CD59*0.51)+(DR59*0.11)+(EF59*0.42)+(EK59*0.44)+(W59*0.6)</f>
        <v/>
      </c>
      <c r="Q59" s="33">
        <f>PERCENTRANK(P$2:INDEX($P:$P,LOOKUP(2,1/(ISNUMBER($A$2:$A$1048576)),ROW($A$2:$A$1048576))),P59)</f>
        <v/>
      </c>
      <c r="R59" s="10">
        <f>sum(Y59-FE59)</f>
        <v/>
      </c>
      <c r="S59" s="33">
        <f>PERCENTRANK(R$2:INDEX($R:$R,LOOKUP(2,1/(ISNUMBER($A$2:$A$1048576)),ROW($A$2:$A$1048576))),R59)</f>
        <v/>
      </c>
      <c r="T59" s="34">
        <f>sum(R59-R$106)/R$107</f>
        <v/>
      </c>
      <c r="U59" s="35">
        <f>sum(Y59/AI59)*100</f>
        <v/>
      </c>
      <c r="V59" s="33">
        <f>PERCENTRANK(U$2:INDEX($U:$U,LOOKUP(2,1/(ISNUMBER($A$2:$A$1048576)),ROW($A$2:$A$1048576))),U59)</f>
        <v/>
      </c>
      <c r="W59" s="36">
        <f>sum(U59-U$106)/U$107</f>
        <v/>
      </c>
      <c r="X59" s="9" t="n">
        <v>1.43</v>
      </c>
      <c r="Y59" s="9" t="n">
        <v>1.14</v>
      </c>
      <c r="Z59" s="33">
        <f>PERCENTRANK(Y$2:INDEX($Y:$Y,LOOKUP(2,1/(ISNUMBER($A$2:$A$1048576)),ROW($A$2:$A$1048576))),Y59)</f>
        <v/>
      </c>
      <c r="AA59" s="37">
        <f>sum(Y59-Y$106)/Y$107</f>
        <v/>
      </c>
      <c r="AB59" s="9" t="n">
        <v>10.23</v>
      </c>
      <c r="AC59" s="33">
        <f>PERCENTRANK(AB$2:INDEX($AB:$AB,LOOKUP(2,1/(ISNUMBER($A$2:$A$1048576)),ROW($A$2:$A$1048576))),AB59)</f>
        <v/>
      </c>
      <c r="AD59" s="38">
        <f>sum(AB59-AB$106)/AB$107</f>
        <v/>
      </c>
      <c r="AE59" s="9" t="n">
        <v>3.63</v>
      </c>
      <c r="AF59" s="33">
        <f>PERCENTRANK(AE$2:INDEX($AE:$AE,LOOKUP(2,1/(ISNUMBER($A$2:$A$1048576)),ROW($A$2:$A$1048576))),AE59)</f>
        <v/>
      </c>
      <c r="AG59" s="38">
        <f>sum(AE59-AE$106)/AE$107</f>
        <v/>
      </c>
      <c r="AH59" s="9" t="n">
        <v>35.5</v>
      </c>
      <c r="AI59" s="9" t="n">
        <v>403.03</v>
      </c>
      <c r="AJ59" s="9" t="n">
        <v>335.67</v>
      </c>
      <c r="AK59" s="9" t="n">
        <v>83.29000000000001</v>
      </c>
      <c r="AL59" s="9" t="n">
        <v>49.62</v>
      </c>
      <c r="AM59" s="9" t="n">
        <v>103.3</v>
      </c>
      <c r="AN59" s="9" t="n">
        <v>21.43</v>
      </c>
      <c r="AO59" s="9" t="n">
        <v>37.87</v>
      </c>
      <c r="AP59" s="9" t="n">
        <v>44</v>
      </c>
      <c r="AQ59" s="9" t="n">
        <v>72.77</v>
      </c>
      <c r="AR59" s="9" t="n">
        <v>35.6</v>
      </c>
      <c r="AS59" s="9" t="n">
        <v>26.43</v>
      </c>
      <c r="AT59" s="33">
        <f>PERCENTRANK(AS$2:INDEX($AS:$AS,LOOKUP(2,1/(ISNUMBER($A$2:$A$1048576)),ROW($A$2:$A$1048576))),AS59)</f>
        <v/>
      </c>
      <c r="AU59" s="39">
        <f>SUM(AS59-AS$106)/AS$107</f>
        <v/>
      </c>
      <c r="AV59" s="9" t="n">
        <v>10.73</v>
      </c>
      <c r="AW59" s="33">
        <f>PERCENTRANK(AV$2:INDEX($AV:$AV,LOOKUP(2,1/(ISNUMBER($A$2:$A$1048576)),ROW($A$2:$A$1048576))),AV59)</f>
        <v/>
      </c>
      <c r="AX59" s="9" t="n">
        <v>172.07</v>
      </c>
      <c r="AY59" s="9" t="n">
        <v>79.33</v>
      </c>
      <c r="AZ59" s="9" t="n">
        <v>46.11</v>
      </c>
      <c r="BA59" s="9" t="n">
        <v>4.33</v>
      </c>
      <c r="BB59" s="9" t="n">
        <v>1.23</v>
      </c>
      <c r="BC59" s="9" t="n">
        <v>28.46</v>
      </c>
      <c r="BD59" s="9" t="n">
        <v>24.57</v>
      </c>
      <c r="BE59" s="9" t="n">
        <v>6.63</v>
      </c>
      <c r="BF59" s="33">
        <f>PERCENTRANK(BE$2:INDEX($BE:$BE,LOOKUP(2,1/(ISNUMBER($A$2:$A$1048576)),ROW($A$2:$A$1048576))),BE59)</f>
        <v/>
      </c>
      <c r="BG59" s="40">
        <f>sum(BE59-BE$106)/BE$107</f>
        <v/>
      </c>
      <c r="BH59" s="9" t="n">
        <v>27</v>
      </c>
      <c r="BI59" s="9" t="n">
        <v>0.6</v>
      </c>
      <c r="BJ59" s="9" t="n">
        <v>0.27</v>
      </c>
      <c r="BK59" s="9" t="n">
        <v>44.44</v>
      </c>
      <c r="BL59" s="9" t="n">
        <v>25.8</v>
      </c>
      <c r="BM59" s="9" t="n">
        <v>2.87</v>
      </c>
      <c r="BN59" s="9" t="n">
        <v>11.11</v>
      </c>
      <c r="BO59" s="9" t="n">
        <v>4.03</v>
      </c>
      <c r="BP59" s="9" t="n">
        <v>1</v>
      </c>
      <c r="BQ59" s="9" t="n">
        <v>24.79</v>
      </c>
      <c r="BR59" s="9" t="n">
        <v>2.07</v>
      </c>
      <c r="BS59" s="9" t="n">
        <v>0.5</v>
      </c>
      <c r="BT59" s="9" t="n">
        <v>24.19</v>
      </c>
      <c r="BU59" s="9" t="n">
        <v>0.1</v>
      </c>
      <c r="BV59" s="9" t="n">
        <v>0.07000000000000001</v>
      </c>
      <c r="BW59" s="9" t="n">
        <v>66.67</v>
      </c>
      <c r="BX59" s="9" t="n">
        <v>12.67</v>
      </c>
      <c r="BY59" s="9" t="n">
        <v>4.1</v>
      </c>
      <c r="BZ59" s="9" t="n">
        <v>32.37</v>
      </c>
      <c r="CA59" s="9" t="n">
        <v>4.07</v>
      </c>
      <c r="CB59" s="9" t="n">
        <v>5.9</v>
      </c>
      <c r="CC59" s="33">
        <f>PERCENTRANK(CD$2:INDEX($CD:$CD,LOOKUP(2,1/(ISNUMBER($A$2:$A$1048576)),ROW($A$2:$A$1048576))),CD59)</f>
        <v/>
      </c>
      <c r="CD59" s="40">
        <f>sum(CB59-CB$106)/CB$107</f>
        <v/>
      </c>
      <c r="CE59" s="9" t="n">
        <v>19.63</v>
      </c>
      <c r="CF59" s="33">
        <f>PERCENTRANK(CE$2:INDEX($CE:$CE,LOOKUP(2,1/(ISNUMBER($A$2:$A$1048576)),ROW($A$2:$A$1048576))),CE59)</f>
        <v/>
      </c>
      <c r="CG59" s="38">
        <f>sum(CE59-CE$106)/CE$107</f>
        <v/>
      </c>
      <c r="CH59" s="9" t="n">
        <v>2.67</v>
      </c>
      <c r="CI59" s="9" t="n">
        <v>7.8</v>
      </c>
      <c r="CJ59" s="9" t="n">
        <v>13.37</v>
      </c>
      <c r="CK59" s="33">
        <f>PERCENTRANK(CJ$2:INDEX($CJ:$CJ,LOOKUP(2,1/(ISNUMBER($A$2:$A$1048576)),ROW($A$2:$A$1048576))),CJ59)</f>
        <v/>
      </c>
      <c r="CL59" s="38">
        <f>sum(CJ59-CJ$106)/CJ$107</f>
        <v/>
      </c>
      <c r="CM59" s="9" t="n">
        <v>57.77</v>
      </c>
      <c r="CN59" s="9" t="n">
        <v>21.13</v>
      </c>
      <c r="CO59" s="9" t="n">
        <v>36.58</v>
      </c>
      <c r="CP59" s="9" t="n">
        <v>0.97</v>
      </c>
      <c r="CQ59" s="9" t="n">
        <v>1.67</v>
      </c>
      <c r="CR59" s="9" t="n">
        <v>10.7</v>
      </c>
      <c r="CS59" s="33">
        <f>PERCENTRANK(CR$2:INDEX($CR:$CR,LOOKUP(2,1/(ISNUMBER($A$2:$A$1048576)),ROW($A$2:$A$1048576))),CR59)</f>
        <v/>
      </c>
      <c r="CT59" s="39">
        <f>1-(CR59-CR$106)/CR$107</f>
        <v/>
      </c>
      <c r="CU59" s="9" t="n">
        <v>3.87</v>
      </c>
      <c r="CV59" s="33">
        <f>PERCENTRANK(CU$2:INDEX($CU:$CU,LOOKUP(2,1/(ISNUMBER($A$2:$A$1048576)),ROW($A$2:$A$1048576))),CU59)</f>
        <v/>
      </c>
      <c r="CW59" s="39">
        <f>1-(CU59-CU$106)/CU$107</f>
        <v/>
      </c>
      <c r="CX59" s="9" t="n">
        <v>36.14</v>
      </c>
      <c r="CY59" s="9" t="n">
        <v>56.1</v>
      </c>
      <c r="CZ59" s="9" t="n">
        <v>33</v>
      </c>
      <c r="DA59" s="9" t="n">
        <v>58.82</v>
      </c>
      <c r="DB59" s="9" t="n">
        <v>35.97</v>
      </c>
      <c r="DC59" s="9" t="n">
        <v>16.47</v>
      </c>
      <c r="DD59" s="9" t="n">
        <v>45.78</v>
      </c>
      <c r="DE59" s="9" t="n">
        <v>2.9</v>
      </c>
      <c r="DF59" s="9" t="n">
        <v>1.43</v>
      </c>
      <c r="DG59" s="9" t="n">
        <v>49.43</v>
      </c>
      <c r="DH59" s="9" t="n">
        <v>36.23</v>
      </c>
      <c r="DI59" s="33">
        <f>PERCENTRANK(DH$2:INDEX($DH:$DH,LOOKUP(2,1/(ISNUMBER($A$2:$A$1048576)),ROW($A$2:$A$1048576))),DH59)</f>
        <v/>
      </c>
      <c r="DJ59" s="39">
        <f>SUM(DH59-DH$106)/DH$107</f>
        <v/>
      </c>
      <c r="DK59" s="9" t="n">
        <v>13.53</v>
      </c>
      <c r="DL59" s="9" t="n">
        <v>14.33</v>
      </c>
      <c r="DM59" s="9" t="n">
        <v>2.3</v>
      </c>
      <c r="DN59" s="9" t="n">
        <v>0.07000000000000001</v>
      </c>
      <c r="DO59" s="9" t="n">
        <v>138.53</v>
      </c>
      <c r="DP59" s="9" t="n">
        <v>101.1</v>
      </c>
      <c r="DQ59" s="33">
        <f>PERCENTRANK(DP$2:INDEX($DP:$DP,LOOKUP(2,1/(ISNUMBER($A$2:$A$1048576)),ROW($A$2:$A$1048576))),DP59)</f>
        <v/>
      </c>
      <c r="DR59" s="40">
        <f>sum(DP59-DP$106)/DP$107</f>
        <v/>
      </c>
      <c r="DS59" s="9" t="n">
        <v>72.98</v>
      </c>
      <c r="DT59" s="9" t="n">
        <v>61.23</v>
      </c>
      <c r="DU59" s="9" t="n">
        <v>57.07</v>
      </c>
      <c r="DV59" s="9" t="n">
        <v>93.2</v>
      </c>
      <c r="DW59" s="9" t="n">
        <v>146.27</v>
      </c>
      <c r="DX59" s="9" t="n">
        <v>130.57</v>
      </c>
      <c r="DY59" s="9" t="n">
        <v>89.27</v>
      </c>
      <c r="DZ59" s="9" t="n">
        <v>45.1</v>
      </c>
      <c r="EA59" s="9" t="n">
        <v>23.4</v>
      </c>
      <c r="EB59" s="9" t="n">
        <v>51.88</v>
      </c>
      <c r="EC59" s="9" t="n">
        <v>50.2</v>
      </c>
      <c r="ED59" s="9" t="n">
        <v>34</v>
      </c>
      <c r="EE59" s="33">
        <f>PERCENTRANK(ED$2:INDEX($ED:$ED,LOOKUP(2,1/(ISNUMBER($A$2:$A$1048576)),ROW($A$2:$A$1048576))),ED59)</f>
        <v/>
      </c>
      <c r="EF59" s="40">
        <f>sum(ED59-ED$106)/ED$107</f>
        <v/>
      </c>
      <c r="EG59" s="9" t="n">
        <v>67.73</v>
      </c>
      <c r="EH59" s="9" t="n">
        <v>69.56999999999999</v>
      </c>
      <c r="EI59" s="9" t="n">
        <v>48</v>
      </c>
      <c r="EJ59" s="33">
        <f>PERCENTRANK(EI$2:INDEX($EI:$EI,LOOKUP(2,1/(ISNUMBER($A$2:$A$1048576)),ROW($A$2:$A$1048576))),EI59)</f>
        <v/>
      </c>
      <c r="EK59" s="40">
        <f>sum(EI59-EI$106)/EI$107</f>
        <v/>
      </c>
      <c r="EL59" s="9" t="n">
        <v>69</v>
      </c>
      <c r="EM59" s="9" t="n">
        <v>0.63</v>
      </c>
      <c r="EN59" s="9" t="n">
        <v>0.17</v>
      </c>
      <c r="EO59" s="9" t="n">
        <v>26.32</v>
      </c>
      <c r="EP59" s="9" t="n">
        <v>18.5</v>
      </c>
      <c r="EQ59" s="9" t="n">
        <v>16.67</v>
      </c>
      <c r="ER59" s="9" t="n">
        <v>90.09</v>
      </c>
      <c r="ES59" s="9" t="n">
        <v>8.5</v>
      </c>
      <c r="ET59" s="9" t="n">
        <v>16.33</v>
      </c>
      <c r="EU59" s="9" t="n">
        <v>4.2</v>
      </c>
      <c r="EV59" s="9" t="n">
        <v>11.54</v>
      </c>
      <c r="EW59" s="9" t="n">
        <v>18.23</v>
      </c>
      <c r="EX59" s="33">
        <f>PERCENTRANK(EW$2:INDEX($EW:$EW,LOOKUP(2,1/(ISNUMBER($A$2:$A$1048576)),ROW($A$2:$A$1048576))),EW59)</f>
        <v/>
      </c>
      <c r="EY59" s="38">
        <f>1-(EW59-EW$106)/EW$107</f>
        <v/>
      </c>
      <c r="EZ59" s="9" t="n">
        <v>19.61</v>
      </c>
      <c r="FA59" s="9" t="n">
        <v>10.96</v>
      </c>
      <c r="FB59" s="33">
        <f>PERCENTRANK(FA$2:INDEX($FA:$FA,LOOKUP(2,1/(ISNUMBER($A$2:$A$1048576)),ROW($A$2:$A$1048576))),FA59)</f>
        <v/>
      </c>
      <c r="FC59" s="39">
        <f>1-(FA59-FA$106)/FA$107</f>
        <v/>
      </c>
      <c r="FD59" s="9" t="n">
        <v>1.67</v>
      </c>
      <c r="FE59" s="9" t="n">
        <v>1.32</v>
      </c>
      <c r="FF59" s="33">
        <f>PERCENTRANK(FE$2:INDEX($FE:$FE,LOOKUP(2,1/(ISNUMBER($A$2:$A$1048576)),ROW($A$2:$A$1048576))),FE59)</f>
        <v/>
      </c>
      <c r="FG59" s="39">
        <f>1-(FE59-FE$106)/FE$107</f>
        <v/>
      </c>
      <c r="FH59" s="9" t="n">
        <v>10.7</v>
      </c>
      <c r="FI59" s="9" t="n">
        <v>3.73</v>
      </c>
      <c r="FJ59" s="9" t="n">
        <v>34.89</v>
      </c>
      <c r="FK59" s="9" t="n">
        <v>404.27</v>
      </c>
      <c r="FL59" s="33">
        <f>PERCENTRANK(FK$2:INDEX($FK:$FK,LOOKUP(2,1/(ISNUMBER($A$2:$A$1048576)),ROW($A$2:$A$1048576))),FK59)</f>
        <v/>
      </c>
      <c r="FM59" s="39">
        <f>SWA58-(FK59-FK$106)/FK$107</f>
        <v/>
      </c>
      <c r="FN59" s="9" t="n">
        <v>333.27</v>
      </c>
      <c r="FO59" s="9" t="n">
        <v>82.44</v>
      </c>
      <c r="FP59" s="9" t="n">
        <v>50.38</v>
      </c>
      <c r="FQ59" s="9" t="n">
        <v>103.03</v>
      </c>
      <c r="FR59" s="9" t="n">
        <v>18.77</v>
      </c>
      <c r="FS59" s="9" t="n">
        <v>36.7</v>
      </c>
      <c r="FT59" s="9" t="n">
        <v>47.57</v>
      </c>
      <c r="FU59" s="9" t="n">
        <v>73.53</v>
      </c>
      <c r="FV59" s="9" t="n">
        <v>30.17</v>
      </c>
      <c r="FW59" s="9" t="n">
        <v>30.7</v>
      </c>
      <c r="FX59" s="9" t="n">
        <v>12.67</v>
      </c>
      <c r="FY59" s="9" t="n">
        <v>172.07</v>
      </c>
      <c r="FZ59" s="9" t="n">
        <v>85.97</v>
      </c>
      <c r="GA59" s="9" t="n">
        <v>49.96</v>
      </c>
      <c r="GB59" s="9" t="n">
        <v>4.5</v>
      </c>
      <c r="GC59" s="9" t="n">
        <v>1.37</v>
      </c>
      <c r="GD59" s="9" t="n">
        <v>30.37</v>
      </c>
      <c r="GE59" s="9" t="n">
        <v>27.47</v>
      </c>
      <c r="GF59" s="9" t="n">
        <v>6.03</v>
      </c>
      <c r="GG59" s="9" t="n">
        <v>21.97</v>
      </c>
      <c r="GH59" s="9" t="n">
        <v>0.77</v>
      </c>
      <c r="GI59" s="9" t="n">
        <v>0.4</v>
      </c>
      <c r="GJ59" s="9" t="n">
        <v>52.17</v>
      </c>
      <c r="GK59" s="9" t="n">
        <v>26.87</v>
      </c>
      <c r="GL59" s="9" t="n">
        <v>3.67</v>
      </c>
      <c r="GM59" s="9" t="n">
        <v>13.65</v>
      </c>
      <c r="GN59" s="9" t="n">
        <v>5.43</v>
      </c>
      <c r="GO59" s="9" t="n">
        <v>1.47</v>
      </c>
      <c r="GP59" s="9" t="n">
        <v>26.99</v>
      </c>
      <c r="GQ59" s="9" t="n">
        <v>2.7</v>
      </c>
      <c r="GR59" s="9" t="n">
        <v>0.67</v>
      </c>
      <c r="GS59" s="9" t="n">
        <v>24.69</v>
      </c>
      <c r="GT59" s="9" t="n">
        <v>0.23</v>
      </c>
      <c r="GU59" s="9" t="n">
        <v>0.2</v>
      </c>
      <c r="GV59" s="9" t="n">
        <v>85.70999999999999</v>
      </c>
      <c r="GW59" s="9" t="n">
        <v>13.4</v>
      </c>
      <c r="GX59" s="9" t="n">
        <v>4.03</v>
      </c>
      <c r="GY59" s="9" t="n">
        <v>30.1</v>
      </c>
      <c r="GZ59" s="9" t="n">
        <v>3.83</v>
      </c>
      <c r="HA59" s="9" t="n">
        <v>5.97</v>
      </c>
      <c r="HB59" s="9" t="n">
        <v>22.83</v>
      </c>
      <c r="HC59" s="9" t="n">
        <v>3.47</v>
      </c>
      <c r="HD59" s="9" t="n">
        <v>8.43</v>
      </c>
      <c r="HE59" s="9" t="n">
        <v>14.4</v>
      </c>
      <c r="HF59" s="9" t="n">
        <v>56.07</v>
      </c>
      <c r="HG59" s="9" t="n">
        <v>23.07</v>
      </c>
      <c r="HH59" s="9" t="n">
        <v>41.14</v>
      </c>
      <c r="HI59" s="9" t="n">
        <v>2.1</v>
      </c>
      <c r="HJ59" s="9" t="n">
        <v>1.43</v>
      </c>
      <c r="HK59" s="9" t="n">
        <v>10.23</v>
      </c>
      <c r="HL59" s="9" t="n">
        <v>3.77</v>
      </c>
      <c r="HM59" s="9" t="n">
        <v>36.81</v>
      </c>
      <c r="HN59" s="9" t="n">
        <v>57.77</v>
      </c>
      <c r="HO59" s="9" t="n">
        <v>36.63</v>
      </c>
      <c r="HP59" s="9" t="n">
        <v>63.42</v>
      </c>
      <c r="HQ59" s="9" t="n">
        <v>35.97</v>
      </c>
      <c r="HR59" s="9" t="n">
        <v>16.33</v>
      </c>
      <c r="HS59" s="9" t="n">
        <v>45.41</v>
      </c>
      <c r="HT59" s="9" t="n">
        <v>2.07</v>
      </c>
      <c r="HU59" s="9" t="n">
        <v>1.07</v>
      </c>
      <c r="HV59" s="9" t="n">
        <v>51.61</v>
      </c>
      <c r="HW59" s="9" t="n">
        <v>32.17</v>
      </c>
      <c r="HX59" s="9" t="n">
        <v>13</v>
      </c>
      <c r="HY59" s="9" t="n">
        <v>12.3</v>
      </c>
      <c r="HZ59" s="9" t="n">
        <v>2.07</v>
      </c>
      <c r="IA59" s="9" t="n">
        <v>0.03</v>
      </c>
      <c r="IB59" s="9" t="n">
        <v>139.33</v>
      </c>
      <c r="IC59" s="9" t="n">
        <v>100.73</v>
      </c>
      <c r="ID59" s="9" t="n">
        <v>72.3</v>
      </c>
      <c r="IE59" s="9" t="n">
        <v>66.7</v>
      </c>
      <c r="IF59" s="9" t="n">
        <v>62.8</v>
      </c>
      <c r="IG59" s="9" t="n">
        <v>94.15000000000001</v>
      </c>
      <c r="IH59" s="9" t="n">
        <v>144.1</v>
      </c>
      <c r="II59" s="9" t="n">
        <v>127.3</v>
      </c>
      <c r="IJ59" s="9" t="n">
        <v>88.34</v>
      </c>
      <c r="IK59" s="9" t="n">
        <v>45.57</v>
      </c>
      <c r="IL59" s="9" t="n">
        <v>23.83</v>
      </c>
      <c r="IM59" s="9" t="n">
        <v>52.3</v>
      </c>
      <c r="IN59" s="9" t="n">
        <v>53.9</v>
      </c>
      <c r="IO59" s="9" t="n">
        <v>35.67</v>
      </c>
      <c r="IP59" s="9" t="n">
        <v>66.17</v>
      </c>
      <c r="IQ59" s="9" t="n">
        <v>69.53</v>
      </c>
      <c r="IR59" s="9" t="n">
        <v>49.67</v>
      </c>
      <c r="IS59" s="9" t="n">
        <v>71.43000000000001</v>
      </c>
      <c r="IT59" s="33">
        <f>PERCENTRANK(IS$2:INDEX($IS:$IS,LOOKUP(2,1/(ISNUMBER($A$2:$A$1048576)),ROW($A$2:$A$1048576))),IS59)</f>
        <v/>
      </c>
      <c r="IU59" s="39">
        <f>1-(IS59-IS$106)/IS$107</f>
        <v/>
      </c>
      <c r="IV59" s="9" t="n">
        <v>0.93</v>
      </c>
      <c r="IW59" s="9" t="n">
        <v>0.43</v>
      </c>
      <c r="IX59" s="9" t="n">
        <v>46.43</v>
      </c>
      <c r="IY59" s="9" t="n">
        <v>20.07</v>
      </c>
      <c r="IZ59" s="9" t="n">
        <v>17.6</v>
      </c>
      <c r="JA59" s="9" t="n">
        <v>87.70999999999999</v>
      </c>
      <c r="JB59" s="9" t="n">
        <v>7.37</v>
      </c>
      <c r="JC59" s="9" t="n">
        <v>16.12</v>
      </c>
      <c r="JD59" s="9" t="n">
        <v>4.12</v>
      </c>
      <c r="JE59" s="9" t="n">
        <v>11.67</v>
      </c>
      <c r="JF59" s="9" t="n">
        <v>18.26</v>
      </c>
      <c r="JG59" s="9" t="n">
        <v>20.19</v>
      </c>
      <c r="JH59" s="9" t="n">
        <v>11.3</v>
      </c>
    </row>
    <row r="60">
      <c r="A60" s="12" t="n">
        <v>2022</v>
      </c>
      <c r="B60" s="31" t="inlineStr">
        <is>
          <t>Colorado Springs</t>
        </is>
      </c>
      <c r="C60" s="12" t="n">
        <v>55</v>
      </c>
      <c r="D60" s="5">
        <f>(C60-AVERAGE($C$2:INDEX($C:$C,LOOKUP(2,1/(ISNUMBER($A$2:$A$1048576)),ROW($A$2:$A$1048576)))))/_xlfn.STDEV.P($C$2:INDEX($C:$C,LOOKUP(2,1/(ISNUMBER($A$2:$A$1048576)),ROW($A$2:$A$1048576))))</f>
        <v/>
      </c>
      <c r="E60" s="12" t="n">
        <v>3</v>
      </c>
      <c r="F60" s="6">
        <f>-E60</f>
        <v/>
      </c>
      <c r="G60" s="7">
        <f>(F60-AVERAGE($F$2:INDEX($F:$F,LOOKUP(2,1/(ISNUMBER($A$2:$A$1048576)),ROW($A$2:$A$1048576)))))/_xlfn.STDEV.P($F$2:INDEX($F:$F,LOOKUP(2,1/(ISNUMBER($A$2:$A$1048576)),ROW($A$2:$A$1048576))))</f>
        <v/>
      </c>
      <c r="H60" s="32">
        <f>sum(0.5*D60)+(0.5*G60)</f>
        <v/>
      </c>
      <c r="I60" s="12" t="inlineStr">
        <is>
          <t>West</t>
        </is>
      </c>
      <c r="J60" s="10">
        <f>sum(L60*L$105)+(N60*N$105)+(P60*P$105)+(T60*R$105)</f>
        <v/>
      </c>
      <c r="K60" s="33">
        <f>PERCENTRANK(J$2:INDEX($J:$J,LOOKUP(2,1/(ISNUMBER($A$2:$A$1048576)),ROW($A$2:$A$1048576))),J60)</f>
        <v/>
      </c>
      <c r="L60" s="10">
        <f>sum(AA60*0.66)+(AD60*0.55)+(AG60*0.59)+(CG60*0.51)+(CL60*0.6)+(EY60*0.31)</f>
        <v/>
      </c>
      <c r="M60" s="33">
        <f>PERCENTRANK(L$2:INDEX($L:$L,LOOKUP(2,1/(ISNUMBER($A$2:$A$1048576)),ROW($A$2:$A$1048576))),L60)</f>
        <v/>
      </c>
      <c r="N60" s="10">
        <f>sum(CT60*0.57)+(CW60*0.71)+(DJ60*0.08)+(FC60*0.33)+(FG60*0.69)+(FM60*0.26)+(IU60*0.54)+(AU60*0.4)</f>
        <v/>
      </c>
      <c r="O60" s="33">
        <f>PERCENTRANK(N$2:INDEX($N:$N,LOOKUP(2,1/(ISNUMBER($A$2:$A$1048576)),ROW($A$2:$A$1048576))),N60)</f>
        <v/>
      </c>
      <c r="P60" s="10">
        <f>sum(BG60*0.51)+(CD60*0.51)+(DR60*0.11)+(EF60*0.42)+(EK60*0.44)+(W60*0.6)</f>
        <v/>
      </c>
      <c r="Q60" s="33">
        <f>PERCENTRANK(P$2:INDEX($P:$P,LOOKUP(2,1/(ISNUMBER($A$2:$A$1048576)),ROW($A$2:$A$1048576))),P60)</f>
        <v/>
      </c>
      <c r="R60" s="10">
        <f>sum(Y60-FE60)</f>
        <v/>
      </c>
      <c r="S60" s="33">
        <f>PERCENTRANK(R$2:INDEX($R:$R,LOOKUP(2,1/(ISNUMBER($A$2:$A$1048576)),ROW($A$2:$A$1048576))),R60)</f>
        <v/>
      </c>
      <c r="T60" s="34">
        <f>sum(R60-R$106)/R$107</f>
        <v/>
      </c>
      <c r="U60" s="35">
        <f>sum(Y60/AI60)*100</f>
        <v/>
      </c>
      <c r="V60" s="33">
        <f>PERCENTRANK(U$2:INDEX($U:$U,LOOKUP(2,1/(ISNUMBER($A$2:$A$1048576)),ROW($A$2:$A$1048576))),U60)</f>
        <v/>
      </c>
      <c r="W60" s="36">
        <f>sum(U60-U$106)/U$107</f>
        <v/>
      </c>
      <c r="X60" s="9" t="n">
        <v>1.73</v>
      </c>
      <c r="Y60" s="9" t="n">
        <v>1.42</v>
      </c>
      <c r="Z60" s="33">
        <f>PERCENTRANK(Y$2:INDEX($Y:$Y,LOOKUP(2,1/(ISNUMBER($A$2:$A$1048576)),ROW($A$2:$A$1048576))),Y60)</f>
        <v/>
      </c>
      <c r="AA60" s="37">
        <f>sum(Y60-Y$106)/Y$107</f>
        <v/>
      </c>
      <c r="AB60" s="9" t="n">
        <v>11.95</v>
      </c>
      <c r="AC60" s="33">
        <f>PERCENTRANK(AB$2:INDEX($AB:$AB,LOOKUP(2,1/(ISNUMBER($A$2:$A$1048576)),ROW($A$2:$A$1048576))),AB60)</f>
        <v/>
      </c>
      <c r="AD60" s="38">
        <f>sum(AB60-AB$106)/AB$107</f>
        <v/>
      </c>
      <c r="AE60" s="9" t="n">
        <v>4.43</v>
      </c>
      <c r="AF60" s="33">
        <f>PERCENTRANK(AE$2:INDEX($AE:$AE,LOOKUP(2,1/(ISNUMBER($A$2:$A$1048576)),ROW($A$2:$A$1048576))),AE60)</f>
        <v/>
      </c>
      <c r="AG60" s="38">
        <f>sum(AE60-AE$106)/AE$107</f>
        <v/>
      </c>
      <c r="AH60" s="9" t="n">
        <v>37.1</v>
      </c>
      <c r="AI60" s="9" t="n">
        <v>411.08</v>
      </c>
      <c r="AJ60" s="9" t="n">
        <v>335.81</v>
      </c>
      <c r="AK60" s="9" t="n">
        <v>81.69</v>
      </c>
      <c r="AL60" s="9" t="n">
        <v>52.16</v>
      </c>
      <c r="AM60" s="9" t="n">
        <v>103.68</v>
      </c>
      <c r="AN60" s="9" t="n">
        <v>16.43</v>
      </c>
      <c r="AO60" s="9" t="n">
        <v>38.51</v>
      </c>
      <c r="AP60" s="9" t="n">
        <v>48.73</v>
      </c>
      <c r="AQ60" s="9" t="n">
        <v>81.84</v>
      </c>
      <c r="AR60" s="9" t="n">
        <v>35.49</v>
      </c>
      <c r="AS60" s="9" t="n">
        <v>35.65</v>
      </c>
      <c r="AT60" s="33">
        <f>PERCENTRANK(AS$2:INDEX($AS:$AS,LOOKUP(2,1/(ISNUMBER($A$2:$A$1048576)),ROW($A$2:$A$1048576))),AS60)</f>
        <v/>
      </c>
      <c r="AU60" s="39">
        <f>SUM(AS60-AS$106)/AS$107</f>
        <v/>
      </c>
      <c r="AV60" s="9" t="n">
        <v>10.7</v>
      </c>
      <c r="AW60" s="33">
        <f>PERCENTRANK(AV$2:INDEX($AV:$AV,LOOKUP(2,1/(ISNUMBER($A$2:$A$1048576)),ROW($A$2:$A$1048576))),AV60)</f>
        <v/>
      </c>
      <c r="AX60" s="9" t="n">
        <v>200.24</v>
      </c>
      <c r="AY60" s="9" t="n">
        <v>96.65000000000001</v>
      </c>
      <c r="AZ60" s="9" t="n">
        <v>48.27</v>
      </c>
      <c r="BA60" s="9" t="n">
        <v>4.76</v>
      </c>
      <c r="BB60" s="9" t="n">
        <v>1.43</v>
      </c>
      <c r="BC60" s="9" t="n">
        <v>30.11</v>
      </c>
      <c r="BD60" s="9" t="n">
        <v>28.27</v>
      </c>
      <c r="BE60" s="9" t="n">
        <v>7.11</v>
      </c>
      <c r="BF60" s="33">
        <f>PERCENTRANK(BE$2:INDEX($BE:$BE,LOOKUP(2,1/(ISNUMBER($A$2:$A$1048576)),ROW($A$2:$A$1048576))),BE60)</f>
        <v/>
      </c>
      <c r="BG60" s="40">
        <f>sum(BE60-BE$106)/BE$107</f>
        <v/>
      </c>
      <c r="BH60" s="9" t="n">
        <v>25.14</v>
      </c>
      <c r="BI60" s="9" t="n">
        <v>1.81</v>
      </c>
      <c r="BJ60" s="9" t="n">
        <v>0.8100000000000001</v>
      </c>
      <c r="BK60" s="9" t="n">
        <v>44.78</v>
      </c>
      <c r="BL60" s="9" t="n">
        <v>28.95</v>
      </c>
      <c r="BM60" s="9" t="n">
        <v>3.35</v>
      </c>
      <c r="BN60" s="9" t="n">
        <v>11.58</v>
      </c>
      <c r="BO60" s="9" t="n">
        <v>5.22</v>
      </c>
      <c r="BP60" s="9" t="n">
        <v>1.76</v>
      </c>
      <c r="BQ60" s="9" t="n">
        <v>33.68</v>
      </c>
      <c r="BR60" s="9" t="n">
        <v>2.3</v>
      </c>
      <c r="BS60" s="9" t="n">
        <v>0.43</v>
      </c>
      <c r="BT60" s="9" t="n">
        <v>18.82</v>
      </c>
      <c r="BU60" s="9" t="n">
        <v>0.16</v>
      </c>
      <c r="BV60" s="9" t="n">
        <v>0.14</v>
      </c>
      <c r="BW60" s="9" t="n">
        <v>83.33</v>
      </c>
      <c r="BX60" s="9" t="n">
        <v>11.49</v>
      </c>
      <c r="BY60" s="9" t="n">
        <v>3.7</v>
      </c>
      <c r="BZ60" s="9" t="n">
        <v>32.24</v>
      </c>
      <c r="CA60" s="9" t="n">
        <v>4.16</v>
      </c>
      <c r="CB60" s="9" t="n">
        <v>7.59</v>
      </c>
      <c r="CC60" s="33">
        <f>PERCENTRANK(CD$2:INDEX($CD:$CD,LOOKUP(2,1/(ISNUMBER($A$2:$A$1048576)),ROW($A$2:$A$1048576))),CD60)</f>
        <v/>
      </c>
      <c r="CD60" s="40">
        <f>sum(CB60-CB$106)/CB$107</f>
        <v/>
      </c>
      <c r="CE60" s="9" t="n">
        <v>23.86</v>
      </c>
      <c r="CF60" s="33">
        <f>PERCENTRANK(CE$2:INDEX($CE:$CE,LOOKUP(2,1/(ISNUMBER($A$2:$A$1048576)),ROW($A$2:$A$1048576))),CE60)</f>
        <v/>
      </c>
      <c r="CG60" s="38">
        <f>sum(CE60-CE$106)/CE$107</f>
        <v/>
      </c>
      <c r="CH60" s="9" t="n">
        <v>5.05</v>
      </c>
      <c r="CI60" s="9" t="n">
        <v>6.76</v>
      </c>
      <c r="CJ60" s="9" t="n">
        <v>16.97</v>
      </c>
      <c r="CK60" s="33">
        <f>PERCENTRANK(CJ$2:INDEX($CJ:$CJ,LOOKUP(2,1/(ISNUMBER($A$2:$A$1048576)),ROW($A$2:$A$1048576))),CJ60)</f>
        <v/>
      </c>
      <c r="CL60" s="38">
        <f>sum(CJ60-CJ$106)/CJ$107</f>
        <v/>
      </c>
      <c r="CM60" s="9" t="n">
        <v>67.73</v>
      </c>
      <c r="CN60" s="9" t="n">
        <v>28.27</v>
      </c>
      <c r="CO60" s="9" t="n">
        <v>41.74</v>
      </c>
      <c r="CP60" s="9" t="n">
        <v>2.51</v>
      </c>
      <c r="CQ60" s="9" t="n">
        <v>1.51</v>
      </c>
      <c r="CR60" s="9" t="n">
        <v>10.76</v>
      </c>
      <c r="CS60" s="33">
        <f>PERCENTRANK(CR$2:INDEX($CR:$CR,LOOKUP(2,1/(ISNUMBER($A$2:$A$1048576)),ROW($A$2:$A$1048576))),CR60)</f>
        <v/>
      </c>
      <c r="CT60" s="39">
        <f>1-(CR60-CR$106)/CR$107</f>
        <v/>
      </c>
      <c r="CU60" s="9" t="n">
        <v>4.38</v>
      </c>
      <c r="CV60" s="33">
        <f>PERCENTRANK(CU$2:INDEX($CU:$CU,LOOKUP(2,1/(ISNUMBER($A$2:$A$1048576)),ROW($A$2:$A$1048576))),CU60)</f>
        <v/>
      </c>
      <c r="CW60" s="39">
        <f>1-(CU60-CU$106)/CU$107</f>
        <v/>
      </c>
      <c r="CX60" s="9" t="n">
        <v>40.7</v>
      </c>
      <c r="CY60" s="9" t="n">
        <v>64.43000000000001</v>
      </c>
      <c r="CZ60" s="9" t="n">
        <v>37.19</v>
      </c>
      <c r="DA60" s="9" t="n">
        <v>57.72</v>
      </c>
      <c r="DB60" s="9" t="n">
        <v>35.68</v>
      </c>
      <c r="DC60" s="9" t="n">
        <v>17.54</v>
      </c>
      <c r="DD60" s="9" t="n">
        <v>49.17</v>
      </c>
      <c r="DE60" s="9" t="n">
        <v>2.16</v>
      </c>
      <c r="DF60" s="9" t="n">
        <v>0.92</v>
      </c>
      <c r="DG60" s="9" t="n">
        <v>42.5</v>
      </c>
      <c r="DH60" s="9" t="n">
        <v>37.32</v>
      </c>
      <c r="DI60" s="33">
        <f>PERCENTRANK(DH$2:INDEX($DH:$DH,LOOKUP(2,1/(ISNUMBER($A$2:$A$1048576)),ROW($A$2:$A$1048576))),DH60)</f>
        <v/>
      </c>
      <c r="DJ60" s="39">
        <f>SUM(DH60-DH$106)/DH$107</f>
        <v/>
      </c>
      <c r="DK60" s="9" t="n">
        <v>14.19</v>
      </c>
      <c r="DL60" s="9" t="n">
        <v>14.08</v>
      </c>
      <c r="DM60" s="9" t="n">
        <v>2.76</v>
      </c>
      <c r="DN60" s="9" t="n">
        <v>0.14</v>
      </c>
      <c r="DO60" s="9" t="n">
        <v>144.97</v>
      </c>
      <c r="DP60" s="9" t="n">
        <v>101.27</v>
      </c>
      <c r="DQ60" s="33">
        <f>PERCENTRANK(DP$2:INDEX($DP:$DP,LOOKUP(2,1/(ISNUMBER($A$2:$A$1048576)),ROW($A$2:$A$1048576))),DP60)</f>
        <v/>
      </c>
      <c r="DR60" s="40">
        <f>sum(DP60-DP$106)/DP$107</f>
        <v/>
      </c>
      <c r="DS60" s="9" t="n">
        <v>69.84999999999999</v>
      </c>
      <c r="DT60" s="9" t="n">
        <v>60.84</v>
      </c>
      <c r="DU60" s="9" t="n">
        <v>56.59</v>
      </c>
      <c r="DV60" s="9" t="n">
        <v>93.03</v>
      </c>
      <c r="DW60" s="9" t="n">
        <v>147.57</v>
      </c>
      <c r="DX60" s="9" t="n">
        <v>130.54</v>
      </c>
      <c r="DY60" s="9" t="n">
        <v>88.45999999999999</v>
      </c>
      <c r="DZ60" s="9" t="n">
        <v>48.89</v>
      </c>
      <c r="EA60" s="9" t="n">
        <v>24.59</v>
      </c>
      <c r="EB60" s="9" t="n">
        <v>50.3</v>
      </c>
      <c r="EC60" s="9" t="n">
        <v>58.32</v>
      </c>
      <c r="ED60" s="9" t="n">
        <v>36.43</v>
      </c>
      <c r="EE60" s="33">
        <f>PERCENTRANK(ED$2:INDEX($ED:$ED,LOOKUP(2,1/(ISNUMBER($A$2:$A$1048576)),ROW($A$2:$A$1048576))),ED60)</f>
        <v/>
      </c>
      <c r="EF60" s="40">
        <f>sum(ED60-ED$106)/ED$107</f>
        <v/>
      </c>
      <c r="EG60" s="9" t="n">
        <v>62.47</v>
      </c>
      <c r="EH60" s="9" t="n">
        <v>74.27</v>
      </c>
      <c r="EI60" s="9" t="n">
        <v>54.03</v>
      </c>
      <c r="EJ60" s="33">
        <f>PERCENTRANK(EI$2:INDEX($EI:$EI,LOOKUP(2,1/(ISNUMBER($A$2:$A$1048576)),ROW($A$2:$A$1048576))),EI60)</f>
        <v/>
      </c>
      <c r="EK60" s="40">
        <f>sum(EI60-EI$106)/EI$107</f>
        <v/>
      </c>
      <c r="EL60" s="9" t="n">
        <v>72.73999999999999</v>
      </c>
      <c r="EM60" s="9" t="n">
        <v>5.7</v>
      </c>
      <c r="EN60" s="9" t="n">
        <v>2.16</v>
      </c>
      <c r="EO60" s="9" t="n">
        <v>37.91</v>
      </c>
      <c r="EP60" s="9" t="n">
        <v>23.16</v>
      </c>
      <c r="EQ60" s="9" t="n">
        <v>22.03</v>
      </c>
      <c r="ER60" s="9" t="n">
        <v>95.09999999999999</v>
      </c>
      <c r="ES60" s="9" t="n">
        <v>9.19</v>
      </c>
      <c r="ET60" s="9" t="n">
        <v>16.38</v>
      </c>
      <c r="EU60" s="9" t="n">
        <v>3.69</v>
      </c>
      <c r="EV60" s="9" t="n">
        <v>12.34</v>
      </c>
      <c r="EW60" s="9" t="n">
        <v>18.48</v>
      </c>
      <c r="EX60" s="33">
        <f>PERCENTRANK(EW$2:INDEX($EW:$EW,LOOKUP(2,1/(ISNUMBER($A$2:$A$1048576)),ROW($A$2:$A$1048576))),EW60)</f>
        <v/>
      </c>
      <c r="EY60" s="38">
        <f>1-(EW60-EW$106)/EW$107</f>
        <v/>
      </c>
      <c r="EZ60" s="9" t="n">
        <v>20.25</v>
      </c>
      <c r="FA60" s="9" t="n">
        <v>9.83</v>
      </c>
      <c r="FB60" s="33">
        <f>PERCENTRANK(FA$2:INDEX($FA:$FA,LOOKUP(2,1/(ISNUMBER($A$2:$A$1048576)),ROW($A$2:$A$1048576))),FA60)</f>
        <v/>
      </c>
      <c r="FC60" s="39">
        <f>1-(FA60-FA$106)/FA$107</f>
        <v/>
      </c>
      <c r="FD60" s="9" t="n">
        <v>1.51</v>
      </c>
      <c r="FE60" s="9" t="n">
        <v>1.29</v>
      </c>
      <c r="FF60" s="33">
        <f>PERCENTRANK(FE$2:INDEX($FE:$FE,LOOKUP(2,1/(ISNUMBER($A$2:$A$1048576)),ROW($A$2:$A$1048576))),FE60)</f>
        <v/>
      </c>
      <c r="FG60" s="39">
        <f>1-(FE60-FE$106)/FE$107</f>
        <v/>
      </c>
      <c r="FH60" s="9" t="n">
        <v>10.76</v>
      </c>
      <c r="FI60" s="9" t="n">
        <v>4.14</v>
      </c>
      <c r="FJ60" s="9" t="n">
        <v>38.44</v>
      </c>
      <c r="FK60" s="9" t="n">
        <v>363.59</v>
      </c>
      <c r="FL60" s="33">
        <f>PERCENTRANK(FK$2:INDEX($FK:$FK,LOOKUP(2,1/(ISNUMBER($A$2:$A$1048576)),ROW($A$2:$A$1048576))),FK60)</f>
        <v/>
      </c>
      <c r="FM60" s="39">
        <f>SWA59-(FK60-FK$106)/FK$107</f>
        <v/>
      </c>
      <c r="FN60" s="9" t="n">
        <v>291.65</v>
      </c>
      <c r="FO60" s="9" t="n">
        <v>80.20999999999999</v>
      </c>
      <c r="FP60" s="9" t="n">
        <v>47.84</v>
      </c>
      <c r="FQ60" s="9" t="n">
        <v>105.19</v>
      </c>
      <c r="FR60" s="9" t="n">
        <v>18.7</v>
      </c>
      <c r="FS60" s="9" t="n">
        <v>42.43</v>
      </c>
      <c r="FT60" s="9" t="n">
        <v>44.05</v>
      </c>
      <c r="FU60" s="9" t="n">
        <v>79.27</v>
      </c>
      <c r="FV60" s="9" t="n">
        <v>37.43</v>
      </c>
      <c r="FW60" s="9" t="n">
        <v>31.86</v>
      </c>
      <c r="FX60" s="9" t="n">
        <v>9.970000000000001</v>
      </c>
      <c r="FY60" s="9" t="n">
        <v>200.24</v>
      </c>
      <c r="FZ60" s="9" t="n">
        <v>95.95</v>
      </c>
      <c r="GA60" s="9" t="n">
        <v>47.91</v>
      </c>
      <c r="GB60" s="9" t="n">
        <v>4.11</v>
      </c>
      <c r="GC60" s="9" t="n">
        <v>1.3</v>
      </c>
      <c r="GD60" s="9" t="n">
        <v>31.58</v>
      </c>
      <c r="GE60" s="9" t="n">
        <v>26.05</v>
      </c>
      <c r="GF60" s="9" t="n">
        <v>6.19</v>
      </c>
      <c r="GG60" s="9" t="n">
        <v>23.76</v>
      </c>
      <c r="GH60" s="9" t="n">
        <v>1.38</v>
      </c>
      <c r="GI60" s="9" t="n">
        <v>0.57</v>
      </c>
      <c r="GJ60" s="9" t="n">
        <v>41.18</v>
      </c>
      <c r="GK60" s="9" t="n">
        <v>28.22</v>
      </c>
      <c r="GL60" s="9" t="n">
        <v>3.46</v>
      </c>
      <c r="GM60" s="9" t="n">
        <v>12.26</v>
      </c>
      <c r="GN60" s="9" t="n">
        <v>4.08</v>
      </c>
      <c r="GO60" s="9" t="n">
        <v>1.35</v>
      </c>
      <c r="GP60" s="9" t="n">
        <v>33.11</v>
      </c>
      <c r="GQ60" s="9" t="n">
        <v>2.7</v>
      </c>
      <c r="GR60" s="9" t="n">
        <v>0.65</v>
      </c>
      <c r="GS60" s="9" t="n">
        <v>24</v>
      </c>
      <c r="GT60" s="9" t="n">
        <v>0.19</v>
      </c>
      <c r="GU60" s="9" t="n">
        <v>0.08</v>
      </c>
      <c r="GV60" s="9" t="n">
        <v>42.86</v>
      </c>
      <c r="GW60" s="9" t="n">
        <v>13.22</v>
      </c>
      <c r="GX60" s="9" t="n">
        <v>4.16</v>
      </c>
      <c r="GY60" s="9" t="n">
        <v>31.49</v>
      </c>
      <c r="GZ60" s="9" t="n">
        <v>4.3</v>
      </c>
      <c r="HA60" s="9" t="n">
        <v>5.78</v>
      </c>
      <c r="HB60" s="9" t="n">
        <v>21.3</v>
      </c>
      <c r="HC60" s="9" t="n">
        <v>3.54</v>
      </c>
      <c r="HD60" s="9" t="n">
        <v>8.220000000000001</v>
      </c>
      <c r="HE60" s="9" t="n">
        <v>14.51</v>
      </c>
      <c r="HF60" s="9" t="n">
        <v>64.43000000000001</v>
      </c>
      <c r="HG60" s="9" t="n">
        <v>27.24</v>
      </c>
      <c r="HH60" s="9" t="n">
        <v>42.28</v>
      </c>
      <c r="HI60" s="9" t="n">
        <v>1.65</v>
      </c>
      <c r="HJ60" s="9" t="n">
        <v>1.73</v>
      </c>
      <c r="HK60" s="9" t="n">
        <v>11.95</v>
      </c>
      <c r="HL60" s="9" t="n">
        <v>4.59</v>
      </c>
      <c r="HM60" s="9" t="n">
        <v>38.46</v>
      </c>
      <c r="HN60" s="9" t="n">
        <v>67.73</v>
      </c>
      <c r="HO60" s="9" t="n">
        <v>39.43</v>
      </c>
      <c r="HP60" s="9" t="n">
        <v>58.22</v>
      </c>
      <c r="HQ60" s="9" t="n">
        <v>35.68</v>
      </c>
      <c r="HR60" s="9" t="n">
        <v>16.08</v>
      </c>
      <c r="HS60" s="9" t="n">
        <v>45.08</v>
      </c>
      <c r="HT60" s="9" t="n">
        <v>3.78</v>
      </c>
      <c r="HU60" s="9" t="n">
        <v>1.92</v>
      </c>
      <c r="HV60" s="9" t="n">
        <v>50.71</v>
      </c>
      <c r="HW60" s="9" t="n">
        <v>38.24</v>
      </c>
      <c r="HX60" s="9" t="n">
        <v>15.54</v>
      </c>
      <c r="HY60" s="9" t="n">
        <v>14.43</v>
      </c>
      <c r="HZ60" s="9" t="n">
        <v>2.92</v>
      </c>
      <c r="IA60" s="9" t="n">
        <v>0.11</v>
      </c>
      <c r="IB60" s="9" t="n">
        <v>130.81</v>
      </c>
      <c r="IC60" s="9" t="n">
        <v>91.92</v>
      </c>
      <c r="ID60" s="9" t="n">
        <v>70.27</v>
      </c>
      <c r="IE60" s="9" t="n">
        <v>52.59</v>
      </c>
      <c r="IF60" s="9" t="n">
        <v>48.92</v>
      </c>
      <c r="IG60" s="9" t="n">
        <v>93.01000000000001</v>
      </c>
      <c r="IH60" s="9" t="n">
        <v>127.24</v>
      </c>
      <c r="II60" s="9" t="n">
        <v>109.59</v>
      </c>
      <c r="IJ60" s="9" t="n">
        <v>86.13</v>
      </c>
      <c r="IK60" s="9" t="n">
        <v>47.27</v>
      </c>
      <c r="IL60" s="9" t="n">
        <v>24.57</v>
      </c>
      <c r="IM60" s="9" t="n">
        <v>51.97</v>
      </c>
      <c r="IN60" s="9" t="n">
        <v>46.97</v>
      </c>
      <c r="IO60" s="9" t="n">
        <v>29.54</v>
      </c>
      <c r="IP60" s="9" t="n">
        <v>62.89</v>
      </c>
      <c r="IQ60" s="9" t="n">
        <v>67.51000000000001</v>
      </c>
      <c r="IR60" s="9" t="n">
        <v>46.57</v>
      </c>
      <c r="IS60" s="9" t="n">
        <v>68.98</v>
      </c>
      <c r="IT60" s="33">
        <f>PERCENTRANK(IS$2:INDEX($IS:$IS,LOOKUP(2,1/(ISNUMBER($A$2:$A$1048576)),ROW($A$2:$A$1048576))),IS60)</f>
        <v/>
      </c>
      <c r="IU60" s="39">
        <f>1-(IS60-IS$106)/IS$107</f>
        <v/>
      </c>
      <c r="IV60" s="9" t="n">
        <v>3.86</v>
      </c>
      <c r="IW60" s="9" t="n">
        <v>1.57</v>
      </c>
      <c r="IX60" s="9" t="n">
        <v>40.56</v>
      </c>
      <c r="IY60" s="9" t="n">
        <v>22</v>
      </c>
      <c r="IZ60" s="9" t="n">
        <v>19.35</v>
      </c>
      <c r="JA60" s="9" t="n">
        <v>87.95999999999999</v>
      </c>
      <c r="JB60" s="9" t="n">
        <v>9.65</v>
      </c>
      <c r="JC60" s="9" t="n">
        <v>15.66</v>
      </c>
      <c r="JD60" s="9" t="n">
        <v>3.33</v>
      </c>
      <c r="JE60" s="9" t="n">
        <v>13.89</v>
      </c>
      <c r="JF60" s="9" t="n">
        <v>18.31</v>
      </c>
      <c r="JG60" s="9" t="n">
        <v>20.78</v>
      </c>
      <c r="JH60" s="9" t="n">
        <v>11.45</v>
      </c>
    </row>
    <row r="61">
      <c r="A61" s="12" t="n">
        <v>2022</v>
      </c>
      <c r="B61" s="31" t="inlineStr">
        <is>
          <t>Orange County SC</t>
        </is>
      </c>
      <c r="C61" s="12" t="n">
        <v>34</v>
      </c>
      <c r="D61" s="5">
        <f>(C61-AVERAGE($C$2:INDEX($C:$C,LOOKUP(2,1/(ISNUMBER($A$2:$A$1048576)),ROW($A$2:$A$1048576)))))/_xlfn.STDEV.P($C$2:INDEX($C:$C,LOOKUP(2,1/(ISNUMBER($A$2:$A$1048576)),ROW($A$2:$A$1048576))))</f>
        <v/>
      </c>
      <c r="E61" s="12" t="n">
        <v>13</v>
      </c>
      <c r="F61" s="6">
        <f>-E61</f>
        <v/>
      </c>
      <c r="G61" s="7">
        <f>(F61-AVERAGE($F$2:INDEX($F:$F,LOOKUP(2,1/(ISNUMBER($A$2:$A$1048576)),ROW($A$2:$A$1048576)))))/_xlfn.STDEV.P($F$2:INDEX($F:$F,LOOKUP(2,1/(ISNUMBER($A$2:$A$1048576)),ROW($A$2:$A$1048576))))</f>
        <v/>
      </c>
      <c r="H61" s="32">
        <f>sum(0.5*D61)+(0.5*G61)</f>
        <v/>
      </c>
      <c r="I61" s="12" t="inlineStr">
        <is>
          <t>West</t>
        </is>
      </c>
      <c r="J61" s="10">
        <f>sum(L61*L$105)+(N61*N$105)+(P61*P$105)+(T61*R$105)</f>
        <v/>
      </c>
      <c r="K61" s="33">
        <f>PERCENTRANK(J$2:INDEX($J:$J,LOOKUP(2,1/(ISNUMBER($A$2:$A$1048576)),ROW($A$2:$A$1048576))),J61)</f>
        <v/>
      </c>
      <c r="L61" s="10">
        <f>sum(AA61*0.66)+(AD61*0.55)+(AG61*0.59)+(CG61*0.51)+(CL61*0.6)+(EY61*0.31)</f>
        <v/>
      </c>
      <c r="M61" s="33">
        <f>PERCENTRANK(L$2:INDEX($L:$L,LOOKUP(2,1/(ISNUMBER($A$2:$A$1048576)),ROW($A$2:$A$1048576))),L61)</f>
        <v/>
      </c>
      <c r="N61" s="10">
        <f>sum(CT61*0.57)+(CW61*0.71)+(DJ61*0.08)+(FC61*0.33)+(FG61*0.69)+(FM61*0.26)+(IU61*0.54)+(AU61*0.4)</f>
        <v/>
      </c>
      <c r="O61" s="33">
        <f>PERCENTRANK(N$2:INDEX($N:$N,LOOKUP(2,1/(ISNUMBER($A$2:$A$1048576)),ROW($A$2:$A$1048576))),N61)</f>
        <v/>
      </c>
      <c r="P61" s="10">
        <f>sum(BG61*0.51)+(CD61*0.51)+(DR61*0.11)+(EF61*0.42)+(EK61*0.44)+(W61*0.6)</f>
        <v/>
      </c>
      <c r="Q61" s="33">
        <f>PERCENTRANK(P$2:INDEX($P:$P,LOOKUP(2,1/(ISNUMBER($A$2:$A$1048576)),ROW($A$2:$A$1048576))),P61)</f>
        <v/>
      </c>
      <c r="R61" s="10">
        <f>sum(Y61-FE61)</f>
        <v/>
      </c>
      <c r="S61" s="33">
        <f>PERCENTRANK(R$2:INDEX($R:$R,LOOKUP(2,1/(ISNUMBER($A$2:$A$1048576)),ROW($A$2:$A$1048576))),R61)</f>
        <v/>
      </c>
      <c r="T61" s="34">
        <f>sum(R61-R$106)/R$107</f>
        <v/>
      </c>
      <c r="U61" s="35">
        <f>sum(Y61/AI61)*100</f>
        <v/>
      </c>
      <c r="V61" s="33">
        <f>PERCENTRANK(U$2:INDEX($U:$U,LOOKUP(2,1/(ISNUMBER($A$2:$A$1048576)),ROW($A$2:$A$1048576))),U61)</f>
        <v/>
      </c>
      <c r="W61" s="36">
        <f>sum(U61-U$106)/U$107</f>
        <v/>
      </c>
      <c r="X61" s="9" t="n">
        <v>1.45</v>
      </c>
      <c r="Y61" s="9" t="n">
        <v>1.15</v>
      </c>
      <c r="Z61" s="33">
        <f>PERCENTRANK(Y$2:INDEX($Y:$Y,LOOKUP(2,1/(ISNUMBER($A$2:$A$1048576)),ROW($A$2:$A$1048576))),Y61)</f>
        <v/>
      </c>
      <c r="AA61" s="37">
        <f>sum(Y61-Y$106)/Y$107</f>
        <v/>
      </c>
      <c r="AB61" s="9" t="n">
        <v>10.79</v>
      </c>
      <c r="AC61" s="33">
        <f>PERCENTRANK(AB$2:INDEX($AB:$AB,LOOKUP(2,1/(ISNUMBER($A$2:$A$1048576)),ROW($A$2:$A$1048576))),AB61)</f>
        <v/>
      </c>
      <c r="AD61" s="38">
        <f>sum(AB61-AB$106)/AB$107</f>
        <v/>
      </c>
      <c r="AE61" s="9" t="n">
        <v>3.97</v>
      </c>
      <c r="AF61" s="33">
        <f>PERCENTRANK(AE$2:INDEX($AE:$AE,LOOKUP(2,1/(ISNUMBER($A$2:$A$1048576)),ROW($A$2:$A$1048576))),AE61)</f>
        <v/>
      </c>
      <c r="AG61" s="38">
        <f>sum(AE61-AE$106)/AE$107</f>
        <v/>
      </c>
      <c r="AH61" s="9" t="n">
        <v>36.8</v>
      </c>
      <c r="AI61" s="9" t="n">
        <v>385.94</v>
      </c>
      <c r="AJ61" s="9" t="n">
        <v>313.06</v>
      </c>
      <c r="AK61" s="9" t="n">
        <v>81.12</v>
      </c>
      <c r="AL61" s="9" t="n">
        <v>47.95</v>
      </c>
      <c r="AM61" s="9" t="n">
        <v>105.21</v>
      </c>
      <c r="AN61" s="9" t="n">
        <v>18.36</v>
      </c>
      <c r="AO61" s="9" t="n">
        <v>38.09</v>
      </c>
      <c r="AP61" s="9" t="n">
        <v>48.76</v>
      </c>
      <c r="AQ61" s="9" t="n">
        <v>79.76000000000001</v>
      </c>
      <c r="AR61" s="9" t="n">
        <v>35.97</v>
      </c>
      <c r="AS61" s="9" t="n">
        <v>33.12</v>
      </c>
      <c r="AT61" s="33">
        <f>PERCENTRANK(AS$2:INDEX($AS:$AS,LOOKUP(2,1/(ISNUMBER($A$2:$A$1048576)),ROW($A$2:$A$1048576))),AS61)</f>
        <v/>
      </c>
      <c r="AU61" s="39">
        <f>SUM(AS61-AS$106)/AS$107</f>
        <v/>
      </c>
      <c r="AV61" s="9" t="n">
        <v>10.67</v>
      </c>
      <c r="AW61" s="33">
        <f>PERCENTRANK(AV$2:INDEX($AV:$AV,LOOKUP(2,1/(ISNUMBER($A$2:$A$1048576)),ROW($A$2:$A$1048576))),AV61)</f>
        <v/>
      </c>
      <c r="AX61" s="9" t="n">
        <v>193.88</v>
      </c>
      <c r="AY61" s="9" t="n">
        <v>92.09</v>
      </c>
      <c r="AZ61" s="9" t="n">
        <v>47.5</v>
      </c>
      <c r="BA61" s="9" t="n">
        <v>4.88</v>
      </c>
      <c r="BB61" s="9" t="n">
        <v>1.27</v>
      </c>
      <c r="BC61" s="9" t="n">
        <v>26.09</v>
      </c>
      <c r="BD61" s="9" t="n">
        <v>25.45</v>
      </c>
      <c r="BE61" s="9" t="n">
        <v>6.67</v>
      </c>
      <c r="BF61" s="33">
        <f>PERCENTRANK(BE$2:INDEX($BE:$BE,LOOKUP(2,1/(ISNUMBER($A$2:$A$1048576)),ROW($A$2:$A$1048576))),BE61)</f>
        <v/>
      </c>
      <c r="BG61" s="40">
        <f>sum(BE61-BE$106)/BE$107</f>
        <v/>
      </c>
      <c r="BH61" s="9" t="n">
        <v>26.19</v>
      </c>
      <c r="BI61" s="9" t="n">
        <v>0.33</v>
      </c>
      <c r="BJ61" s="9" t="n">
        <v>0.09</v>
      </c>
      <c r="BK61" s="9" t="n">
        <v>27.27</v>
      </c>
      <c r="BL61" s="9" t="n">
        <v>24.94</v>
      </c>
      <c r="BM61" s="9" t="n">
        <v>3.48</v>
      </c>
      <c r="BN61" s="9" t="n">
        <v>13.97</v>
      </c>
      <c r="BO61" s="9" t="n">
        <v>3.91</v>
      </c>
      <c r="BP61" s="9" t="n">
        <v>1.45</v>
      </c>
      <c r="BQ61" s="9" t="n">
        <v>37.21</v>
      </c>
      <c r="BR61" s="9" t="n">
        <v>3.36</v>
      </c>
      <c r="BS61" s="9" t="n">
        <v>0.91</v>
      </c>
      <c r="BT61" s="9" t="n">
        <v>27.03</v>
      </c>
      <c r="BU61" s="9" t="n">
        <v>0.15</v>
      </c>
      <c r="BV61" s="9" t="n">
        <v>0.12</v>
      </c>
      <c r="BW61" s="9" t="n">
        <v>80</v>
      </c>
      <c r="BX61" s="9" t="n">
        <v>14.06</v>
      </c>
      <c r="BY61" s="9" t="n">
        <v>4.39</v>
      </c>
      <c r="BZ61" s="9" t="n">
        <v>31.25</v>
      </c>
      <c r="CA61" s="9" t="n">
        <v>4.42</v>
      </c>
      <c r="CB61" s="9" t="n">
        <v>4.79</v>
      </c>
      <c r="CC61" s="33">
        <f>PERCENTRANK(CD$2:INDEX($CD:$CD,LOOKUP(2,1/(ISNUMBER($A$2:$A$1048576)),ROW($A$2:$A$1048576))),CD61)</f>
        <v/>
      </c>
      <c r="CD61" s="40">
        <f>sum(CB61-CB$106)/CB$107</f>
        <v/>
      </c>
      <c r="CE61" s="9" t="n">
        <v>20.7</v>
      </c>
      <c r="CF61" s="33">
        <f>PERCENTRANK(CE$2:INDEX($CE:$CE,LOOKUP(2,1/(ISNUMBER($A$2:$A$1048576)),ROW($A$2:$A$1048576))),CE61)</f>
        <v/>
      </c>
      <c r="CG61" s="38">
        <f>sum(CE61-CE$106)/CE$107</f>
        <v/>
      </c>
      <c r="CH61" s="9" t="n">
        <v>2.03</v>
      </c>
      <c r="CI61" s="9" t="n">
        <v>9.699999999999999</v>
      </c>
      <c r="CJ61" s="9" t="n">
        <v>12.15</v>
      </c>
      <c r="CK61" s="33">
        <f>PERCENTRANK(CJ$2:INDEX($CJ:$CJ,LOOKUP(2,1/(ISNUMBER($A$2:$A$1048576)),ROW($A$2:$A$1048576))),CJ61)</f>
        <v/>
      </c>
      <c r="CL61" s="38">
        <f>sum(CJ61-CJ$106)/CJ$107</f>
        <v/>
      </c>
      <c r="CM61" s="9" t="n">
        <v>56.85</v>
      </c>
      <c r="CN61" s="9" t="n">
        <v>23.24</v>
      </c>
      <c r="CO61" s="9" t="n">
        <v>40.88</v>
      </c>
      <c r="CP61" s="9" t="n">
        <v>2.06</v>
      </c>
      <c r="CQ61" s="9" t="n">
        <v>1.76</v>
      </c>
      <c r="CR61" s="9" t="n">
        <v>10.15</v>
      </c>
      <c r="CS61" s="33">
        <f>PERCENTRANK(CR$2:INDEX($CR:$CR,LOOKUP(2,1/(ISNUMBER($A$2:$A$1048576)),ROW($A$2:$A$1048576))),CR61)</f>
        <v/>
      </c>
      <c r="CT61" s="39">
        <f>1-(CR61-CR$106)/CR$107</f>
        <v/>
      </c>
      <c r="CU61" s="9" t="n">
        <v>4.48</v>
      </c>
      <c r="CV61" s="33">
        <f>PERCENTRANK(CU$2:INDEX($CU:$CU,LOOKUP(2,1/(ISNUMBER($A$2:$A$1048576)),ROW($A$2:$A$1048576))),CU61)</f>
        <v/>
      </c>
      <c r="CW61" s="39">
        <f>1-(CU61-CU$106)/CU$107</f>
        <v/>
      </c>
      <c r="CX61" s="9" t="n">
        <v>44.18</v>
      </c>
      <c r="CY61" s="9" t="n">
        <v>66.58</v>
      </c>
      <c r="CZ61" s="9" t="n">
        <v>38.85</v>
      </c>
      <c r="DA61" s="9" t="n">
        <v>58.35</v>
      </c>
      <c r="DB61" s="9" t="n">
        <v>39.09</v>
      </c>
      <c r="DC61" s="9" t="n">
        <v>16.58</v>
      </c>
      <c r="DD61" s="9" t="n">
        <v>42.4</v>
      </c>
      <c r="DE61" s="9" t="n">
        <v>3.52</v>
      </c>
      <c r="DF61" s="9" t="n">
        <v>1.61</v>
      </c>
      <c r="DG61" s="9" t="n">
        <v>45.69</v>
      </c>
      <c r="DH61" s="9" t="n">
        <v>37.09</v>
      </c>
      <c r="DI61" s="33">
        <f>PERCENTRANK(DH$2:INDEX($DH:$DH,LOOKUP(2,1/(ISNUMBER($A$2:$A$1048576)),ROW($A$2:$A$1048576))),DH61)</f>
        <v/>
      </c>
      <c r="DJ61" s="39">
        <f>SUM(DH61-DH$106)/DH$107</f>
        <v/>
      </c>
      <c r="DK61" s="9" t="n">
        <v>14.88</v>
      </c>
      <c r="DL61" s="9" t="n">
        <v>15.91</v>
      </c>
      <c r="DM61" s="9" t="n">
        <v>2.7</v>
      </c>
      <c r="DN61" s="9" t="n">
        <v>0.15</v>
      </c>
      <c r="DO61" s="9" t="n">
        <v>137.76</v>
      </c>
      <c r="DP61" s="9" t="n">
        <v>95.61</v>
      </c>
      <c r="DQ61" s="33">
        <f>PERCENTRANK(DP$2:INDEX($DP:$DP,LOOKUP(2,1/(ISNUMBER($A$2:$A$1048576)),ROW($A$2:$A$1048576))),DP61)</f>
        <v/>
      </c>
      <c r="DR61" s="40">
        <f>sum(DP61-DP$106)/DP$107</f>
        <v/>
      </c>
      <c r="DS61" s="9" t="n">
        <v>69.40000000000001</v>
      </c>
      <c r="DT61" s="9" t="n">
        <v>57.09</v>
      </c>
      <c r="DU61" s="9" t="n">
        <v>53.64</v>
      </c>
      <c r="DV61" s="9" t="n">
        <v>93.95</v>
      </c>
      <c r="DW61" s="9" t="n">
        <v>137.48</v>
      </c>
      <c r="DX61" s="9" t="n">
        <v>120.06</v>
      </c>
      <c r="DY61" s="9" t="n">
        <v>87.33</v>
      </c>
      <c r="DZ61" s="9" t="n">
        <v>53.52</v>
      </c>
      <c r="EA61" s="9" t="n">
        <v>28.18</v>
      </c>
      <c r="EB61" s="9" t="n">
        <v>52.66</v>
      </c>
      <c r="EC61" s="9" t="n">
        <v>51.73</v>
      </c>
      <c r="ED61" s="9" t="n">
        <v>31.33</v>
      </c>
      <c r="EE61" s="33">
        <f>PERCENTRANK(ED$2:INDEX($ED:$ED,LOOKUP(2,1/(ISNUMBER($A$2:$A$1048576)),ROW($A$2:$A$1048576))),ED61)</f>
        <v/>
      </c>
      <c r="EF61" s="40">
        <f>sum(ED61-ED$106)/ED$107</f>
        <v/>
      </c>
      <c r="EG61" s="9" t="n">
        <v>60.57</v>
      </c>
      <c r="EH61" s="9" t="n">
        <v>69.91</v>
      </c>
      <c r="EI61" s="9" t="n">
        <v>48.88</v>
      </c>
      <c r="EJ61" s="33">
        <f>PERCENTRANK(EI$2:INDEX($EI:$EI,LOOKUP(2,1/(ISNUMBER($A$2:$A$1048576)),ROW($A$2:$A$1048576))),EI61)</f>
        <v/>
      </c>
      <c r="EK61" s="40">
        <f>sum(EI61-EI$106)/EI$107</f>
        <v/>
      </c>
      <c r="EL61" s="9" t="n">
        <v>69.92</v>
      </c>
      <c r="EM61" s="9" t="n">
        <v>2.36</v>
      </c>
      <c r="EN61" s="9" t="n">
        <v>1.03</v>
      </c>
      <c r="EO61" s="9" t="n">
        <v>43.59</v>
      </c>
      <c r="EP61" s="9" t="n">
        <v>20.21</v>
      </c>
      <c r="EQ61" s="9" t="n">
        <v>17.88</v>
      </c>
      <c r="ER61" s="9" t="n">
        <v>88.45999999999999</v>
      </c>
      <c r="ES61" s="9" t="n">
        <v>6.97</v>
      </c>
      <c r="ET61" s="9" t="n">
        <v>16.56</v>
      </c>
      <c r="EU61" s="9" t="n">
        <v>3.78</v>
      </c>
      <c r="EV61" s="9" t="n">
        <v>14.28</v>
      </c>
      <c r="EW61" s="9" t="n">
        <v>18.49</v>
      </c>
      <c r="EX61" s="33">
        <f>PERCENTRANK(EW$2:INDEX($EW:$EW,LOOKUP(2,1/(ISNUMBER($A$2:$A$1048576)),ROW($A$2:$A$1048576))),EW61)</f>
        <v/>
      </c>
      <c r="EY61" s="38">
        <f>1-(EW61-EW$106)/EW$107</f>
        <v/>
      </c>
      <c r="EZ61" s="9" t="n">
        <v>20.76</v>
      </c>
      <c r="FA61" s="9" t="n">
        <v>11.03</v>
      </c>
      <c r="FB61" s="33">
        <f>PERCENTRANK(FA$2:INDEX($FA:$FA,LOOKUP(2,1/(ISNUMBER($A$2:$A$1048576)),ROW($A$2:$A$1048576))),FA61)</f>
        <v/>
      </c>
      <c r="FC61" s="39">
        <f>1-(FA61-FA$106)/FA$107</f>
        <v/>
      </c>
      <c r="FD61" s="9" t="n">
        <v>1.76</v>
      </c>
      <c r="FE61" s="9" t="n">
        <v>1.23</v>
      </c>
      <c r="FF61" s="33">
        <f>PERCENTRANK(FE$2:INDEX($FE:$FE,LOOKUP(2,1/(ISNUMBER($A$2:$A$1048576)),ROW($A$2:$A$1048576))),FE61)</f>
        <v/>
      </c>
      <c r="FG61" s="39">
        <f>1-(FE61-FE$106)/FE$107</f>
        <v/>
      </c>
      <c r="FH61" s="9" t="n">
        <v>10.15</v>
      </c>
      <c r="FI61" s="9" t="n">
        <v>4.18</v>
      </c>
      <c r="FJ61" s="9" t="n">
        <v>41.19</v>
      </c>
      <c r="FK61" s="9" t="n">
        <v>415.82</v>
      </c>
      <c r="FL61" s="33">
        <f>PERCENTRANK(FK$2:INDEX($FK:$FK,LOOKUP(2,1/(ISNUMBER($A$2:$A$1048576)),ROW($A$2:$A$1048576))),FK61)</f>
        <v/>
      </c>
      <c r="FM61" s="39">
        <f>SWA60-(FK61-FK$106)/FK$107</f>
        <v/>
      </c>
      <c r="FN61" s="9" t="n">
        <v>343.06</v>
      </c>
      <c r="FO61" s="9" t="n">
        <v>82.5</v>
      </c>
      <c r="FP61" s="9" t="n">
        <v>52.05</v>
      </c>
      <c r="FQ61" s="9" t="n">
        <v>105.3</v>
      </c>
      <c r="FR61" s="9" t="n">
        <v>18.15</v>
      </c>
      <c r="FS61" s="9" t="n">
        <v>40.39</v>
      </c>
      <c r="FT61" s="9" t="n">
        <v>46.76</v>
      </c>
      <c r="FU61" s="9" t="n">
        <v>81.27</v>
      </c>
      <c r="FV61" s="9" t="n">
        <v>35.88</v>
      </c>
      <c r="FW61" s="9" t="n">
        <v>34.64</v>
      </c>
      <c r="FX61" s="9" t="n">
        <v>10.76</v>
      </c>
      <c r="FY61" s="9" t="n">
        <v>193.88</v>
      </c>
      <c r="FZ61" s="9" t="n">
        <v>94.33</v>
      </c>
      <c r="GA61" s="9" t="n">
        <v>48.66</v>
      </c>
      <c r="GB61" s="9" t="n">
        <v>4.12</v>
      </c>
      <c r="GC61" s="9" t="n">
        <v>1.06</v>
      </c>
      <c r="GD61" s="9" t="n">
        <v>25.74</v>
      </c>
      <c r="GE61" s="9" t="n">
        <v>26.12</v>
      </c>
      <c r="GF61" s="9" t="n">
        <v>5.55</v>
      </c>
      <c r="GG61" s="9" t="n">
        <v>21.23</v>
      </c>
      <c r="GH61" s="9" t="n">
        <v>1.21</v>
      </c>
      <c r="GI61" s="9" t="n">
        <v>0.61</v>
      </c>
      <c r="GJ61" s="9" t="n">
        <v>50</v>
      </c>
      <c r="GK61" s="9" t="n">
        <v>28.09</v>
      </c>
      <c r="GL61" s="9" t="n">
        <v>3.24</v>
      </c>
      <c r="GM61" s="9" t="n">
        <v>11.54</v>
      </c>
      <c r="GN61" s="9" t="n">
        <v>3.94</v>
      </c>
      <c r="GO61" s="9" t="n">
        <v>1.18</v>
      </c>
      <c r="GP61" s="9" t="n">
        <v>30</v>
      </c>
      <c r="GQ61" s="9" t="n">
        <v>2.88</v>
      </c>
      <c r="GR61" s="9" t="n">
        <v>0.7</v>
      </c>
      <c r="GS61" s="9" t="n">
        <v>24.21</v>
      </c>
      <c r="GT61" s="9" t="n">
        <v>0.21</v>
      </c>
      <c r="GU61" s="9" t="n">
        <v>0.18</v>
      </c>
      <c r="GV61" s="9" t="n">
        <v>85.70999999999999</v>
      </c>
      <c r="GW61" s="9" t="n">
        <v>11.67</v>
      </c>
      <c r="GX61" s="9" t="n">
        <v>3.45</v>
      </c>
      <c r="GY61" s="9" t="n">
        <v>29.61</v>
      </c>
      <c r="GZ61" s="9" t="n">
        <v>3.36</v>
      </c>
      <c r="HA61" s="9" t="n">
        <v>6.12</v>
      </c>
      <c r="HB61" s="9" t="n">
        <v>20.42</v>
      </c>
      <c r="HC61" s="9" t="n">
        <v>3.79</v>
      </c>
      <c r="HD61" s="9" t="n">
        <v>6.52</v>
      </c>
      <c r="HE61" s="9" t="n">
        <v>15</v>
      </c>
      <c r="HF61" s="9" t="n">
        <v>66.58</v>
      </c>
      <c r="HG61" s="9" t="n">
        <v>27.73</v>
      </c>
      <c r="HH61" s="9" t="n">
        <v>41.65</v>
      </c>
      <c r="HI61" s="9" t="n">
        <v>2.12</v>
      </c>
      <c r="HJ61" s="9" t="n">
        <v>1.45</v>
      </c>
      <c r="HK61" s="9" t="n">
        <v>10.79</v>
      </c>
      <c r="HL61" s="9" t="n">
        <v>4.03</v>
      </c>
      <c r="HM61" s="9" t="n">
        <v>37.36</v>
      </c>
      <c r="HN61" s="9" t="n">
        <v>56.85</v>
      </c>
      <c r="HO61" s="9" t="n">
        <v>33.61</v>
      </c>
      <c r="HP61" s="9" t="n">
        <v>59.12</v>
      </c>
      <c r="HQ61" s="9" t="n">
        <v>39.09</v>
      </c>
      <c r="HR61" s="9" t="n">
        <v>20.03</v>
      </c>
      <c r="HS61" s="9" t="n">
        <v>51.24</v>
      </c>
      <c r="HT61" s="9" t="n">
        <v>3.55</v>
      </c>
      <c r="HU61" s="9" t="n">
        <v>1.61</v>
      </c>
      <c r="HV61" s="9" t="n">
        <v>45.3</v>
      </c>
      <c r="HW61" s="9" t="n">
        <v>37.7</v>
      </c>
      <c r="HX61" s="9" t="n">
        <v>14.79</v>
      </c>
      <c r="HY61" s="9" t="n">
        <v>14.03</v>
      </c>
      <c r="HZ61" s="9" t="n">
        <v>2.67</v>
      </c>
      <c r="IA61" s="9" t="n">
        <v>0.18</v>
      </c>
      <c r="IB61" s="9" t="n">
        <v>139.61</v>
      </c>
      <c r="IC61" s="9" t="n">
        <v>96.23999999999999</v>
      </c>
      <c r="ID61" s="9" t="n">
        <v>68.94</v>
      </c>
      <c r="IE61" s="9" t="n">
        <v>64.36</v>
      </c>
      <c r="IF61" s="9" t="n">
        <v>60.48</v>
      </c>
      <c r="IG61" s="9" t="n">
        <v>93.97</v>
      </c>
      <c r="IH61" s="9" t="n">
        <v>156.61</v>
      </c>
      <c r="II61" s="9" t="n">
        <v>140.73</v>
      </c>
      <c r="IJ61" s="9" t="n">
        <v>89.86</v>
      </c>
      <c r="IK61" s="9" t="n">
        <v>50.85</v>
      </c>
      <c r="IL61" s="9" t="n">
        <v>25.61</v>
      </c>
      <c r="IM61" s="9" t="n">
        <v>50.36</v>
      </c>
      <c r="IN61" s="9" t="n">
        <v>51.27</v>
      </c>
      <c r="IO61" s="9" t="n">
        <v>31.58</v>
      </c>
      <c r="IP61" s="9" t="n">
        <v>61.58</v>
      </c>
      <c r="IQ61" s="9" t="n">
        <v>69.09</v>
      </c>
      <c r="IR61" s="9" t="n">
        <v>48.61</v>
      </c>
      <c r="IS61" s="9" t="n">
        <v>70.34999999999999</v>
      </c>
      <c r="IT61" s="33">
        <f>PERCENTRANK(IS$2:INDEX($IS:$IS,LOOKUP(2,1/(ISNUMBER($A$2:$A$1048576)),ROW($A$2:$A$1048576))),IS61)</f>
        <v/>
      </c>
      <c r="IU61" s="39">
        <f>1-(IS61-IS$106)/IS$107</f>
        <v/>
      </c>
      <c r="IV61" s="9" t="n">
        <v>4.3</v>
      </c>
      <c r="IW61" s="9" t="n">
        <v>1.88</v>
      </c>
      <c r="IX61" s="9" t="n">
        <v>43.66</v>
      </c>
      <c r="IY61" s="9" t="n">
        <v>22</v>
      </c>
      <c r="IZ61" s="9" t="n">
        <v>19.15</v>
      </c>
      <c r="JA61" s="9" t="n">
        <v>87.05</v>
      </c>
      <c r="JB61" s="9" t="n">
        <v>7.42</v>
      </c>
      <c r="JC61" s="9" t="n">
        <v>16.18</v>
      </c>
      <c r="JD61" s="9" t="n">
        <v>3.93</v>
      </c>
      <c r="JE61" s="9" t="n">
        <v>12.74</v>
      </c>
      <c r="JF61" s="9" t="n">
        <v>18.23</v>
      </c>
      <c r="JG61" s="9" t="n">
        <v>20.62</v>
      </c>
      <c r="JH61" s="9" t="n">
        <v>10.78</v>
      </c>
    </row>
    <row r="62">
      <c r="A62" s="12" t="n">
        <v>2024</v>
      </c>
      <c r="B62" s="31" t="inlineStr">
        <is>
          <t>Hartford Athletic</t>
        </is>
      </c>
      <c r="C62" s="12" t="n">
        <v>44</v>
      </c>
      <c r="D62" s="5">
        <f>(C62-AVERAGE($C$2:INDEX($C:$C,LOOKUP(2,1/(ISNUMBER($A$2:$A$1048576)),ROW($A$2:$A$1048576)))))/_xlfn.STDEV.P($C$2:INDEX($C:$C,LOOKUP(2,1/(ISNUMBER($A$2:$A$1048576)),ROW($A$2:$A$1048576))))</f>
        <v/>
      </c>
      <c r="E62" s="12" t="n">
        <v>10</v>
      </c>
      <c r="F62" s="6">
        <f>-E62</f>
        <v/>
      </c>
      <c r="G62" s="7">
        <f>(F62-AVERAGE($F$2:INDEX($F:$F,LOOKUP(2,1/(ISNUMBER($A$2:$A$1048576)),ROW($A$2:$A$1048576)))))/_xlfn.STDEV.P($F$2:INDEX($F:$F,LOOKUP(2,1/(ISNUMBER($A$2:$A$1048576)),ROW($A$2:$A$1048576))))</f>
        <v/>
      </c>
      <c r="H62" s="32">
        <f>sum(0.5*D62)+(0.5*G62)</f>
        <v/>
      </c>
      <c r="I62" s="12" t="inlineStr">
        <is>
          <t>East</t>
        </is>
      </c>
      <c r="J62" s="10">
        <f>sum(L62*L$105)+(N62*N$105)+(P62*P$105)+(T62*R$105)</f>
        <v/>
      </c>
      <c r="K62" s="33">
        <f>PERCENTRANK(J$2:INDEX($J:$J,LOOKUP(2,1/(ISNUMBER($A$2:$A$1048576)),ROW($A$2:$A$1048576))),J62)</f>
        <v/>
      </c>
      <c r="L62" s="10">
        <f>sum(AA62*0.66)+(AD62*0.55)+(AG62*0.59)+(CG62*0.51)+(CL62*0.6)+(EY62*0.31)</f>
        <v/>
      </c>
      <c r="M62" s="33">
        <f>PERCENTRANK(L$2:INDEX($L:$L,LOOKUP(2,1/(ISNUMBER($A$2:$A$1048576)),ROW($A$2:$A$1048576))),L62)</f>
        <v/>
      </c>
      <c r="N62" s="10">
        <f>sum(CT62*0.57)+(CW62*0.71)+(DJ62*0.08)+(FC62*0.33)+(FG62*0.69)+(FM62*0.26)+(IU62*0.54)+(AU62*0.4)</f>
        <v/>
      </c>
      <c r="O62" s="33">
        <f>PERCENTRANK(N$2:INDEX($N:$N,LOOKUP(2,1/(ISNUMBER($A$2:$A$1048576)),ROW($A$2:$A$1048576))),N62)</f>
        <v/>
      </c>
      <c r="P62" s="10">
        <f>sum(BG62*0.51)+(CD62*0.51)+(DR62*0.11)+(EF62*0.42)+(EK62*0.44)+(W62*0.6)</f>
        <v/>
      </c>
      <c r="Q62" s="33">
        <f>PERCENTRANK(P$2:INDEX($P:$P,LOOKUP(2,1/(ISNUMBER($A$2:$A$1048576)),ROW($A$2:$A$1048576))),P62)</f>
        <v/>
      </c>
      <c r="R62" s="10">
        <f>sum(Y62-FE62)</f>
        <v/>
      </c>
      <c r="S62" s="33">
        <f>PERCENTRANK(R$2:INDEX($R:$R,LOOKUP(2,1/(ISNUMBER($A$2:$A$1048576)),ROW($A$2:$A$1048576))),R62)</f>
        <v/>
      </c>
      <c r="T62" s="34">
        <f>sum(R62-R$106)/R$107</f>
        <v/>
      </c>
      <c r="U62" s="35">
        <f>sum(Y62/AI62)*100</f>
        <v/>
      </c>
      <c r="V62" s="33">
        <f>PERCENTRANK(U$2:INDEX($U:$U,LOOKUP(2,1/(ISNUMBER($A$2:$A$1048576)),ROW($A$2:$A$1048576))),U62)</f>
        <v/>
      </c>
      <c r="W62" s="36">
        <f>sum(U62-U$106)/U$107</f>
        <v/>
      </c>
      <c r="X62" s="9" t="n">
        <v>1.15</v>
      </c>
      <c r="Y62" s="9" t="n">
        <v>1.34</v>
      </c>
      <c r="Z62" s="33">
        <f>PERCENTRANK(Y$2:INDEX($Y:$Y,LOOKUP(2,1/(ISNUMBER($A$2:$A$1048576)),ROW($A$2:$A$1048576))),Y62)</f>
        <v/>
      </c>
      <c r="AA62" s="37">
        <f>sum(Y62-Y$106)/Y$107</f>
        <v/>
      </c>
      <c r="AB62" s="9" t="n">
        <v>10.06</v>
      </c>
      <c r="AC62" s="33">
        <f>PERCENTRANK(AB$2:INDEX($AB:$AB,LOOKUP(2,1/(ISNUMBER($A$2:$A$1048576)),ROW($A$2:$A$1048576))),AB62)</f>
        <v/>
      </c>
      <c r="AD62" s="38">
        <f>sum(AB62-AB$106)/AB$107</f>
        <v/>
      </c>
      <c r="AE62" s="9" t="n">
        <v>3.79</v>
      </c>
      <c r="AF62" s="33">
        <f>PERCENTRANK(AE$2:INDEX($AE:$AE,LOOKUP(2,1/(ISNUMBER($A$2:$A$1048576)),ROW($A$2:$A$1048576))),AE62)</f>
        <v/>
      </c>
      <c r="AG62" s="38">
        <f>sum(AE62-AE$106)/AE$107</f>
        <v/>
      </c>
      <c r="AH62" s="9" t="n">
        <v>37.72</v>
      </c>
      <c r="AI62" s="9" t="n">
        <v>387.53</v>
      </c>
      <c r="AJ62" s="9" t="n">
        <v>317.26</v>
      </c>
      <c r="AK62" s="9" t="n">
        <v>81.87</v>
      </c>
      <c r="AL62" s="9" t="n">
        <v>48.96</v>
      </c>
      <c r="AM62" s="9" t="n">
        <v>101.41</v>
      </c>
      <c r="AN62" s="9" t="n">
        <v>19.41</v>
      </c>
      <c r="AO62" s="9" t="n">
        <v>35.85</v>
      </c>
      <c r="AP62" s="9" t="n">
        <v>46.15</v>
      </c>
      <c r="AQ62" s="9" t="n">
        <v>75.47</v>
      </c>
      <c r="AR62" s="9" t="n">
        <v>36.12</v>
      </c>
      <c r="AS62" s="9" t="n">
        <v>28.71</v>
      </c>
      <c r="AT62" s="33">
        <f>PERCENTRANK(AS$2:INDEX($AS:$AS,LOOKUP(2,1/(ISNUMBER($A$2:$A$1048576)),ROW($A$2:$A$1048576))),AS62)</f>
        <v/>
      </c>
      <c r="AU62" s="39">
        <f>SUM(AS62-AS$106)/AS$107</f>
        <v/>
      </c>
      <c r="AV62" s="9" t="n">
        <v>10.65</v>
      </c>
      <c r="AW62" s="33">
        <f>PERCENTRANK(AV$2:INDEX($AV:$AV,LOOKUP(2,1/(ISNUMBER($A$2:$A$1048576)),ROW($A$2:$A$1048576))),AV62)</f>
        <v/>
      </c>
      <c r="AX62" s="9" t="n">
        <v>186.82</v>
      </c>
      <c r="AY62" s="9" t="n">
        <v>90.81999999999999</v>
      </c>
      <c r="AZ62" s="9" t="n">
        <v>48.61</v>
      </c>
      <c r="BA62" s="9" t="n">
        <v>3.68</v>
      </c>
      <c r="BB62" s="9" t="n">
        <v>1.03</v>
      </c>
      <c r="BC62" s="9" t="n">
        <v>28</v>
      </c>
      <c r="BD62" s="9" t="n">
        <v>25</v>
      </c>
      <c r="BE62" s="9" t="n">
        <v>6.15</v>
      </c>
      <c r="BF62" s="33">
        <f>PERCENTRANK(BE$2:INDEX($BE:$BE,LOOKUP(2,1/(ISNUMBER($A$2:$A$1048576)),ROW($A$2:$A$1048576))),BE62)</f>
        <v/>
      </c>
      <c r="BG62" s="40">
        <f>sum(BE62-BE$106)/BE$107</f>
        <v/>
      </c>
      <c r="BH62" s="9" t="n">
        <v>24.59</v>
      </c>
      <c r="BI62" s="9" t="n">
        <v>0.9399999999999999</v>
      </c>
      <c r="BJ62" s="9" t="n">
        <v>0.29</v>
      </c>
      <c r="BK62" s="9" t="n">
        <v>31.25</v>
      </c>
      <c r="BL62" s="9" t="n">
        <v>26.53</v>
      </c>
      <c r="BM62" s="9" t="n">
        <v>3.18</v>
      </c>
      <c r="BN62" s="9" t="n">
        <v>11.97</v>
      </c>
      <c r="BO62" s="9" t="n">
        <v>4.32</v>
      </c>
      <c r="BP62" s="9" t="n">
        <v>1.44</v>
      </c>
      <c r="BQ62" s="9" t="n">
        <v>33.33</v>
      </c>
      <c r="BR62" s="9" t="n">
        <v>1.71</v>
      </c>
      <c r="BS62" s="9" t="n">
        <v>0.24</v>
      </c>
      <c r="BT62" s="9" t="n">
        <v>13.79</v>
      </c>
      <c r="BU62" s="9" t="n">
        <v>0.09</v>
      </c>
      <c r="BV62" s="9" t="n">
        <v>0.06</v>
      </c>
      <c r="BW62" s="9" t="n">
        <v>66.67</v>
      </c>
      <c r="BX62" s="9" t="n">
        <v>13.35</v>
      </c>
      <c r="BY62" s="9" t="n">
        <v>4.15</v>
      </c>
      <c r="BZ62" s="9" t="n">
        <v>31.06</v>
      </c>
      <c r="CA62" s="9" t="n">
        <v>4.03</v>
      </c>
      <c r="CB62" s="9" t="n">
        <v>6.06</v>
      </c>
      <c r="CC62" s="33">
        <f>PERCENTRANK(CD$2:INDEX($CD:$CD,LOOKUP(2,1/(ISNUMBER($A$2:$A$1048576)),ROW($A$2:$A$1048576))),CD62)</f>
        <v/>
      </c>
      <c r="CD62" s="40">
        <f>sum(CB62-CB$106)/CB$107</f>
        <v/>
      </c>
      <c r="CE62" s="9" t="n">
        <v>22.94</v>
      </c>
      <c r="CF62" s="33">
        <f>PERCENTRANK(CE$2:INDEX($CE:$CE,LOOKUP(2,1/(ISNUMBER($A$2:$A$1048576)),ROW($A$2:$A$1048576))),CE62)</f>
        <v/>
      </c>
      <c r="CG62" s="38">
        <f>sum(CE62-CE$106)/CE$107</f>
        <v/>
      </c>
      <c r="CH62" s="9" t="n">
        <v>4.12</v>
      </c>
      <c r="CI62" s="9" t="n">
        <v>8.18</v>
      </c>
      <c r="CJ62" s="9" t="n">
        <v>15.65</v>
      </c>
      <c r="CK62" s="33">
        <f>PERCENTRANK(CJ$2:INDEX($CJ:$CJ,LOOKUP(2,1/(ISNUMBER($A$2:$A$1048576)),ROW($A$2:$A$1048576))),CJ62)</f>
        <v/>
      </c>
      <c r="CL62" s="38">
        <f>sum(CJ62-CJ$106)/CJ$107</f>
        <v/>
      </c>
      <c r="CM62" s="9" t="n">
        <v>63.15</v>
      </c>
      <c r="CN62" s="9" t="n">
        <v>25.32</v>
      </c>
      <c r="CO62" s="9" t="n">
        <v>40.1</v>
      </c>
      <c r="CP62" s="9" t="n">
        <v>2.15</v>
      </c>
      <c r="CQ62" s="9" t="n">
        <v>1.53</v>
      </c>
      <c r="CR62" s="9" t="n">
        <v>14.53</v>
      </c>
      <c r="CS62" s="33">
        <f>PERCENTRANK(CR$2:INDEX($CR:$CR,LOOKUP(2,1/(ISNUMBER($A$2:$A$1048576)),ROW($A$2:$A$1048576))),CR62)</f>
        <v/>
      </c>
      <c r="CT62" s="39">
        <f>1-(CR62-CR$106)/CR$107</f>
        <v/>
      </c>
      <c r="CU62" s="9" t="n">
        <v>5.38</v>
      </c>
      <c r="CV62" s="33">
        <f>PERCENTRANK(CU$2:INDEX($CU:$CU,LOOKUP(2,1/(ISNUMBER($A$2:$A$1048576)),ROW($A$2:$A$1048576))),CU62)</f>
        <v/>
      </c>
      <c r="CW62" s="39">
        <f>1-(CU62-CU$106)/CU$107</f>
        <v/>
      </c>
      <c r="CX62" s="9" t="n">
        <v>37.04</v>
      </c>
      <c r="CY62" s="9" t="n">
        <v>62.94</v>
      </c>
      <c r="CZ62" s="9" t="n">
        <v>38</v>
      </c>
      <c r="DA62" s="9" t="n">
        <v>60.37</v>
      </c>
      <c r="DB62" s="9" t="n">
        <v>37.62</v>
      </c>
      <c r="DC62" s="9" t="n">
        <v>17.62</v>
      </c>
      <c r="DD62" s="9" t="n">
        <v>46.83</v>
      </c>
      <c r="DE62" s="9" t="n">
        <v>2.94</v>
      </c>
      <c r="DF62" s="9" t="n">
        <v>1.65</v>
      </c>
      <c r="DG62" s="9" t="n">
        <v>56</v>
      </c>
      <c r="DH62" s="9" t="n">
        <v>40.85</v>
      </c>
      <c r="DI62" s="33">
        <f>PERCENTRANK(DH$2:INDEX($DH:$DH,LOOKUP(2,1/(ISNUMBER($A$2:$A$1048576)),ROW($A$2:$A$1048576))),DH62)</f>
        <v/>
      </c>
      <c r="DJ62" s="39">
        <f>SUM(DH62-DH$106)/DH$107</f>
        <v/>
      </c>
      <c r="DK62" s="9" t="n">
        <v>14.32</v>
      </c>
      <c r="DL62" s="9" t="n">
        <v>12.5</v>
      </c>
      <c r="DM62" s="9" t="n">
        <v>2.35</v>
      </c>
      <c r="DN62" s="9" t="n">
        <v>0.12</v>
      </c>
      <c r="DO62" s="9" t="n">
        <v>132.82</v>
      </c>
      <c r="DP62" s="9" t="n">
        <v>91.76000000000001</v>
      </c>
      <c r="DQ62" s="33">
        <f>PERCENTRANK(DP$2:INDEX($DP:$DP,LOOKUP(2,1/(ISNUMBER($A$2:$A$1048576)),ROW($A$2:$A$1048576))),DP62)</f>
        <v/>
      </c>
      <c r="DR62" s="40">
        <f>sum(DP62-DP$106)/DP$107</f>
        <v/>
      </c>
      <c r="DS62" s="9" t="n">
        <v>69.09</v>
      </c>
      <c r="DT62" s="9" t="n">
        <v>59.35</v>
      </c>
      <c r="DU62" s="9" t="n">
        <v>56.09</v>
      </c>
      <c r="DV62" s="9" t="n">
        <v>94.5</v>
      </c>
      <c r="DW62" s="9" t="n">
        <v>144.24</v>
      </c>
      <c r="DX62" s="9" t="n">
        <v>127.82</v>
      </c>
      <c r="DY62" s="9" t="n">
        <v>88.62</v>
      </c>
      <c r="DZ62" s="9" t="n">
        <v>51.56</v>
      </c>
      <c r="EA62" s="9" t="n">
        <v>26.26</v>
      </c>
      <c r="EB62" s="9" t="n">
        <v>50.94</v>
      </c>
      <c r="EC62" s="9" t="n">
        <v>52.79</v>
      </c>
      <c r="ED62" s="9" t="n">
        <v>33.38</v>
      </c>
      <c r="EE62" s="33">
        <f>PERCENTRANK(ED$2:INDEX($ED:$ED,LOOKUP(2,1/(ISNUMBER($A$2:$A$1048576)),ROW($A$2:$A$1048576))),ED62)</f>
        <v/>
      </c>
      <c r="EF62" s="40">
        <f>sum(ED62-ED$106)/ED$107</f>
        <v/>
      </c>
      <c r="EG62" s="9" t="n">
        <v>63.23</v>
      </c>
      <c r="EH62" s="9" t="n">
        <v>67.06</v>
      </c>
      <c r="EI62" s="9" t="n">
        <v>46.53</v>
      </c>
      <c r="EJ62" s="33">
        <f>PERCENTRANK(EI$2:INDEX($EI:$EI,LOOKUP(2,1/(ISNUMBER($A$2:$A$1048576)),ROW($A$2:$A$1048576))),EI62)</f>
        <v/>
      </c>
      <c r="EK62" s="40">
        <f>sum(EI62-EI$106)/EI$107</f>
        <v/>
      </c>
      <c r="EL62" s="9" t="n">
        <v>69.39</v>
      </c>
      <c r="EM62" s="9" t="n">
        <v>1.82</v>
      </c>
      <c r="EN62" s="9" t="n">
        <v>0.79</v>
      </c>
      <c r="EO62" s="9" t="n">
        <v>43.55</v>
      </c>
      <c r="EP62" s="9" t="n">
        <v>18.15</v>
      </c>
      <c r="EQ62" s="9" t="n">
        <v>16.65</v>
      </c>
      <c r="ER62" s="9" t="n">
        <v>91.73</v>
      </c>
      <c r="ES62" s="9" t="n">
        <v>8.85</v>
      </c>
      <c r="ET62" s="9" t="n">
        <v>15.72</v>
      </c>
      <c r="EU62" s="9" t="n">
        <v>3.93</v>
      </c>
      <c r="EV62" s="9" t="n">
        <v>13.9</v>
      </c>
      <c r="EW62" s="9" t="n">
        <v>18.01</v>
      </c>
      <c r="EX62" s="33">
        <f>PERCENTRANK(EW$2:INDEX($EW:$EW,LOOKUP(2,1/(ISNUMBER($A$2:$A$1048576)),ROW($A$2:$A$1048576))),EW62)</f>
        <v/>
      </c>
      <c r="EY62" s="38">
        <f>1-(EW62-EW$106)/EW$107</f>
        <v/>
      </c>
      <c r="EZ62" s="9" t="n">
        <v>20.77</v>
      </c>
      <c r="FA62" s="9" t="n">
        <v>11.77</v>
      </c>
      <c r="FB62" s="33">
        <f>PERCENTRANK(FA$2:INDEX($FA:$FA,LOOKUP(2,1/(ISNUMBER($A$2:$A$1048576)),ROW($A$2:$A$1048576))),FA62)</f>
        <v/>
      </c>
      <c r="FC62" s="39">
        <f>1-(FA62-FA$106)/FA$107</f>
        <v/>
      </c>
      <c r="FD62" s="9" t="n">
        <v>1.53</v>
      </c>
      <c r="FE62" s="9" t="n">
        <v>1.7</v>
      </c>
      <c r="FF62" s="33">
        <f>PERCENTRANK(FE$2:INDEX($FE:$FE,LOOKUP(2,1/(ISNUMBER($A$2:$A$1048576)),ROW($A$2:$A$1048576))),FE62)</f>
        <v/>
      </c>
      <c r="FG62" s="39">
        <f>1-(FE62-FE$106)/FE$107</f>
        <v/>
      </c>
      <c r="FH62" s="9" t="n">
        <v>14.53</v>
      </c>
      <c r="FI62" s="9" t="n">
        <v>5.15</v>
      </c>
      <c r="FJ62" s="9" t="n">
        <v>35.43</v>
      </c>
      <c r="FK62" s="9" t="n">
        <v>412.03</v>
      </c>
      <c r="FL62" s="33">
        <f>PERCENTRANK(FK$2:INDEX($FK:$FK,LOOKUP(2,1/(ISNUMBER($A$2:$A$1048576)),ROW($A$2:$A$1048576))),FK62)</f>
        <v/>
      </c>
      <c r="FM62" s="39">
        <f>SWA61-(FK62-FK$106)/FK$107</f>
        <v/>
      </c>
      <c r="FN62" s="9" t="n">
        <v>343.53</v>
      </c>
      <c r="FO62" s="9" t="n">
        <v>83.37</v>
      </c>
      <c r="FP62" s="9" t="n">
        <v>51.04</v>
      </c>
      <c r="FQ62" s="9" t="n">
        <v>100.76</v>
      </c>
      <c r="FR62" s="9" t="n">
        <v>17.68</v>
      </c>
      <c r="FS62" s="9" t="n">
        <v>34.94</v>
      </c>
      <c r="FT62" s="9" t="n">
        <v>48.15</v>
      </c>
      <c r="FU62" s="9" t="n">
        <v>76</v>
      </c>
      <c r="FV62" s="9" t="n">
        <v>33.56</v>
      </c>
      <c r="FW62" s="9" t="n">
        <v>30.47</v>
      </c>
      <c r="FX62" s="9" t="n">
        <v>11.97</v>
      </c>
      <c r="FY62" s="9" t="n">
        <v>186.82</v>
      </c>
      <c r="FZ62" s="9" t="n">
        <v>89.26000000000001</v>
      </c>
      <c r="GA62" s="9" t="n">
        <v>47.78</v>
      </c>
      <c r="GB62" s="9" t="n">
        <v>6.65</v>
      </c>
      <c r="GC62" s="9" t="n">
        <v>1.76</v>
      </c>
      <c r="GD62" s="9" t="n">
        <v>26.55</v>
      </c>
      <c r="GE62" s="9" t="n">
        <v>30.29</v>
      </c>
      <c r="GF62" s="9" t="n">
        <v>8.82</v>
      </c>
      <c r="GG62" s="9" t="n">
        <v>29.13</v>
      </c>
      <c r="GH62" s="9" t="n">
        <v>0.65</v>
      </c>
      <c r="GI62" s="9" t="n">
        <v>0.44</v>
      </c>
      <c r="GJ62" s="9" t="n">
        <v>68.18000000000001</v>
      </c>
      <c r="GK62" s="9" t="n">
        <v>27.91</v>
      </c>
      <c r="GL62" s="9" t="n">
        <v>4.41</v>
      </c>
      <c r="GM62" s="9" t="n">
        <v>15.81</v>
      </c>
      <c r="GN62" s="9" t="n">
        <v>6.18</v>
      </c>
      <c r="GO62" s="9" t="n">
        <v>2.12</v>
      </c>
      <c r="GP62" s="9" t="n">
        <v>34.29</v>
      </c>
      <c r="GQ62" s="9" t="n">
        <v>2.74</v>
      </c>
      <c r="GR62" s="9" t="n">
        <v>0.82</v>
      </c>
      <c r="GS62" s="9" t="n">
        <v>30.11</v>
      </c>
      <c r="GT62" s="9" t="n">
        <v>0.24</v>
      </c>
      <c r="GU62" s="9" t="n">
        <v>0.24</v>
      </c>
      <c r="GV62" s="9" t="n">
        <v>100</v>
      </c>
      <c r="GW62" s="9" t="n">
        <v>17.18</v>
      </c>
      <c r="GX62" s="9" t="n">
        <v>5.91</v>
      </c>
      <c r="GY62" s="9" t="n">
        <v>34.42</v>
      </c>
      <c r="GZ62" s="9" t="n">
        <v>5.65</v>
      </c>
      <c r="HA62" s="9" t="n">
        <v>7.53</v>
      </c>
      <c r="HB62" s="9" t="n">
        <v>25.09</v>
      </c>
      <c r="HC62" s="9" t="n">
        <v>4.03</v>
      </c>
      <c r="HD62" s="9" t="n">
        <v>11</v>
      </c>
      <c r="HE62" s="9" t="n">
        <v>18.03</v>
      </c>
      <c r="HF62" s="9" t="n">
        <v>62.94</v>
      </c>
      <c r="HG62" s="9" t="n">
        <v>24.94</v>
      </c>
      <c r="HH62" s="9" t="n">
        <v>39.63</v>
      </c>
      <c r="HI62" s="9" t="n">
        <v>1.35</v>
      </c>
      <c r="HJ62" s="9" t="n">
        <v>1.15</v>
      </c>
      <c r="HK62" s="9" t="n">
        <v>10.06</v>
      </c>
      <c r="HL62" s="9" t="n">
        <v>4</v>
      </c>
      <c r="HM62" s="9" t="n">
        <v>39.77</v>
      </c>
      <c r="HN62" s="9" t="n">
        <v>63.15</v>
      </c>
      <c r="HO62" s="9" t="n">
        <v>37.82</v>
      </c>
      <c r="HP62" s="9" t="n">
        <v>59.9</v>
      </c>
      <c r="HQ62" s="9" t="n">
        <v>37.62</v>
      </c>
      <c r="HR62" s="9" t="n">
        <v>17.18</v>
      </c>
      <c r="HS62" s="9" t="n">
        <v>45.66</v>
      </c>
      <c r="HT62" s="9" t="n">
        <v>2.15</v>
      </c>
      <c r="HU62" s="9" t="n">
        <v>0.9399999999999999</v>
      </c>
      <c r="HV62" s="9" t="n">
        <v>43.84</v>
      </c>
      <c r="HW62" s="9" t="n">
        <v>32.47</v>
      </c>
      <c r="HX62" s="9" t="n">
        <v>13.21</v>
      </c>
      <c r="HY62" s="9" t="n">
        <v>13.62</v>
      </c>
      <c r="HZ62" s="9" t="n">
        <v>2.18</v>
      </c>
      <c r="IA62" s="9" t="n">
        <v>0.03</v>
      </c>
      <c r="IB62" s="9" t="n">
        <v>141.91</v>
      </c>
      <c r="IC62" s="9" t="n">
        <v>105.74</v>
      </c>
      <c r="ID62" s="9" t="n">
        <v>74.51000000000001</v>
      </c>
      <c r="IE62" s="9" t="n">
        <v>58.88</v>
      </c>
      <c r="IF62" s="9" t="n">
        <v>54.97</v>
      </c>
      <c r="IG62" s="9" t="n">
        <v>93.36</v>
      </c>
      <c r="IH62" s="9" t="n">
        <v>154.21</v>
      </c>
      <c r="II62" s="9" t="n">
        <v>136.21</v>
      </c>
      <c r="IJ62" s="9" t="n">
        <v>88.33</v>
      </c>
      <c r="IK62" s="9" t="n">
        <v>43.06</v>
      </c>
      <c r="IL62" s="9" t="n">
        <v>24.65</v>
      </c>
      <c r="IM62" s="9" t="n">
        <v>57.24</v>
      </c>
      <c r="IN62" s="9" t="n">
        <v>53.56</v>
      </c>
      <c r="IO62" s="9" t="n">
        <v>38.88</v>
      </c>
      <c r="IP62" s="9" t="n">
        <v>72.59999999999999</v>
      </c>
      <c r="IQ62" s="9" t="n">
        <v>75.06</v>
      </c>
      <c r="IR62" s="9" t="n">
        <v>56.76</v>
      </c>
      <c r="IS62" s="9" t="n">
        <v>75.63</v>
      </c>
      <c r="IT62" s="33">
        <f>PERCENTRANK(IS$2:INDEX($IS:$IS,LOOKUP(2,1/(ISNUMBER($A$2:$A$1048576)),ROW($A$2:$A$1048576))),IS62)</f>
        <v/>
      </c>
      <c r="IU62" s="39">
        <f>1-(IS62-IS$106)/IS$107</f>
        <v/>
      </c>
      <c r="IV62" s="9" t="n">
        <v>1.29</v>
      </c>
      <c r="IW62" s="9" t="n">
        <v>0.68</v>
      </c>
      <c r="IX62" s="9" t="n">
        <v>52.27</v>
      </c>
      <c r="IY62" s="9" t="n">
        <v>20.59</v>
      </c>
      <c r="IZ62" s="9" t="n">
        <v>17.88</v>
      </c>
      <c r="JA62" s="9" t="n">
        <v>86.86</v>
      </c>
      <c r="JB62" s="9" t="n">
        <v>7.79</v>
      </c>
      <c r="JC62" s="9" t="n">
        <v>16.14</v>
      </c>
      <c r="JD62" s="9" t="n">
        <v>3.97</v>
      </c>
      <c r="JE62" s="9" t="n">
        <v>10.87</v>
      </c>
      <c r="JF62" s="9" t="n">
        <v>18.76</v>
      </c>
      <c r="JG62" s="9" t="n">
        <v>19.76</v>
      </c>
      <c r="JH62" s="9" t="n">
        <v>11.05</v>
      </c>
    </row>
    <row r="63">
      <c r="A63" s="12" t="n">
        <v>2023</v>
      </c>
      <c r="B63" s="31" t="inlineStr">
        <is>
          <t>Monterey Bay FC</t>
        </is>
      </c>
      <c r="C63" s="12" t="n">
        <v>41</v>
      </c>
      <c r="D63" s="5">
        <f>(C63-AVERAGE($C$2:INDEX($C:$C,LOOKUP(2,1/(ISNUMBER($A$2:$A$1048576)),ROW($A$2:$A$1048576)))))/_xlfn.STDEV.P($C$2:INDEX($C:$C,LOOKUP(2,1/(ISNUMBER($A$2:$A$1048576)),ROW($A$2:$A$1048576))))</f>
        <v/>
      </c>
      <c r="E63" s="12" t="n">
        <v>11</v>
      </c>
      <c r="F63" s="6">
        <f>-E63</f>
        <v/>
      </c>
      <c r="G63" s="7">
        <f>(F63-AVERAGE($F$2:INDEX($F:$F,LOOKUP(2,1/(ISNUMBER($A$2:$A$1048576)),ROW($A$2:$A$1048576)))))/_xlfn.STDEV.P($F$2:INDEX($F:$F,LOOKUP(2,1/(ISNUMBER($A$2:$A$1048576)),ROW($A$2:$A$1048576))))</f>
        <v/>
      </c>
      <c r="H63" s="32">
        <f>sum(0.5*D63)+(0.5*G63)</f>
        <v/>
      </c>
      <c r="I63" s="12" t="inlineStr">
        <is>
          <t>West</t>
        </is>
      </c>
      <c r="J63" s="10">
        <f>sum(L63*L$105)+(N63*N$105)+(P63*P$105)+(T63*R$105)</f>
        <v/>
      </c>
      <c r="K63" s="33">
        <f>PERCENTRANK(J$2:INDEX($J:$J,LOOKUP(2,1/(ISNUMBER($A$2:$A$1048576)),ROW($A$2:$A$1048576))),J63)</f>
        <v/>
      </c>
      <c r="L63" s="10">
        <f>sum(AA63*0.66)+(AD63*0.55)+(AG63*0.59)+(CG63*0.51)+(CL63*0.6)+(EY63*0.31)</f>
        <v/>
      </c>
      <c r="M63" s="33">
        <f>PERCENTRANK(L$2:INDEX($L:$L,LOOKUP(2,1/(ISNUMBER($A$2:$A$1048576)),ROW($A$2:$A$1048576))),L63)</f>
        <v/>
      </c>
      <c r="N63" s="10">
        <f>sum(CT63*0.57)+(CW63*0.71)+(DJ63*0.08)+(FC63*0.33)+(FG63*0.69)+(FM63*0.26)+(IU63*0.54)+(AU63*0.4)</f>
        <v/>
      </c>
      <c r="O63" s="33">
        <f>PERCENTRANK(N$2:INDEX($N:$N,LOOKUP(2,1/(ISNUMBER($A$2:$A$1048576)),ROW($A$2:$A$1048576))),N63)</f>
        <v/>
      </c>
      <c r="P63" s="10">
        <f>sum(BG63*0.51)+(CD63*0.51)+(DR63*0.11)+(EF63*0.42)+(EK63*0.44)+(W63*0.6)</f>
        <v/>
      </c>
      <c r="Q63" s="33">
        <f>PERCENTRANK(P$2:INDEX($P:$P,LOOKUP(2,1/(ISNUMBER($A$2:$A$1048576)),ROW($A$2:$A$1048576))),P63)</f>
        <v/>
      </c>
      <c r="R63" s="10">
        <f>sum(Y63-FE63)</f>
        <v/>
      </c>
      <c r="S63" s="33">
        <f>PERCENTRANK(R$2:INDEX($R:$R,LOOKUP(2,1/(ISNUMBER($A$2:$A$1048576)),ROW($A$2:$A$1048576))),R63)</f>
        <v/>
      </c>
      <c r="T63" s="34">
        <f>sum(R63-R$106)/R$107</f>
        <v/>
      </c>
      <c r="U63" s="35">
        <f>sum(Y63/AI63)*100</f>
        <v/>
      </c>
      <c r="V63" s="33">
        <f>PERCENTRANK(U$2:INDEX($U:$U,LOOKUP(2,1/(ISNUMBER($A$2:$A$1048576)),ROW($A$2:$A$1048576))),U63)</f>
        <v/>
      </c>
      <c r="W63" s="36">
        <f>sum(U63-U$106)/U$107</f>
        <v/>
      </c>
      <c r="X63" s="9" t="n">
        <v>1.21</v>
      </c>
      <c r="Y63" s="9" t="n">
        <v>1.11</v>
      </c>
      <c r="Z63" s="33">
        <f>PERCENTRANK(Y$2:INDEX($Y:$Y,LOOKUP(2,1/(ISNUMBER($A$2:$A$1048576)),ROW($A$2:$A$1048576))),Y63)</f>
        <v/>
      </c>
      <c r="AA63" s="37">
        <f>sum(Y63-Y$106)/Y$107</f>
        <v/>
      </c>
      <c r="AB63" s="9" t="n">
        <v>8.67</v>
      </c>
      <c r="AC63" s="33">
        <f>PERCENTRANK(AB$2:INDEX($AB:$AB,LOOKUP(2,1/(ISNUMBER($A$2:$A$1048576)),ROW($A$2:$A$1048576))),AB63)</f>
        <v/>
      </c>
      <c r="AD63" s="38">
        <f>sum(AB63-AB$106)/AB$107</f>
        <v/>
      </c>
      <c r="AE63" s="9" t="n">
        <v>3.12</v>
      </c>
      <c r="AF63" s="33">
        <f>PERCENTRANK(AE$2:INDEX($AE:$AE,LOOKUP(2,1/(ISNUMBER($A$2:$A$1048576)),ROW($A$2:$A$1048576))),AE63)</f>
        <v/>
      </c>
      <c r="AG63" s="38">
        <f>sum(AE63-AE$106)/AE$107</f>
        <v/>
      </c>
      <c r="AH63" s="9" t="n">
        <v>36.01</v>
      </c>
      <c r="AI63" s="9" t="n">
        <v>402.61</v>
      </c>
      <c r="AJ63" s="9" t="n">
        <v>330.64</v>
      </c>
      <c r="AK63" s="9" t="n">
        <v>82.12</v>
      </c>
      <c r="AL63" s="9" t="n">
        <v>46.54</v>
      </c>
      <c r="AM63" s="9" t="n">
        <v>106</v>
      </c>
      <c r="AN63" s="9" t="n">
        <v>19.82</v>
      </c>
      <c r="AO63" s="9" t="n">
        <v>37.79</v>
      </c>
      <c r="AP63" s="9" t="n">
        <v>48.39</v>
      </c>
      <c r="AQ63" s="9" t="n">
        <v>79.42</v>
      </c>
      <c r="AR63" s="9" t="n">
        <v>38.45</v>
      </c>
      <c r="AS63" s="9" t="n">
        <v>30.39</v>
      </c>
      <c r="AT63" s="33">
        <f>PERCENTRANK(AS$2:INDEX($AS:$AS,LOOKUP(2,1/(ISNUMBER($A$2:$A$1048576)),ROW($A$2:$A$1048576))),AS63)</f>
        <v/>
      </c>
      <c r="AU63" s="39">
        <f>SUM(AS63-AS$106)/AS$107</f>
        <v/>
      </c>
      <c r="AV63" s="9" t="n">
        <v>10.58</v>
      </c>
      <c r="AW63" s="33">
        <f>PERCENTRANK(AV$2:INDEX($AV:$AV,LOOKUP(2,1/(ISNUMBER($A$2:$A$1048576)),ROW($A$2:$A$1048576))),AV63)</f>
        <v/>
      </c>
      <c r="AX63" s="9" t="n">
        <v>192</v>
      </c>
      <c r="AY63" s="9" t="n">
        <v>90.58</v>
      </c>
      <c r="AZ63" s="9" t="n">
        <v>47.17</v>
      </c>
      <c r="BA63" s="9" t="n">
        <v>3.39</v>
      </c>
      <c r="BB63" s="9" t="n">
        <v>0.61</v>
      </c>
      <c r="BC63" s="9" t="n">
        <v>17.86</v>
      </c>
      <c r="BD63" s="9" t="n">
        <v>26.61</v>
      </c>
      <c r="BE63" s="9" t="n">
        <v>4.7</v>
      </c>
      <c r="BF63" s="33">
        <f>PERCENTRANK(BE$2:INDEX($BE:$BE,LOOKUP(2,1/(ISNUMBER($A$2:$A$1048576)),ROW($A$2:$A$1048576))),BE63)</f>
        <v/>
      </c>
      <c r="BG63" s="40">
        <f>sum(BE63-BE$106)/BE$107</f>
        <v/>
      </c>
      <c r="BH63" s="9" t="n">
        <v>17.65</v>
      </c>
      <c r="BI63" s="9" t="n">
        <v>2.55</v>
      </c>
      <c r="BJ63" s="9" t="n">
        <v>0.9399999999999999</v>
      </c>
      <c r="BK63" s="9" t="n">
        <v>36.9</v>
      </c>
      <c r="BL63" s="9" t="n">
        <v>24.91</v>
      </c>
      <c r="BM63" s="9" t="n">
        <v>2.64</v>
      </c>
      <c r="BN63" s="9" t="n">
        <v>10.58</v>
      </c>
      <c r="BO63" s="9" t="n">
        <v>4.03</v>
      </c>
      <c r="BP63" s="9" t="n">
        <v>0.88</v>
      </c>
      <c r="BQ63" s="9" t="n">
        <v>21.8</v>
      </c>
      <c r="BR63" s="9" t="n">
        <v>2.33</v>
      </c>
      <c r="BS63" s="9" t="n">
        <v>0.58</v>
      </c>
      <c r="BT63" s="9" t="n">
        <v>24.68</v>
      </c>
      <c r="BU63" s="9" t="n">
        <v>0.18</v>
      </c>
      <c r="BV63" s="9" t="n">
        <v>0.15</v>
      </c>
      <c r="BW63" s="9" t="n">
        <v>83.33</v>
      </c>
      <c r="BX63" s="9" t="n">
        <v>15.03</v>
      </c>
      <c r="BY63" s="9" t="n">
        <v>5.06</v>
      </c>
      <c r="BZ63" s="9" t="n">
        <v>33.67</v>
      </c>
      <c r="CA63" s="9" t="n">
        <v>4.67</v>
      </c>
      <c r="CB63" s="9" t="n">
        <v>5.88</v>
      </c>
      <c r="CC63" s="33">
        <f>PERCENTRANK(CD$2:INDEX($CD:$CD,LOOKUP(2,1/(ISNUMBER($A$2:$A$1048576)),ROW($A$2:$A$1048576))),CD63)</f>
        <v/>
      </c>
      <c r="CD63" s="40">
        <f>sum(CB63-CB$106)/CB$107</f>
        <v/>
      </c>
      <c r="CE63" s="9" t="n">
        <v>21.48</v>
      </c>
      <c r="CF63" s="33">
        <f>PERCENTRANK(CE$2:INDEX($CE:$CE,LOOKUP(2,1/(ISNUMBER($A$2:$A$1048576)),ROW($A$2:$A$1048576))),CE63)</f>
        <v/>
      </c>
      <c r="CG63" s="38">
        <f>sum(CE63-CE$106)/CE$107</f>
        <v/>
      </c>
      <c r="CH63" s="9" t="n">
        <v>2.33</v>
      </c>
      <c r="CI63" s="9" t="n">
        <v>9.449999999999999</v>
      </c>
      <c r="CJ63" s="9" t="n">
        <v>13.79</v>
      </c>
      <c r="CK63" s="33">
        <f>PERCENTRANK(CJ$2:INDEX($CJ:$CJ,LOOKUP(2,1/(ISNUMBER($A$2:$A$1048576)),ROW($A$2:$A$1048576))),CJ63)</f>
        <v/>
      </c>
      <c r="CL63" s="38">
        <f>sum(CJ63-CJ$106)/CJ$107</f>
        <v/>
      </c>
      <c r="CM63" s="9" t="n">
        <v>60.03</v>
      </c>
      <c r="CN63" s="9" t="n">
        <v>22.79</v>
      </c>
      <c r="CO63" s="9" t="n">
        <v>37.96</v>
      </c>
      <c r="CP63" s="9" t="n">
        <v>1.67</v>
      </c>
      <c r="CQ63" s="9" t="n">
        <v>1.58</v>
      </c>
      <c r="CR63" s="9" t="n">
        <v>12.55</v>
      </c>
      <c r="CS63" s="33">
        <f>PERCENTRANK(CR$2:INDEX($CR:$CR,LOOKUP(2,1/(ISNUMBER($A$2:$A$1048576)),ROW($A$2:$A$1048576))),CR63)</f>
        <v/>
      </c>
      <c r="CT63" s="39">
        <f>1-(CR63-CR$106)/CR$107</f>
        <v/>
      </c>
      <c r="CU63" s="9" t="n">
        <v>4.91</v>
      </c>
      <c r="CV63" s="33">
        <f>PERCENTRANK(CU$2:INDEX($CU:$CU,LOOKUP(2,1/(ISNUMBER($A$2:$A$1048576)),ROW($A$2:$A$1048576))),CU63)</f>
        <v/>
      </c>
      <c r="CW63" s="39">
        <f>1-(CU63-CU$106)/CU$107</f>
        <v/>
      </c>
      <c r="CX63" s="9" t="n">
        <v>39.13</v>
      </c>
      <c r="CY63" s="9" t="n">
        <v>62.88</v>
      </c>
      <c r="CZ63" s="9" t="n">
        <v>37.94</v>
      </c>
      <c r="DA63" s="9" t="n">
        <v>60.34</v>
      </c>
      <c r="DB63" s="9" t="n">
        <v>39.52</v>
      </c>
      <c r="DC63" s="9" t="n">
        <v>17.52</v>
      </c>
      <c r="DD63" s="9" t="n">
        <v>44.33</v>
      </c>
      <c r="DE63" s="9" t="n">
        <v>4.15</v>
      </c>
      <c r="DF63" s="9" t="n">
        <v>2.24</v>
      </c>
      <c r="DG63" s="9" t="n">
        <v>54.01</v>
      </c>
      <c r="DH63" s="9" t="n">
        <v>40.55</v>
      </c>
      <c r="DI63" s="33">
        <f>PERCENTRANK(DH$2:INDEX($DH:$DH,LOOKUP(2,1/(ISNUMBER($A$2:$A$1048576)),ROW($A$2:$A$1048576))),DH63)</f>
        <v/>
      </c>
      <c r="DJ63" s="39">
        <f>SUM(DH63-DH$106)/DH$107</f>
        <v/>
      </c>
      <c r="DK63" s="9" t="n">
        <v>16.55</v>
      </c>
      <c r="DL63" s="9" t="n">
        <v>11.67</v>
      </c>
      <c r="DM63" s="9" t="n">
        <v>1.91</v>
      </c>
      <c r="DN63" s="9" t="n">
        <v>0.03</v>
      </c>
      <c r="DO63" s="9" t="n">
        <v>137.73</v>
      </c>
      <c r="DP63" s="9" t="n">
        <v>98.64</v>
      </c>
      <c r="DQ63" s="33">
        <f>PERCENTRANK(DP$2:INDEX($DP:$DP,LOOKUP(2,1/(ISNUMBER($A$2:$A$1048576)),ROW($A$2:$A$1048576))),DP63)</f>
        <v/>
      </c>
      <c r="DR63" s="40">
        <f>sum(DP63-DP$106)/DP$107</f>
        <v/>
      </c>
      <c r="DS63" s="9" t="n">
        <v>71.62</v>
      </c>
      <c r="DT63" s="9" t="n">
        <v>60.88</v>
      </c>
      <c r="DU63" s="9" t="n">
        <v>57.12</v>
      </c>
      <c r="DV63" s="9" t="n">
        <v>93.83</v>
      </c>
      <c r="DW63" s="9" t="n">
        <v>147.97</v>
      </c>
      <c r="DX63" s="9" t="n">
        <v>130.27</v>
      </c>
      <c r="DY63" s="9" t="n">
        <v>88.04000000000001</v>
      </c>
      <c r="DZ63" s="9" t="n">
        <v>47.55</v>
      </c>
      <c r="EA63" s="9" t="n">
        <v>26.39</v>
      </c>
      <c r="EB63" s="9" t="n">
        <v>55.51</v>
      </c>
      <c r="EC63" s="9" t="n">
        <v>52.55</v>
      </c>
      <c r="ED63" s="9" t="n">
        <v>35.21</v>
      </c>
      <c r="EE63" s="33">
        <f>PERCENTRANK(ED$2:INDEX($ED:$ED,LOOKUP(2,1/(ISNUMBER($A$2:$A$1048576)),ROW($A$2:$A$1048576))),ED63)</f>
        <v/>
      </c>
      <c r="EF63" s="40">
        <f>sum(ED63-ED$106)/ED$107</f>
        <v/>
      </c>
      <c r="EG63" s="9" t="n">
        <v>67.01000000000001</v>
      </c>
      <c r="EH63" s="9" t="n">
        <v>70.84999999999999</v>
      </c>
      <c r="EI63" s="9" t="n">
        <v>50.97</v>
      </c>
      <c r="EJ63" s="33">
        <f>PERCENTRANK(EI$2:INDEX($EI:$EI,LOOKUP(2,1/(ISNUMBER($A$2:$A$1048576)),ROW($A$2:$A$1048576))),EI63)</f>
        <v/>
      </c>
      <c r="EK63" s="40">
        <f>sum(EI63-EI$106)/EI$107</f>
        <v/>
      </c>
      <c r="EL63" s="9" t="n">
        <v>71.94</v>
      </c>
      <c r="EM63" s="9" t="n">
        <v>2.79</v>
      </c>
      <c r="EN63" s="9" t="n">
        <v>1.06</v>
      </c>
      <c r="EO63" s="9" t="n">
        <v>38.04</v>
      </c>
      <c r="EP63" s="9" t="n">
        <v>22.55</v>
      </c>
      <c r="EQ63" s="9" t="n">
        <v>19.24</v>
      </c>
      <c r="ER63" s="9" t="n">
        <v>85.34999999999999</v>
      </c>
      <c r="ES63" s="9" t="n">
        <v>9.119999999999999</v>
      </c>
      <c r="ET63" s="9" t="n">
        <v>16.44</v>
      </c>
      <c r="EU63" s="9" t="n">
        <v>3.83</v>
      </c>
      <c r="EV63" s="9" t="n">
        <v>12.39</v>
      </c>
      <c r="EW63" s="9" t="n">
        <v>17.37</v>
      </c>
      <c r="EX63" s="33">
        <f>PERCENTRANK(EW$2:INDEX($EW:$EW,LOOKUP(2,1/(ISNUMBER($A$2:$A$1048576)),ROW($A$2:$A$1048576))),EW63)</f>
        <v/>
      </c>
      <c r="EY63" s="38">
        <f>1-(EW63-EW$106)/EW$107</f>
        <v/>
      </c>
      <c r="EZ63" s="9" t="n">
        <v>20.25</v>
      </c>
      <c r="FA63" s="9" t="n">
        <v>13.36</v>
      </c>
      <c r="FB63" s="33">
        <f>PERCENTRANK(FA$2:INDEX($FA:$FA,LOOKUP(2,1/(ISNUMBER($A$2:$A$1048576)),ROW($A$2:$A$1048576))),FA63)</f>
        <v/>
      </c>
      <c r="FC63" s="39">
        <f>1-(FA63-FA$106)/FA$107</f>
        <v/>
      </c>
      <c r="FD63" s="9" t="n">
        <v>1.58</v>
      </c>
      <c r="FE63" s="9" t="n">
        <v>1.46</v>
      </c>
      <c r="FF63" s="33">
        <f>PERCENTRANK(FE$2:INDEX($FE:$FE,LOOKUP(2,1/(ISNUMBER($A$2:$A$1048576)),ROW($A$2:$A$1048576))),FE63)</f>
        <v/>
      </c>
      <c r="FG63" s="39">
        <f>1-(FE63-FE$106)/FE$107</f>
        <v/>
      </c>
      <c r="FH63" s="9" t="n">
        <v>12.55</v>
      </c>
      <c r="FI63" s="9" t="n">
        <v>4.76</v>
      </c>
      <c r="FJ63" s="9" t="n">
        <v>37.92</v>
      </c>
      <c r="FK63" s="9" t="n">
        <v>452</v>
      </c>
      <c r="FL63" s="33">
        <f>PERCENTRANK(FK$2:INDEX($FK:$FK,LOOKUP(2,1/(ISNUMBER($A$2:$A$1048576)),ROW($A$2:$A$1048576))),FK63)</f>
        <v/>
      </c>
      <c r="FM63" s="39">
        <f>SWA62-(FK63-FK$106)/FK$107</f>
        <v/>
      </c>
      <c r="FN63" s="9" t="n">
        <v>377.88</v>
      </c>
      <c r="FO63" s="9" t="n">
        <v>83.59999999999999</v>
      </c>
      <c r="FP63" s="9" t="n">
        <v>53.46</v>
      </c>
      <c r="FQ63" s="9" t="n">
        <v>103.82</v>
      </c>
      <c r="FR63" s="9" t="n">
        <v>17.15</v>
      </c>
      <c r="FS63" s="9" t="n">
        <v>36.12</v>
      </c>
      <c r="FT63" s="9" t="n">
        <v>50.55</v>
      </c>
      <c r="FU63" s="9" t="n">
        <v>80.45</v>
      </c>
      <c r="FV63" s="9" t="n">
        <v>35.82</v>
      </c>
      <c r="FW63" s="9" t="n">
        <v>32.67</v>
      </c>
      <c r="FX63" s="9" t="n">
        <v>11.97</v>
      </c>
      <c r="FY63" s="9" t="n">
        <v>192</v>
      </c>
      <c r="FZ63" s="9" t="n">
        <v>92.91</v>
      </c>
      <c r="GA63" s="9" t="n">
        <v>48.39</v>
      </c>
      <c r="GB63" s="9" t="n">
        <v>5.52</v>
      </c>
      <c r="GC63" s="9" t="n">
        <v>1.67</v>
      </c>
      <c r="GD63" s="9" t="n">
        <v>30.22</v>
      </c>
      <c r="GE63" s="9" t="n">
        <v>30.94</v>
      </c>
      <c r="GF63" s="9" t="n">
        <v>7.39</v>
      </c>
      <c r="GG63" s="9" t="n">
        <v>23.9</v>
      </c>
      <c r="GH63" s="9" t="n">
        <v>1.58</v>
      </c>
      <c r="GI63" s="9" t="n">
        <v>0.48</v>
      </c>
      <c r="GJ63" s="9" t="n">
        <v>30.77</v>
      </c>
      <c r="GK63" s="9" t="n">
        <v>23.82</v>
      </c>
      <c r="GL63" s="9" t="n">
        <v>3.97</v>
      </c>
      <c r="GM63" s="9" t="n">
        <v>16.67</v>
      </c>
      <c r="GN63" s="9" t="n">
        <v>4.82</v>
      </c>
      <c r="GO63" s="9" t="n">
        <v>1.58</v>
      </c>
      <c r="GP63" s="9" t="n">
        <v>32.7</v>
      </c>
      <c r="GQ63" s="9" t="n">
        <v>2.39</v>
      </c>
      <c r="GR63" s="9" t="n">
        <v>0.67</v>
      </c>
      <c r="GS63" s="9" t="n">
        <v>27.85</v>
      </c>
      <c r="GT63" s="9" t="n">
        <v>0.18</v>
      </c>
      <c r="GU63" s="9" t="n">
        <v>0.12</v>
      </c>
      <c r="GV63" s="9" t="n">
        <v>66.67</v>
      </c>
      <c r="GW63" s="9" t="n">
        <v>15.61</v>
      </c>
      <c r="GX63" s="9" t="n">
        <v>5.33</v>
      </c>
      <c r="GY63" s="9" t="n">
        <v>34.17</v>
      </c>
      <c r="GZ63" s="9" t="n">
        <v>5.21</v>
      </c>
      <c r="HA63" s="9" t="n">
        <v>6.7</v>
      </c>
      <c r="HB63" s="9" t="n">
        <v>24.73</v>
      </c>
      <c r="HC63" s="9" t="n">
        <v>4.06</v>
      </c>
      <c r="HD63" s="9" t="n">
        <v>9.880000000000001</v>
      </c>
      <c r="HE63" s="9" t="n">
        <v>16.85</v>
      </c>
      <c r="HF63" s="9" t="n">
        <v>62.91</v>
      </c>
      <c r="HG63" s="9" t="n">
        <v>24.94</v>
      </c>
      <c r="HH63" s="9" t="n">
        <v>39.64</v>
      </c>
      <c r="HI63" s="9" t="n">
        <v>1.88</v>
      </c>
      <c r="HJ63" s="9" t="n">
        <v>1.21</v>
      </c>
      <c r="HK63" s="9" t="n">
        <v>8.67</v>
      </c>
      <c r="HL63" s="9" t="n">
        <v>3.3</v>
      </c>
      <c r="HM63" s="9" t="n">
        <v>38.11</v>
      </c>
      <c r="HN63" s="9" t="n">
        <v>60</v>
      </c>
      <c r="HO63" s="9" t="n">
        <v>37.21</v>
      </c>
      <c r="HP63" s="9" t="n">
        <v>62.02</v>
      </c>
      <c r="HQ63" s="9" t="n">
        <v>39.52</v>
      </c>
      <c r="HR63" s="9" t="n">
        <v>18.48</v>
      </c>
      <c r="HS63" s="9" t="n">
        <v>46.78</v>
      </c>
      <c r="HT63" s="9" t="n">
        <v>3.94</v>
      </c>
      <c r="HU63" s="9" t="n">
        <v>1.85</v>
      </c>
      <c r="HV63" s="9" t="n">
        <v>46.92</v>
      </c>
      <c r="HW63" s="9" t="n">
        <v>38.52</v>
      </c>
      <c r="HX63" s="9" t="n">
        <v>17.39</v>
      </c>
      <c r="HY63" s="9" t="n">
        <v>12.3</v>
      </c>
      <c r="HZ63" s="9" t="n">
        <v>2.18</v>
      </c>
      <c r="IA63" s="9" t="n">
        <v>0.27</v>
      </c>
      <c r="IB63" s="9" t="n">
        <v>147.27</v>
      </c>
      <c r="IC63" s="9" t="n">
        <v>106.88</v>
      </c>
      <c r="ID63" s="9" t="n">
        <v>72.56999999999999</v>
      </c>
      <c r="IE63" s="9" t="n">
        <v>68.58</v>
      </c>
      <c r="IF63" s="9" t="n">
        <v>64.94</v>
      </c>
      <c r="IG63" s="9" t="n">
        <v>94.7</v>
      </c>
      <c r="IH63" s="9" t="n">
        <v>173.73</v>
      </c>
      <c r="II63" s="9" t="n">
        <v>154.85</v>
      </c>
      <c r="IJ63" s="9" t="n">
        <v>89.13</v>
      </c>
      <c r="IK63" s="9" t="n">
        <v>49.33</v>
      </c>
      <c r="IL63" s="9" t="n">
        <v>26.18</v>
      </c>
      <c r="IM63" s="9" t="n">
        <v>53.07</v>
      </c>
      <c r="IN63" s="9" t="n">
        <v>60.55</v>
      </c>
      <c r="IO63" s="9" t="n">
        <v>40.48</v>
      </c>
      <c r="IP63" s="9" t="n">
        <v>66.87</v>
      </c>
      <c r="IQ63" s="9" t="n">
        <v>74.55</v>
      </c>
      <c r="IR63" s="9" t="n">
        <v>56.55</v>
      </c>
      <c r="IS63" s="9" t="n">
        <v>75.84999999999999</v>
      </c>
      <c r="IT63" s="33">
        <f>PERCENTRANK(IS$2:INDEX($IS:$IS,LOOKUP(2,1/(ISNUMBER($A$2:$A$1048576)),ROW($A$2:$A$1048576))),IS63)</f>
        <v/>
      </c>
      <c r="IU63" s="39">
        <f>1-(IS63-IS$106)/IS$107</f>
        <v/>
      </c>
      <c r="IV63" s="9" t="n">
        <v>3.55</v>
      </c>
      <c r="IW63" s="9" t="n">
        <v>1.18</v>
      </c>
      <c r="IX63" s="9" t="n">
        <v>33.33</v>
      </c>
      <c r="IY63" s="9" t="n">
        <v>23.7</v>
      </c>
      <c r="IZ63" s="9" t="n">
        <v>20.97</v>
      </c>
      <c r="JA63" s="9" t="n">
        <v>88.48999999999999</v>
      </c>
      <c r="JB63" s="9" t="n">
        <v>6.76</v>
      </c>
      <c r="JC63" s="9" t="n">
        <v>16.01</v>
      </c>
      <c r="JD63" s="9" t="n">
        <v>4.29</v>
      </c>
      <c r="JE63" s="9" t="n">
        <v>11.52</v>
      </c>
      <c r="JF63" s="9" t="n">
        <v>18.46</v>
      </c>
      <c r="JG63" s="9" t="n">
        <v>20.29</v>
      </c>
      <c r="JH63" s="9" t="n">
        <v>10.82</v>
      </c>
    </row>
    <row r="64">
      <c r="A64" s="12" t="n">
        <v>2024</v>
      </c>
      <c r="B64" s="31" t="inlineStr">
        <is>
          <t>Phoenix Rising</t>
        </is>
      </c>
      <c r="C64" s="12" t="n">
        <v>42</v>
      </c>
      <c r="D64" s="5">
        <f>(C64-AVERAGE($C$2:INDEX($C:$C,LOOKUP(2,1/(ISNUMBER($A$2:$A$1048576)),ROW($A$2:$A$1048576)))))/_xlfn.STDEV.P($C$2:INDEX($C:$C,LOOKUP(2,1/(ISNUMBER($A$2:$A$1048576)),ROW($A$2:$A$1048576))))</f>
        <v/>
      </c>
      <c r="E64" s="12" t="n">
        <v>8</v>
      </c>
      <c r="F64" s="6">
        <f>-E64</f>
        <v/>
      </c>
      <c r="G64" s="7">
        <f>(F64-AVERAGE($F$2:INDEX($F:$F,LOOKUP(2,1/(ISNUMBER($A$2:$A$1048576)),ROW($A$2:$A$1048576)))))/_xlfn.STDEV.P($F$2:INDEX($F:$F,LOOKUP(2,1/(ISNUMBER($A$2:$A$1048576)),ROW($A$2:$A$1048576))))</f>
        <v/>
      </c>
      <c r="H64" s="32">
        <f>sum(0.5*D64)+(0.5*G64)</f>
        <v/>
      </c>
      <c r="I64" s="12" t="inlineStr">
        <is>
          <t>West</t>
        </is>
      </c>
      <c r="J64" s="10">
        <f>sum(L64*L$105)+(N64*N$105)+(P64*P$105)+(T64*R$105)</f>
        <v/>
      </c>
      <c r="K64" s="33">
        <f>PERCENTRANK(J$2:INDEX($J:$J,LOOKUP(2,1/(ISNUMBER($A$2:$A$1048576)),ROW($A$2:$A$1048576))),J64)</f>
        <v/>
      </c>
      <c r="L64" s="10">
        <f>sum(AA64*0.66)+(AD64*0.55)+(AG64*0.59)+(CG64*0.51)+(CL64*0.6)+(EY64*0.31)</f>
        <v/>
      </c>
      <c r="M64" s="33">
        <f>PERCENTRANK(L$2:INDEX($L:$L,LOOKUP(2,1/(ISNUMBER($A$2:$A$1048576)),ROW($A$2:$A$1048576))),L64)</f>
        <v/>
      </c>
      <c r="N64" s="10">
        <f>sum(CT64*0.57)+(CW64*0.71)+(DJ64*0.08)+(FC64*0.33)+(FG64*0.69)+(FM64*0.26)+(IU64*0.54)+(AU64*0.4)</f>
        <v/>
      </c>
      <c r="O64" s="33">
        <f>PERCENTRANK(N$2:INDEX($N:$N,LOOKUP(2,1/(ISNUMBER($A$2:$A$1048576)),ROW($A$2:$A$1048576))),N64)</f>
        <v/>
      </c>
      <c r="P64" s="10">
        <f>sum(BG64*0.51)+(CD64*0.51)+(DR64*0.11)+(EF64*0.42)+(EK64*0.44)+(W64*0.6)</f>
        <v/>
      </c>
      <c r="Q64" s="33">
        <f>PERCENTRANK(P$2:INDEX($P:$P,LOOKUP(2,1/(ISNUMBER($A$2:$A$1048576)),ROW($A$2:$A$1048576))),P64)</f>
        <v/>
      </c>
      <c r="R64" s="10">
        <f>sum(Y64-FE64)</f>
        <v/>
      </c>
      <c r="S64" s="33">
        <f>PERCENTRANK(R$2:INDEX($R:$R,LOOKUP(2,1/(ISNUMBER($A$2:$A$1048576)),ROW($A$2:$A$1048576))),R64)</f>
        <v/>
      </c>
      <c r="T64" s="34">
        <f>sum(R64-R$106)/R$107</f>
        <v/>
      </c>
      <c r="U64" s="35">
        <f>sum(Y64/AI64)*100</f>
        <v/>
      </c>
      <c r="V64" s="33">
        <f>PERCENTRANK(U$2:INDEX($U:$U,LOOKUP(2,1/(ISNUMBER($A$2:$A$1048576)),ROW($A$2:$A$1048576))),U64)</f>
        <v/>
      </c>
      <c r="W64" s="36">
        <f>sum(U64-U$106)/U$107</f>
        <v/>
      </c>
      <c r="X64" s="9" t="n">
        <v>0.97</v>
      </c>
      <c r="Y64" s="9" t="n">
        <v>1.17</v>
      </c>
      <c r="Z64" s="33">
        <f>PERCENTRANK(Y$2:INDEX($Y:$Y,LOOKUP(2,1/(ISNUMBER($A$2:$A$1048576)),ROW($A$2:$A$1048576))),Y64)</f>
        <v/>
      </c>
      <c r="AA64" s="37">
        <f>sum(Y64-Y$106)/Y$107</f>
        <v/>
      </c>
      <c r="AB64" s="9" t="n">
        <v>10.71</v>
      </c>
      <c r="AC64" s="33">
        <f>PERCENTRANK(AB$2:INDEX($AB:$AB,LOOKUP(2,1/(ISNUMBER($A$2:$A$1048576)),ROW($A$2:$A$1048576))),AB64)</f>
        <v/>
      </c>
      <c r="AD64" s="38">
        <f>sum(AB64-AB$106)/AB$107</f>
        <v/>
      </c>
      <c r="AE64" s="9" t="n">
        <v>4</v>
      </c>
      <c r="AF64" s="33">
        <f>PERCENTRANK(AE$2:INDEX($AE:$AE,LOOKUP(2,1/(ISNUMBER($A$2:$A$1048576)),ROW($A$2:$A$1048576))),AE64)</f>
        <v/>
      </c>
      <c r="AG64" s="38">
        <f>sum(AE64-AE$106)/AE$107</f>
        <v/>
      </c>
      <c r="AH64" s="9" t="n">
        <v>37.33</v>
      </c>
      <c r="AI64" s="9" t="n">
        <v>452.46</v>
      </c>
      <c r="AJ64" s="9" t="n">
        <v>387.77</v>
      </c>
      <c r="AK64" s="9" t="n">
        <v>85.7</v>
      </c>
      <c r="AL64" s="9" t="n">
        <v>56.51</v>
      </c>
      <c r="AM64" s="9" t="n">
        <v>91.03</v>
      </c>
      <c r="AN64" s="9" t="n">
        <v>17.49</v>
      </c>
      <c r="AO64" s="9" t="n">
        <v>31.09</v>
      </c>
      <c r="AP64" s="9" t="n">
        <v>42.46</v>
      </c>
      <c r="AQ64" s="9" t="n">
        <v>69.37</v>
      </c>
      <c r="AR64" s="9" t="n">
        <v>31.8</v>
      </c>
      <c r="AS64" s="9" t="n">
        <v>27.03</v>
      </c>
      <c r="AT64" s="33">
        <f>PERCENTRANK(AS$2:INDEX($AS:$AS,LOOKUP(2,1/(ISNUMBER($A$2:$A$1048576)),ROW($A$2:$A$1048576))),AS64)</f>
        <v/>
      </c>
      <c r="AU64" s="39">
        <f>SUM(AS64-AS$106)/AS$107</f>
        <v/>
      </c>
      <c r="AV64" s="9" t="n">
        <v>10.54</v>
      </c>
      <c r="AW64" s="33">
        <f>PERCENTRANK(AV$2:INDEX($AV:$AV,LOOKUP(2,1/(ISNUMBER($A$2:$A$1048576)),ROW($A$2:$A$1048576))),AV64)</f>
        <v/>
      </c>
      <c r="AX64" s="9" t="n">
        <v>175.57</v>
      </c>
      <c r="AY64" s="9" t="n">
        <v>86.11</v>
      </c>
      <c r="AZ64" s="9" t="n">
        <v>49.05</v>
      </c>
      <c r="BA64" s="9" t="n">
        <v>4.49</v>
      </c>
      <c r="BB64" s="9" t="n">
        <v>1.46</v>
      </c>
      <c r="BC64" s="9" t="n">
        <v>32.48</v>
      </c>
      <c r="BD64" s="9" t="n">
        <v>27.2</v>
      </c>
      <c r="BE64" s="9" t="n">
        <v>6.94</v>
      </c>
      <c r="BF64" s="33">
        <f>PERCENTRANK(BE$2:INDEX($BE:$BE,LOOKUP(2,1/(ISNUMBER($A$2:$A$1048576)),ROW($A$2:$A$1048576))),BE64)</f>
        <v/>
      </c>
      <c r="BG64" s="40">
        <f>sum(BE64-BE$106)/BE$107</f>
        <v/>
      </c>
      <c r="BH64" s="9" t="n">
        <v>25.53</v>
      </c>
      <c r="BI64" s="9" t="n">
        <v>1.11</v>
      </c>
      <c r="BJ64" s="9" t="n">
        <v>0.51</v>
      </c>
      <c r="BK64" s="9" t="n">
        <v>46.15</v>
      </c>
      <c r="BL64" s="9" t="n">
        <v>25.37</v>
      </c>
      <c r="BM64" s="9" t="n">
        <v>2.83</v>
      </c>
      <c r="BN64" s="9" t="n">
        <v>11.15</v>
      </c>
      <c r="BO64" s="9" t="n">
        <v>4.54</v>
      </c>
      <c r="BP64" s="9" t="n">
        <v>0.83</v>
      </c>
      <c r="BQ64" s="9" t="n">
        <v>18.24</v>
      </c>
      <c r="BR64" s="9" t="n">
        <v>2.26</v>
      </c>
      <c r="BS64" s="9" t="n">
        <v>0.51</v>
      </c>
      <c r="BT64" s="9" t="n">
        <v>22.78</v>
      </c>
      <c r="BU64" s="9" t="n">
        <v>0.14</v>
      </c>
      <c r="BV64" s="9" t="n">
        <v>0.11</v>
      </c>
      <c r="BW64" s="9" t="n">
        <v>80</v>
      </c>
      <c r="BX64" s="9" t="n">
        <v>14.74</v>
      </c>
      <c r="BY64" s="9" t="n">
        <v>4.17</v>
      </c>
      <c r="BZ64" s="9" t="n">
        <v>28.29</v>
      </c>
      <c r="CA64" s="9" t="n">
        <v>4.43</v>
      </c>
      <c r="CB64" s="9" t="n">
        <v>7.14</v>
      </c>
      <c r="CC64" s="33">
        <f>PERCENTRANK(CD$2:INDEX($CD:$CD,LOOKUP(2,1/(ISNUMBER($A$2:$A$1048576)),ROW($A$2:$A$1048576))),CD64)</f>
        <v/>
      </c>
      <c r="CD64" s="40">
        <f>sum(CB64-CB$106)/CB$107</f>
        <v/>
      </c>
      <c r="CE64" s="9" t="n">
        <v>24.57</v>
      </c>
      <c r="CF64" s="33">
        <f>PERCENTRANK(CE$2:INDEX($CE:$CE,LOOKUP(2,1/(ISNUMBER($A$2:$A$1048576)),ROW($A$2:$A$1048576))),CE64)</f>
        <v/>
      </c>
      <c r="CG64" s="38">
        <f>sum(CE64-CE$106)/CE$107</f>
        <v/>
      </c>
      <c r="CH64" s="9" t="n">
        <v>3</v>
      </c>
      <c r="CI64" s="9" t="n">
        <v>8.890000000000001</v>
      </c>
      <c r="CJ64" s="9" t="n">
        <v>15.34</v>
      </c>
      <c r="CK64" s="33">
        <f>PERCENTRANK(CJ$2:INDEX($CJ:$CJ,LOOKUP(2,1/(ISNUMBER($A$2:$A$1048576)),ROW($A$2:$A$1048576))),CJ64)</f>
        <v/>
      </c>
      <c r="CL64" s="38">
        <f>sum(CJ64-CJ$106)/CJ$107</f>
        <v/>
      </c>
      <c r="CM64" s="9" t="n">
        <v>68.48999999999999</v>
      </c>
      <c r="CN64" s="9" t="n">
        <v>27.46</v>
      </c>
      <c r="CO64" s="9" t="n">
        <v>40.09</v>
      </c>
      <c r="CP64" s="9" t="n">
        <v>2.11</v>
      </c>
      <c r="CQ64" s="9" t="n">
        <v>1.17</v>
      </c>
      <c r="CR64" s="9" t="n">
        <v>10.4</v>
      </c>
      <c r="CS64" s="33">
        <f>PERCENTRANK(CR$2:INDEX($CR:$CR,LOOKUP(2,1/(ISNUMBER($A$2:$A$1048576)),ROW($A$2:$A$1048576))),CR64)</f>
        <v/>
      </c>
      <c r="CT64" s="39">
        <f>1-(CR64-CR$106)/CR$107</f>
        <v/>
      </c>
      <c r="CU64" s="9" t="n">
        <v>3.97</v>
      </c>
      <c r="CV64" s="33">
        <f>PERCENTRANK(CU$2:INDEX($CU:$CU,LOOKUP(2,1/(ISNUMBER($A$2:$A$1048576)),ROW($A$2:$A$1048576))),CU64)</f>
        <v/>
      </c>
      <c r="CW64" s="39">
        <f>1-(CU64-CU$106)/CU$107</f>
        <v/>
      </c>
      <c r="CX64" s="9" t="n">
        <v>38.19</v>
      </c>
      <c r="CY64" s="9" t="n">
        <v>58.23</v>
      </c>
      <c r="CZ64" s="9" t="n">
        <v>36.91</v>
      </c>
      <c r="DA64" s="9" t="n">
        <v>63.4</v>
      </c>
      <c r="DB64" s="9" t="n">
        <v>26.71</v>
      </c>
      <c r="DC64" s="9" t="n">
        <v>12.29</v>
      </c>
      <c r="DD64" s="9" t="n">
        <v>45.99</v>
      </c>
      <c r="DE64" s="9" t="n">
        <v>2.06</v>
      </c>
      <c r="DF64" s="9" t="n">
        <v>1.11</v>
      </c>
      <c r="DG64" s="9" t="n">
        <v>54.17</v>
      </c>
      <c r="DH64" s="9" t="n">
        <v>33.31</v>
      </c>
      <c r="DI64" s="33">
        <f>PERCENTRANK(DH$2:INDEX($DH:$DH,LOOKUP(2,1/(ISNUMBER($A$2:$A$1048576)),ROW($A$2:$A$1048576))),DH64)</f>
        <v/>
      </c>
      <c r="DJ64" s="39">
        <f>SUM(DH64-DH$106)/DH$107</f>
        <v/>
      </c>
      <c r="DK64" s="9" t="n">
        <v>12.34</v>
      </c>
      <c r="DL64" s="9" t="n">
        <v>11.17</v>
      </c>
      <c r="DM64" s="9" t="n">
        <v>2.77</v>
      </c>
      <c r="DN64" s="9" t="n">
        <v>0.09</v>
      </c>
      <c r="DO64" s="9" t="n">
        <v>143.46</v>
      </c>
      <c r="DP64" s="9" t="n">
        <v>108.57</v>
      </c>
      <c r="DQ64" s="33">
        <f>PERCENTRANK(DP$2:INDEX($DP:$DP,LOOKUP(2,1/(ISNUMBER($A$2:$A$1048576)),ROW($A$2:$A$1048576))),DP64)</f>
        <v/>
      </c>
      <c r="DR64" s="40">
        <f>sum(DP64-DP$106)/DP$107</f>
        <v/>
      </c>
      <c r="DS64" s="9" t="n">
        <v>75.68000000000001</v>
      </c>
      <c r="DT64" s="9" t="n">
        <v>68.09</v>
      </c>
      <c r="DU64" s="9" t="n">
        <v>64.03</v>
      </c>
      <c r="DV64" s="9" t="n">
        <v>94.04000000000001</v>
      </c>
      <c r="DW64" s="9" t="n">
        <v>182.46</v>
      </c>
      <c r="DX64" s="9" t="n">
        <v>167.03</v>
      </c>
      <c r="DY64" s="9" t="n">
        <v>91.54000000000001</v>
      </c>
      <c r="DZ64" s="9" t="n">
        <v>43.49</v>
      </c>
      <c r="EA64" s="9" t="n">
        <v>24.09</v>
      </c>
      <c r="EB64" s="9" t="n">
        <v>55.39</v>
      </c>
      <c r="EC64" s="9" t="n">
        <v>55.34</v>
      </c>
      <c r="ED64" s="9" t="n">
        <v>39.26</v>
      </c>
      <c r="EE64" s="33">
        <f>PERCENTRANK(ED$2:INDEX($ED:$ED,LOOKUP(2,1/(ISNUMBER($A$2:$A$1048576)),ROW($A$2:$A$1048576))),ED64)</f>
        <v/>
      </c>
      <c r="EF64" s="40">
        <f>sum(ED64-ED$106)/ED$107</f>
        <v/>
      </c>
      <c r="EG64" s="9" t="n">
        <v>70.93000000000001</v>
      </c>
      <c r="EH64" s="9" t="n">
        <v>71.59999999999999</v>
      </c>
      <c r="EI64" s="9" t="n">
        <v>53.91</v>
      </c>
      <c r="EJ64" s="33">
        <f>PERCENTRANK(EI$2:INDEX($EI:$EI,LOOKUP(2,1/(ISNUMBER($A$2:$A$1048576)),ROW($A$2:$A$1048576))),EI64)</f>
        <v/>
      </c>
      <c r="EK64" s="40">
        <f>sum(EI64-EI$106)/EI$107</f>
        <v/>
      </c>
      <c r="EL64" s="9" t="n">
        <v>75.3</v>
      </c>
      <c r="EM64" s="9" t="n">
        <v>2.6</v>
      </c>
      <c r="EN64" s="9" t="n">
        <v>1.11</v>
      </c>
      <c r="EO64" s="9" t="n">
        <v>42.86</v>
      </c>
      <c r="EP64" s="9" t="n">
        <v>19.69</v>
      </c>
      <c r="EQ64" s="9" t="n">
        <v>18.4</v>
      </c>
      <c r="ER64" s="9" t="n">
        <v>93.47</v>
      </c>
      <c r="ES64" s="9" t="n">
        <v>8.289999999999999</v>
      </c>
      <c r="ET64" s="9" t="n">
        <v>15.17</v>
      </c>
      <c r="EU64" s="9" t="n">
        <v>4.75</v>
      </c>
      <c r="EV64" s="9" t="n">
        <v>9.9</v>
      </c>
      <c r="EW64" s="9" t="n">
        <v>18.88</v>
      </c>
      <c r="EX64" s="33">
        <f>PERCENTRANK(EW$2:INDEX($EW:$EW,LOOKUP(2,1/(ISNUMBER($A$2:$A$1048576)),ROW($A$2:$A$1048576))),EW64)</f>
        <v/>
      </c>
      <c r="EY64" s="38">
        <f>1-(EW64-EW$106)/EW$107</f>
        <v/>
      </c>
      <c r="EZ64" s="9" t="n">
        <v>20.45</v>
      </c>
      <c r="FA64" s="9" t="n">
        <v>10.7</v>
      </c>
      <c r="FB64" s="33">
        <f>PERCENTRANK(FA$2:INDEX($FA:$FA,LOOKUP(2,1/(ISNUMBER($A$2:$A$1048576)),ROW($A$2:$A$1048576))),FA64)</f>
        <v/>
      </c>
      <c r="FC64" s="39">
        <f>1-(FA64-FA$106)/FA$107</f>
        <v/>
      </c>
      <c r="FD64" s="9" t="n">
        <v>1.17</v>
      </c>
      <c r="FE64" s="9" t="n">
        <v>1.2</v>
      </c>
      <c r="FF64" s="33">
        <f>PERCENTRANK(FE$2:INDEX($FE:$FE,LOOKUP(2,1/(ISNUMBER($A$2:$A$1048576)),ROW($A$2:$A$1048576))),FE64)</f>
        <v/>
      </c>
      <c r="FG64" s="39">
        <f>1-(FE64-FE$106)/FE$107</f>
        <v/>
      </c>
      <c r="FH64" s="9" t="n">
        <v>10.4</v>
      </c>
      <c r="FI64" s="9" t="n">
        <v>3.77</v>
      </c>
      <c r="FJ64" s="9" t="n">
        <v>36.26</v>
      </c>
      <c r="FK64" s="9" t="n">
        <v>360.63</v>
      </c>
      <c r="FL64" s="33">
        <f>PERCENTRANK(FK$2:INDEX($FK:$FK,LOOKUP(2,1/(ISNUMBER($A$2:$A$1048576)),ROW($A$2:$A$1048576))),FK64)</f>
        <v/>
      </c>
      <c r="FM64" s="39">
        <f>SWA63-(FK64-FK$106)/FK$107</f>
        <v/>
      </c>
      <c r="FN64" s="9" t="n">
        <v>299.6</v>
      </c>
      <c r="FO64" s="9" t="n">
        <v>83.08</v>
      </c>
      <c r="FP64" s="9" t="n">
        <v>43.49</v>
      </c>
      <c r="FQ64" s="9" t="n">
        <v>89.54000000000001</v>
      </c>
      <c r="FR64" s="9" t="n">
        <v>17.37</v>
      </c>
      <c r="FS64" s="9" t="n">
        <v>31.2</v>
      </c>
      <c r="FT64" s="9" t="n">
        <v>40.97</v>
      </c>
      <c r="FU64" s="9" t="n">
        <v>67.89</v>
      </c>
      <c r="FV64" s="9" t="n">
        <v>31.89</v>
      </c>
      <c r="FW64" s="9" t="n">
        <v>25.8</v>
      </c>
      <c r="FX64" s="9" t="n">
        <v>10.2</v>
      </c>
      <c r="FY64" s="9" t="n">
        <v>175.57</v>
      </c>
      <c r="FZ64" s="9" t="n">
        <v>83.97</v>
      </c>
      <c r="GA64" s="9" t="n">
        <v>47.83</v>
      </c>
      <c r="GB64" s="9" t="n">
        <v>4.57</v>
      </c>
      <c r="GC64" s="9" t="n">
        <v>1.09</v>
      </c>
      <c r="GD64" s="9" t="n">
        <v>23.75</v>
      </c>
      <c r="GE64" s="9" t="n">
        <v>25.91</v>
      </c>
      <c r="GF64" s="9" t="n">
        <v>6.66</v>
      </c>
      <c r="GG64" s="9" t="n">
        <v>25.69</v>
      </c>
      <c r="GH64" s="9" t="n">
        <v>0.77</v>
      </c>
      <c r="GI64" s="9" t="n">
        <v>0.4</v>
      </c>
      <c r="GJ64" s="9" t="n">
        <v>51.85</v>
      </c>
      <c r="GK64" s="9" t="n">
        <v>24.14</v>
      </c>
      <c r="GL64" s="9" t="n">
        <v>2.77</v>
      </c>
      <c r="GM64" s="9" t="n">
        <v>11.48</v>
      </c>
      <c r="GN64" s="9" t="n">
        <v>4.51</v>
      </c>
      <c r="GO64" s="9" t="n">
        <v>1.11</v>
      </c>
      <c r="GP64" s="9" t="n">
        <v>24.68</v>
      </c>
      <c r="GQ64" s="9" t="n">
        <v>2.06</v>
      </c>
      <c r="GR64" s="9" t="n">
        <v>0.4</v>
      </c>
      <c r="GS64" s="9" t="n">
        <v>19.44</v>
      </c>
      <c r="GT64" s="9" t="n">
        <v>0.17</v>
      </c>
      <c r="GU64" s="9" t="n">
        <v>0.09</v>
      </c>
      <c r="GV64" s="9" t="n">
        <v>50</v>
      </c>
      <c r="GW64" s="9" t="n">
        <v>13.29</v>
      </c>
      <c r="GX64" s="9" t="n">
        <v>4.31</v>
      </c>
      <c r="GY64" s="9" t="n">
        <v>32.47</v>
      </c>
      <c r="GZ64" s="9" t="n">
        <v>4.46</v>
      </c>
      <c r="HA64" s="9" t="n">
        <v>6.37</v>
      </c>
      <c r="HB64" s="9" t="n">
        <v>21.63</v>
      </c>
      <c r="HC64" s="9" t="n">
        <v>3.06</v>
      </c>
      <c r="HD64" s="9" t="n">
        <v>8.09</v>
      </c>
      <c r="HE64" s="9" t="n">
        <v>14.14</v>
      </c>
      <c r="HF64" s="9" t="n">
        <v>58.23</v>
      </c>
      <c r="HG64" s="9" t="n">
        <v>21.31</v>
      </c>
      <c r="HH64" s="9" t="n">
        <v>36.6</v>
      </c>
      <c r="HI64" s="9" t="n">
        <v>2.09</v>
      </c>
      <c r="HJ64" s="9" t="n">
        <v>0.97</v>
      </c>
      <c r="HK64" s="9" t="n">
        <v>10.71</v>
      </c>
      <c r="HL64" s="9" t="n">
        <v>4.11</v>
      </c>
      <c r="HM64" s="9" t="n">
        <v>38.4</v>
      </c>
      <c r="HN64" s="9" t="n">
        <v>68.48999999999999</v>
      </c>
      <c r="HO64" s="9" t="n">
        <v>41.03</v>
      </c>
      <c r="HP64" s="9" t="n">
        <v>59.91</v>
      </c>
      <c r="HQ64" s="9" t="n">
        <v>26.71</v>
      </c>
      <c r="HR64" s="9" t="n">
        <v>12.4</v>
      </c>
      <c r="HS64" s="9" t="n">
        <v>46.42</v>
      </c>
      <c r="HT64" s="9" t="n">
        <v>3.89</v>
      </c>
      <c r="HU64" s="9" t="n">
        <v>1.94</v>
      </c>
      <c r="HV64" s="9" t="n">
        <v>50</v>
      </c>
      <c r="HW64" s="9" t="n">
        <v>36.86</v>
      </c>
      <c r="HX64" s="9" t="n">
        <v>13.06</v>
      </c>
      <c r="HY64" s="9" t="n">
        <v>11.57</v>
      </c>
      <c r="HZ64" s="9" t="n">
        <v>2.23</v>
      </c>
      <c r="IA64" s="9" t="n">
        <v>0</v>
      </c>
      <c r="IB64" s="9" t="n">
        <v>123.14</v>
      </c>
      <c r="IC64" s="9" t="n">
        <v>90.37</v>
      </c>
      <c r="ID64" s="9" t="n">
        <v>73.39</v>
      </c>
      <c r="IE64" s="9" t="n">
        <v>53.54</v>
      </c>
      <c r="IF64" s="9" t="n">
        <v>50.57</v>
      </c>
      <c r="IG64" s="9" t="n">
        <v>94.45</v>
      </c>
      <c r="IH64" s="9" t="n">
        <v>131.54</v>
      </c>
      <c r="II64" s="9" t="n">
        <v>116.31</v>
      </c>
      <c r="IJ64" s="9" t="n">
        <v>88.42</v>
      </c>
      <c r="IK64" s="9" t="n">
        <v>39.51</v>
      </c>
      <c r="IL64" s="9" t="n">
        <v>20.43</v>
      </c>
      <c r="IM64" s="9" t="n">
        <v>51.7</v>
      </c>
      <c r="IN64" s="9" t="n">
        <v>49.4</v>
      </c>
      <c r="IO64" s="9" t="n">
        <v>34.77</v>
      </c>
      <c r="IP64" s="9" t="n">
        <v>70.39</v>
      </c>
      <c r="IQ64" s="9" t="n">
        <v>64.29000000000001</v>
      </c>
      <c r="IR64" s="9" t="n">
        <v>47.2</v>
      </c>
      <c r="IS64" s="9" t="n">
        <v>73.42</v>
      </c>
      <c r="IT64" s="33">
        <f>PERCENTRANK(IS$2:INDEX($IS:$IS,LOOKUP(2,1/(ISNUMBER($A$2:$A$1048576)),ROW($A$2:$A$1048576))),IS64)</f>
        <v/>
      </c>
      <c r="IU64" s="39">
        <f>1-(IS64-IS$106)/IS$107</f>
        <v/>
      </c>
      <c r="IV64" s="9" t="n">
        <v>1.57</v>
      </c>
      <c r="IW64" s="9" t="n">
        <v>0.54</v>
      </c>
      <c r="IX64" s="9" t="n">
        <v>34.55</v>
      </c>
      <c r="IY64" s="9" t="n">
        <v>16.11</v>
      </c>
      <c r="IZ64" s="9" t="n">
        <v>14.74</v>
      </c>
      <c r="JA64" s="9" t="n">
        <v>91.48999999999999</v>
      </c>
      <c r="JB64" s="9" t="n">
        <v>8.630000000000001</v>
      </c>
      <c r="JC64" s="9" t="n">
        <v>15.71</v>
      </c>
      <c r="JD64" s="9" t="n">
        <v>3.88</v>
      </c>
      <c r="JE64" s="9" t="n">
        <v>11.25</v>
      </c>
      <c r="JF64" s="9" t="n">
        <v>19.79</v>
      </c>
      <c r="JG64" s="9" t="n">
        <v>20.23</v>
      </c>
      <c r="JH64" s="9" t="n">
        <v>14.57</v>
      </c>
    </row>
    <row r="65">
      <c r="A65" s="12" t="n">
        <v>2023</v>
      </c>
      <c r="B65" s="31" t="inlineStr">
        <is>
          <t>New Mexico United</t>
        </is>
      </c>
      <c r="C65" s="12" t="n">
        <v>46</v>
      </c>
      <c r="D65" s="5">
        <f>(C65-AVERAGE($C$2:INDEX($C:$C,LOOKUP(2,1/(ISNUMBER($A$2:$A$1048576)),ROW($A$2:$A$1048576)))))/_xlfn.STDEV.P($C$2:INDEX($C:$C,LOOKUP(2,1/(ISNUMBER($A$2:$A$1048576)),ROW($A$2:$A$1048576))))</f>
        <v/>
      </c>
      <c r="E65" s="12" t="n">
        <v>8</v>
      </c>
      <c r="F65" s="6">
        <f>-E65</f>
        <v/>
      </c>
      <c r="G65" s="7">
        <f>(F65-AVERAGE($F$2:INDEX($F:$F,LOOKUP(2,1/(ISNUMBER($A$2:$A$1048576)),ROW($A$2:$A$1048576)))))/_xlfn.STDEV.P($F$2:INDEX($F:$F,LOOKUP(2,1/(ISNUMBER($A$2:$A$1048576)),ROW($A$2:$A$1048576))))</f>
        <v/>
      </c>
      <c r="H65" s="32">
        <f>sum(0.5*D65)+(0.5*G65)</f>
        <v/>
      </c>
      <c r="I65" s="12" t="inlineStr">
        <is>
          <t>West</t>
        </is>
      </c>
      <c r="J65" s="10">
        <f>sum(L65*L$105)+(N65*N$105)+(P65*P$105)+(T65*R$105)</f>
        <v/>
      </c>
      <c r="K65" s="33">
        <f>PERCENTRANK(J$2:INDEX($J:$J,LOOKUP(2,1/(ISNUMBER($A$2:$A$1048576)),ROW($A$2:$A$1048576))),J65)</f>
        <v/>
      </c>
      <c r="L65" s="10">
        <f>sum(AA65*0.66)+(AD65*0.55)+(AG65*0.59)+(CG65*0.51)+(CL65*0.6)+(EY65*0.31)</f>
        <v/>
      </c>
      <c r="M65" s="33">
        <f>PERCENTRANK(L$2:INDEX($L:$L,LOOKUP(2,1/(ISNUMBER($A$2:$A$1048576)),ROW($A$2:$A$1048576))),L65)</f>
        <v/>
      </c>
      <c r="N65" s="10">
        <f>sum(CT65*0.57)+(CW65*0.71)+(DJ65*0.08)+(FC65*0.33)+(FG65*0.69)+(FM65*0.26)+(IU65*0.54)+(AU65*0.4)</f>
        <v/>
      </c>
      <c r="O65" s="33">
        <f>PERCENTRANK(N$2:INDEX($N:$N,LOOKUP(2,1/(ISNUMBER($A$2:$A$1048576)),ROW($A$2:$A$1048576))),N65)</f>
        <v/>
      </c>
      <c r="P65" s="10">
        <f>sum(BG65*0.51)+(CD65*0.51)+(DR65*0.11)+(EF65*0.42)+(EK65*0.44)+(W65*0.6)</f>
        <v/>
      </c>
      <c r="Q65" s="33">
        <f>PERCENTRANK(P$2:INDEX($P:$P,LOOKUP(2,1/(ISNUMBER($A$2:$A$1048576)),ROW($A$2:$A$1048576))),P65)</f>
        <v/>
      </c>
      <c r="R65" s="10">
        <f>sum(Y65-FE65)</f>
        <v/>
      </c>
      <c r="S65" s="33">
        <f>PERCENTRANK(R$2:INDEX($R:$R,LOOKUP(2,1/(ISNUMBER($A$2:$A$1048576)),ROW($A$2:$A$1048576))),R65)</f>
        <v/>
      </c>
      <c r="T65" s="34">
        <f>sum(R65-R$106)/R$107</f>
        <v/>
      </c>
      <c r="U65" s="35">
        <f>sum(Y65/AI65)*100</f>
        <v/>
      </c>
      <c r="V65" s="33">
        <f>PERCENTRANK(U$2:INDEX($U:$U,LOOKUP(2,1/(ISNUMBER($A$2:$A$1048576)),ROW($A$2:$A$1048576))),U65)</f>
        <v/>
      </c>
      <c r="W65" s="36">
        <f>sum(U65-U$106)/U$107</f>
        <v/>
      </c>
      <c r="X65" s="9" t="n">
        <v>1.46</v>
      </c>
      <c r="Y65" s="9" t="n">
        <v>1.27</v>
      </c>
      <c r="Z65" s="33">
        <f>PERCENTRANK(Y$2:INDEX($Y:$Y,LOOKUP(2,1/(ISNUMBER($A$2:$A$1048576)),ROW($A$2:$A$1048576))),Y65)</f>
        <v/>
      </c>
      <c r="AA65" s="37">
        <f>sum(Y65-Y$106)/Y$107</f>
        <v/>
      </c>
      <c r="AB65" s="9" t="n">
        <v>10.57</v>
      </c>
      <c r="AC65" s="33">
        <f>PERCENTRANK(AB$2:INDEX($AB:$AB,LOOKUP(2,1/(ISNUMBER($A$2:$A$1048576)),ROW($A$2:$A$1048576))),AB65)</f>
        <v/>
      </c>
      <c r="AD65" s="38">
        <f>sum(AB65-AB$106)/AB$107</f>
        <v/>
      </c>
      <c r="AE65" s="9" t="n">
        <v>4.03</v>
      </c>
      <c r="AF65" s="33">
        <f>PERCENTRANK(AE$2:INDEX($AE:$AE,LOOKUP(2,1/(ISNUMBER($A$2:$A$1048576)),ROW($A$2:$A$1048576))),AE65)</f>
        <v/>
      </c>
      <c r="AG65" s="38">
        <f>sum(AE65-AE$106)/AE$107</f>
        <v/>
      </c>
      <c r="AH65" s="9" t="n">
        <v>38.11</v>
      </c>
      <c r="AI65" s="9" t="n">
        <v>410.94</v>
      </c>
      <c r="AJ65" s="9" t="n">
        <v>342.69</v>
      </c>
      <c r="AK65" s="9" t="n">
        <v>83.39</v>
      </c>
      <c r="AL65" s="9" t="n">
        <v>50.42</v>
      </c>
      <c r="AM65" s="9" t="n">
        <v>100.2</v>
      </c>
      <c r="AN65" s="9" t="n">
        <v>18.17</v>
      </c>
      <c r="AO65" s="9" t="n">
        <v>34.74</v>
      </c>
      <c r="AP65" s="9" t="n">
        <v>47.29</v>
      </c>
      <c r="AQ65" s="9" t="n">
        <v>76.03</v>
      </c>
      <c r="AR65" s="9" t="n">
        <v>35.46</v>
      </c>
      <c r="AS65" s="9" t="n">
        <v>30.09</v>
      </c>
      <c r="AT65" s="33">
        <f>PERCENTRANK(AS$2:INDEX($AS:$AS,LOOKUP(2,1/(ISNUMBER($A$2:$A$1048576)),ROW($A$2:$A$1048576))),AS65)</f>
        <v/>
      </c>
      <c r="AU65" s="39">
        <f>SUM(AS65-AS$106)/AS$107</f>
        <v/>
      </c>
      <c r="AV65" s="9" t="n">
        <v>10.49</v>
      </c>
      <c r="AW65" s="33">
        <f>PERCENTRANK(AV$2:INDEX($AV:$AV,LOOKUP(2,1/(ISNUMBER($A$2:$A$1048576)),ROW($A$2:$A$1048576))),AV65)</f>
        <v/>
      </c>
      <c r="AX65" s="9" t="n">
        <v>188.46</v>
      </c>
      <c r="AY65" s="9" t="n">
        <v>89.56999999999999</v>
      </c>
      <c r="AZ65" s="9" t="n">
        <v>47.53</v>
      </c>
      <c r="BA65" s="9" t="n">
        <v>4.43</v>
      </c>
      <c r="BB65" s="9" t="n">
        <v>1.09</v>
      </c>
      <c r="BC65" s="9" t="n">
        <v>24.52</v>
      </c>
      <c r="BD65" s="9" t="n">
        <v>25.77</v>
      </c>
      <c r="BE65" s="9" t="n">
        <v>6.43</v>
      </c>
      <c r="BF65" s="33">
        <f>PERCENTRANK(BE$2:INDEX($BE:$BE,LOOKUP(2,1/(ISNUMBER($A$2:$A$1048576)),ROW($A$2:$A$1048576))),BE65)</f>
        <v/>
      </c>
      <c r="BG65" s="40">
        <f>sum(BE65-BE$106)/BE$107</f>
        <v/>
      </c>
      <c r="BH65" s="9" t="n">
        <v>24.94</v>
      </c>
      <c r="BI65" s="9" t="n">
        <v>1.37</v>
      </c>
      <c r="BJ65" s="9" t="n">
        <v>0.6899999999999999</v>
      </c>
      <c r="BK65" s="9" t="n">
        <v>50</v>
      </c>
      <c r="BL65" s="9" t="n">
        <v>26.34</v>
      </c>
      <c r="BM65" s="9" t="n">
        <v>3</v>
      </c>
      <c r="BN65" s="9" t="n">
        <v>11.39</v>
      </c>
      <c r="BO65" s="9" t="n">
        <v>4.34</v>
      </c>
      <c r="BP65" s="9" t="n">
        <v>1.23</v>
      </c>
      <c r="BQ65" s="9" t="n">
        <v>28.29</v>
      </c>
      <c r="BR65" s="9" t="n">
        <v>2.8</v>
      </c>
      <c r="BS65" s="9" t="n">
        <v>0.57</v>
      </c>
      <c r="BT65" s="9" t="n">
        <v>20.41</v>
      </c>
      <c r="BU65" s="9" t="n">
        <v>0.11</v>
      </c>
      <c r="BV65" s="9" t="n">
        <v>0.11</v>
      </c>
      <c r="BW65" s="9" t="n">
        <v>100</v>
      </c>
      <c r="BX65" s="9" t="n">
        <v>11.17</v>
      </c>
      <c r="BY65" s="9" t="n">
        <v>4.11</v>
      </c>
      <c r="BZ65" s="9" t="n">
        <v>36.83</v>
      </c>
      <c r="CA65" s="9" t="n">
        <v>4</v>
      </c>
      <c r="CB65" s="9" t="n">
        <v>6.34</v>
      </c>
      <c r="CC65" s="33">
        <f>PERCENTRANK(CD$2:INDEX($CD:$CD,LOOKUP(2,1/(ISNUMBER($A$2:$A$1048576)),ROW($A$2:$A$1048576))),CD65)</f>
        <v/>
      </c>
      <c r="CD65" s="40">
        <f>sum(CB65-CB$106)/CB$107</f>
        <v/>
      </c>
      <c r="CE65" s="9" t="n">
        <v>21.46</v>
      </c>
      <c r="CF65" s="33">
        <f>PERCENTRANK(CE$2:INDEX($CE:$CE,LOOKUP(2,1/(ISNUMBER($A$2:$A$1048576)),ROW($A$2:$A$1048576))),CE65)</f>
        <v/>
      </c>
      <c r="CG65" s="38">
        <f>sum(CE65-CE$106)/CE$107</f>
        <v/>
      </c>
      <c r="CH65" s="9" t="n">
        <v>2.51</v>
      </c>
      <c r="CI65" s="9" t="n">
        <v>7.03</v>
      </c>
      <c r="CJ65" s="9" t="n">
        <v>14.89</v>
      </c>
      <c r="CK65" s="33">
        <f>PERCENTRANK(CJ$2:INDEX($CJ:$CJ,LOOKUP(2,1/(ISNUMBER($A$2:$A$1048576)),ROW($A$2:$A$1048576))),CJ65)</f>
        <v/>
      </c>
      <c r="CL65" s="38">
        <f>sum(CJ65-CJ$106)/CJ$107</f>
        <v/>
      </c>
      <c r="CM65" s="9" t="n">
        <v>61.43</v>
      </c>
      <c r="CN65" s="9" t="n">
        <v>25.34</v>
      </c>
      <c r="CO65" s="9" t="n">
        <v>41.26</v>
      </c>
      <c r="CP65" s="9" t="n">
        <v>2.51</v>
      </c>
      <c r="CQ65" s="9" t="n">
        <v>1.43</v>
      </c>
      <c r="CR65" s="9" t="n">
        <v>10.97</v>
      </c>
      <c r="CS65" s="33">
        <f>PERCENTRANK(CR$2:INDEX($CR:$CR,LOOKUP(2,1/(ISNUMBER($A$2:$A$1048576)),ROW($A$2:$A$1048576))),CR65)</f>
        <v/>
      </c>
      <c r="CT65" s="39">
        <f>1-(CR65-CR$106)/CR$107</f>
        <v/>
      </c>
      <c r="CU65" s="9" t="n">
        <v>4.23</v>
      </c>
      <c r="CV65" s="33">
        <f>PERCENTRANK(CU$2:INDEX($CU:$CU,LOOKUP(2,1/(ISNUMBER($A$2:$A$1048576)),ROW($A$2:$A$1048576))),CU65)</f>
        <v/>
      </c>
      <c r="CW65" s="39">
        <f>1-(CU65-CU$106)/CU$107</f>
        <v/>
      </c>
      <c r="CX65" s="9" t="n">
        <v>38.54</v>
      </c>
      <c r="CY65" s="9" t="n">
        <v>62.74</v>
      </c>
      <c r="CZ65" s="9" t="n">
        <v>36.6</v>
      </c>
      <c r="DA65" s="9" t="n">
        <v>58.33</v>
      </c>
      <c r="DB65" s="9" t="n">
        <v>34.63</v>
      </c>
      <c r="DC65" s="9" t="n">
        <v>16.06</v>
      </c>
      <c r="DD65" s="9" t="n">
        <v>46.37</v>
      </c>
      <c r="DE65" s="9" t="n">
        <v>3.89</v>
      </c>
      <c r="DF65" s="9" t="n">
        <v>1.6</v>
      </c>
      <c r="DG65" s="9" t="n">
        <v>41.18</v>
      </c>
      <c r="DH65" s="9" t="n">
        <v>38.8</v>
      </c>
      <c r="DI65" s="33">
        <f>PERCENTRANK(DH$2:INDEX($DH:$DH,LOOKUP(2,1/(ISNUMBER($A$2:$A$1048576)),ROW($A$2:$A$1048576))),DH65)</f>
        <v/>
      </c>
      <c r="DJ65" s="39">
        <f>SUM(DH65-DH$106)/DH$107</f>
        <v/>
      </c>
      <c r="DK65" s="9" t="n">
        <v>15.51</v>
      </c>
      <c r="DL65" s="9" t="n">
        <v>12.71</v>
      </c>
      <c r="DM65" s="9" t="n">
        <v>2.69</v>
      </c>
      <c r="DN65" s="9" t="n">
        <v>0.17</v>
      </c>
      <c r="DO65" s="9" t="n">
        <v>137.63</v>
      </c>
      <c r="DP65" s="9" t="n">
        <v>99.14</v>
      </c>
      <c r="DQ65" s="33">
        <f>PERCENTRANK(DP$2:INDEX($DP:$DP,LOOKUP(2,1/(ISNUMBER($A$2:$A$1048576)),ROW($A$2:$A$1048576))),DP65)</f>
        <v/>
      </c>
      <c r="DR65" s="40">
        <f>sum(DP65-DP$106)/DP$107</f>
        <v/>
      </c>
      <c r="DS65" s="9" t="n">
        <v>72.04000000000001</v>
      </c>
      <c r="DT65" s="9" t="n">
        <v>60.91</v>
      </c>
      <c r="DU65" s="9" t="n">
        <v>57.8</v>
      </c>
      <c r="DV65" s="9" t="n">
        <v>94.89</v>
      </c>
      <c r="DW65" s="9" t="n">
        <v>154.97</v>
      </c>
      <c r="DX65" s="9" t="n">
        <v>138.43</v>
      </c>
      <c r="DY65" s="9" t="n">
        <v>89.33</v>
      </c>
      <c r="DZ65" s="9" t="n">
        <v>44.4</v>
      </c>
      <c r="EA65" s="9" t="n">
        <v>23.14</v>
      </c>
      <c r="EB65" s="9" t="n">
        <v>52.12</v>
      </c>
      <c r="EC65" s="9" t="n">
        <v>52.94</v>
      </c>
      <c r="ED65" s="9" t="n">
        <v>34.51</v>
      </c>
      <c r="EE65" s="33">
        <f>PERCENTRANK(ED$2:INDEX($ED:$ED,LOOKUP(2,1/(ISNUMBER($A$2:$A$1048576)),ROW($A$2:$A$1048576))),ED65)</f>
        <v/>
      </c>
      <c r="EF65" s="40">
        <f>sum(ED65-ED$106)/ED$107</f>
        <v/>
      </c>
      <c r="EG65" s="9" t="n">
        <v>65.19</v>
      </c>
      <c r="EH65" s="9" t="n">
        <v>69.63</v>
      </c>
      <c r="EI65" s="9" t="n">
        <v>50.66</v>
      </c>
      <c r="EJ65" s="33">
        <f>PERCENTRANK(EI$2:INDEX($EI:$EI,LOOKUP(2,1/(ISNUMBER($A$2:$A$1048576)),ROW($A$2:$A$1048576))),EI65)</f>
        <v/>
      </c>
      <c r="EK65" s="40">
        <f>sum(EI65-EI$106)/EI$107</f>
        <v/>
      </c>
      <c r="EL65" s="9" t="n">
        <v>72.75</v>
      </c>
      <c r="EM65" s="9" t="n">
        <v>2.8</v>
      </c>
      <c r="EN65" s="9" t="n">
        <v>1.09</v>
      </c>
      <c r="EO65" s="9" t="n">
        <v>38.78</v>
      </c>
      <c r="EP65" s="9" t="n">
        <v>20.8</v>
      </c>
      <c r="EQ65" s="9" t="n">
        <v>18.6</v>
      </c>
      <c r="ER65" s="9" t="n">
        <v>89.42</v>
      </c>
      <c r="ES65" s="9" t="n">
        <v>9.199999999999999</v>
      </c>
      <c r="ET65" s="9" t="n">
        <v>16.22</v>
      </c>
      <c r="EU65" s="9" t="n">
        <v>4.02</v>
      </c>
      <c r="EV65" s="9" t="n">
        <v>11.17</v>
      </c>
      <c r="EW65" s="9" t="n">
        <v>18.68</v>
      </c>
      <c r="EX65" s="33">
        <f>PERCENTRANK(EW$2:INDEX($EW:$EW,LOOKUP(2,1/(ISNUMBER($A$2:$A$1048576)),ROW($A$2:$A$1048576))),EW65)</f>
        <v/>
      </c>
      <c r="EY65" s="38">
        <f>1-(EW65-EW$106)/EW$107</f>
        <v/>
      </c>
      <c r="EZ65" s="9" t="n">
        <v>20.17</v>
      </c>
      <c r="FA65" s="9" t="n">
        <v>12.13</v>
      </c>
      <c r="FB65" s="33">
        <f>PERCENTRANK(FA$2:INDEX($FA:$FA,LOOKUP(2,1/(ISNUMBER($A$2:$A$1048576)),ROW($A$2:$A$1048576))),FA65)</f>
        <v/>
      </c>
      <c r="FC65" s="39">
        <f>1-(FA65-FA$106)/FA$107</f>
        <v/>
      </c>
      <c r="FD65" s="9" t="n">
        <v>1.43</v>
      </c>
      <c r="FE65" s="9" t="n">
        <v>1.29</v>
      </c>
      <c r="FF65" s="33">
        <f>PERCENTRANK(FE$2:INDEX($FE:$FE,LOOKUP(2,1/(ISNUMBER($A$2:$A$1048576)),ROW($A$2:$A$1048576))),FE65)</f>
        <v/>
      </c>
      <c r="FG65" s="39">
        <f>1-(FE65-FE$106)/FE$107</f>
        <v/>
      </c>
      <c r="FH65" s="9" t="n">
        <v>10.97</v>
      </c>
      <c r="FI65" s="9" t="n">
        <v>3.91</v>
      </c>
      <c r="FJ65" s="9" t="n">
        <v>35.68</v>
      </c>
      <c r="FK65" s="9" t="n">
        <v>400.03</v>
      </c>
      <c r="FL65" s="33">
        <f>PERCENTRANK(FK$2:INDEX($FK:$FK,LOOKUP(2,1/(ISNUMBER($A$2:$A$1048576)),ROW($A$2:$A$1048576))),FK65)</f>
        <v/>
      </c>
      <c r="FM65" s="39">
        <f>SWA64-(FK65-FK$106)/FK$107</f>
        <v/>
      </c>
      <c r="FN65" s="9" t="n">
        <v>327.97</v>
      </c>
      <c r="FO65" s="9" t="n">
        <v>81.98999999999999</v>
      </c>
      <c r="FP65" s="9" t="n">
        <v>49.58</v>
      </c>
      <c r="FQ65" s="9" t="n">
        <v>98.66</v>
      </c>
      <c r="FR65" s="9" t="n">
        <v>17.4</v>
      </c>
      <c r="FS65" s="9" t="n">
        <v>34.8</v>
      </c>
      <c r="FT65" s="9" t="n">
        <v>46.46</v>
      </c>
      <c r="FU65" s="9" t="n">
        <v>78.97</v>
      </c>
      <c r="FV65" s="9" t="n">
        <v>36.57</v>
      </c>
      <c r="FW65" s="9" t="n">
        <v>31.37</v>
      </c>
      <c r="FX65" s="9" t="n">
        <v>11.03</v>
      </c>
      <c r="FY65" s="9" t="n">
        <v>188.46</v>
      </c>
      <c r="FZ65" s="9" t="n">
        <v>91.51000000000001</v>
      </c>
      <c r="GA65" s="9" t="n">
        <v>48.56</v>
      </c>
      <c r="GB65" s="9" t="n">
        <v>4.57</v>
      </c>
      <c r="GC65" s="9" t="n">
        <v>1.09</v>
      </c>
      <c r="GD65" s="9" t="n">
        <v>23.75</v>
      </c>
      <c r="GE65" s="9" t="n">
        <v>27.46</v>
      </c>
      <c r="GF65" s="9" t="n">
        <v>6.91</v>
      </c>
      <c r="GG65" s="9" t="n">
        <v>25.18</v>
      </c>
      <c r="GH65" s="9" t="n">
        <v>1.66</v>
      </c>
      <c r="GI65" s="9" t="n">
        <v>0.6899999999999999</v>
      </c>
      <c r="GJ65" s="9" t="n">
        <v>41.38</v>
      </c>
      <c r="GK65" s="9" t="n">
        <v>25.63</v>
      </c>
      <c r="GL65" s="9" t="n">
        <v>2.97</v>
      </c>
      <c r="GM65" s="9" t="n">
        <v>11.59</v>
      </c>
      <c r="GN65" s="9" t="n">
        <v>4.49</v>
      </c>
      <c r="GO65" s="9" t="n">
        <v>1.37</v>
      </c>
      <c r="GP65" s="9" t="n">
        <v>30.57</v>
      </c>
      <c r="GQ65" s="9" t="n">
        <v>2.63</v>
      </c>
      <c r="GR65" s="9" t="n">
        <v>0.54</v>
      </c>
      <c r="GS65" s="9" t="n">
        <v>20.65</v>
      </c>
      <c r="GT65" s="9" t="n">
        <v>0.06</v>
      </c>
      <c r="GU65" s="9" t="n">
        <v>0.03</v>
      </c>
      <c r="GV65" s="9" t="n">
        <v>50</v>
      </c>
      <c r="GW65" s="9" t="n">
        <v>14.03</v>
      </c>
      <c r="GX65" s="9" t="n">
        <v>4.51</v>
      </c>
      <c r="GY65" s="9" t="n">
        <v>32.18</v>
      </c>
      <c r="GZ65" s="9" t="n">
        <v>4.2</v>
      </c>
      <c r="HA65" s="9" t="n">
        <v>6.51</v>
      </c>
      <c r="HB65" s="9" t="n">
        <v>23.06</v>
      </c>
      <c r="HC65" s="9" t="n">
        <v>3.71</v>
      </c>
      <c r="HD65" s="9" t="n">
        <v>8.029999999999999</v>
      </c>
      <c r="HE65" s="9" t="n">
        <v>15.29</v>
      </c>
      <c r="HF65" s="9" t="n">
        <v>62.77</v>
      </c>
      <c r="HG65" s="9" t="n">
        <v>26.14</v>
      </c>
      <c r="HH65" s="9" t="n">
        <v>41.65</v>
      </c>
      <c r="HI65" s="9" t="n">
        <v>1.94</v>
      </c>
      <c r="HJ65" s="9" t="n">
        <v>1.46</v>
      </c>
      <c r="HK65" s="9" t="n">
        <v>10.57</v>
      </c>
      <c r="HL65" s="9" t="n">
        <v>4.14</v>
      </c>
      <c r="HM65" s="9" t="n">
        <v>39.19</v>
      </c>
      <c r="HN65" s="9" t="n">
        <v>61.4</v>
      </c>
      <c r="HO65" s="9" t="n">
        <v>36.09</v>
      </c>
      <c r="HP65" s="9" t="n">
        <v>58.77</v>
      </c>
      <c r="HQ65" s="9" t="n">
        <v>34.63</v>
      </c>
      <c r="HR65" s="9" t="n">
        <v>16.37</v>
      </c>
      <c r="HS65" s="9" t="n">
        <v>47.28</v>
      </c>
      <c r="HT65" s="9" t="n">
        <v>3.63</v>
      </c>
      <c r="HU65" s="9" t="n">
        <v>1.71</v>
      </c>
      <c r="HV65" s="9" t="n">
        <v>47.24</v>
      </c>
      <c r="HW65" s="9" t="n">
        <v>37.34</v>
      </c>
      <c r="HX65" s="9" t="n">
        <v>14.31</v>
      </c>
      <c r="HY65" s="9" t="n">
        <v>13.06</v>
      </c>
      <c r="HZ65" s="9" t="n">
        <v>2.34</v>
      </c>
      <c r="IA65" s="9" t="n">
        <v>0.03</v>
      </c>
      <c r="IB65" s="9" t="n">
        <v>139.4</v>
      </c>
      <c r="IC65" s="9" t="n">
        <v>99.29000000000001</v>
      </c>
      <c r="ID65" s="9" t="n">
        <v>71.22</v>
      </c>
      <c r="IE65" s="9" t="n">
        <v>60.11</v>
      </c>
      <c r="IF65" s="9" t="n">
        <v>56.57</v>
      </c>
      <c r="IG65" s="9" t="n">
        <v>94.11</v>
      </c>
      <c r="IH65" s="9" t="n">
        <v>143.26</v>
      </c>
      <c r="II65" s="9" t="n">
        <v>125.51</v>
      </c>
      <c r="IJ65" s="9" t="n">
        <v>87.61</v>
      </c>
      <c r="IK65" s="9" t="n">
        <v>49.54</v>
      </c>
      <c r="IL65" s="9" t="n">
        <v>25.37</v>
      </c>
      <c r="IM65" s="9" t="n">
        <v>51.21</v>
      </c>
      <c r="IN65" s="9" t="n">
        <v>52.94</v>
      </c>
      <c r="IO65" s="9" t="n">
        <v>33.54</v>
      </c>
      <c r="IP65" s="9" t="n">
        <v>63.36</v>
      </c>
      <c r="IQ65" s="9" t="n">
        <v>71.26000000000001</v>
      </c>
      <c r="IR65" s="9" t="n">
        <v>51.37</v>
      </c>
      <c r="IS65" s="9" t="n">
        <v>72.09</v>
      </c>
      <c r="IT65" s="33">
        <f>PERCENTRANK(IS$2:INDEX($IS:$IS,LOOKUP(2,1/(ISNUMBER($A$2:$A$1048576)),ROW($A$2:$A$1048576))),IS65)</f>
        <v/>
      </c>
      <c r="IU65" s="39">
        <f>1-(IS65-IS$106)/IS$107</f>
        <v/>
      </c>
      <c r="IV65" s="9" t="n">
        <v>2.94</v>
      </c>
      <c r="IW65" s="9" t="n">
        <v>1.34</v>
      </c>
      <c r="IX65" s="9" t="n">
        <v>45.63</v>
      </c>
      <c r="IY65" s="9" t="n">
        <v>20.26</v>
      </c>
      <c r="IZ65" s="9" t="n">
        <v>17.74</v>
      </c>
      <c r="JA65" s="9" t="n">
        <v>87.59</v>
      </c>
      <c r="JB65" s="9" t="n">
        <v>7.49</v>
      </c>
      <c r="JC65" s="9" t="n">
        <v>15.94</v>
      </c>
      <c r="JD65" s="9" t="n">
        <v>3.94</v>
      </c>
      <c r="JE65" s="9" t="n">
        <v>13.19</v>
      </c>
      <c r="JF65" s="9" t="n">
        <v>18.33</v>
      </c>
      <c r="JG65" s="9" t="n">
        <v>20.99</v>
      </c>
      <c r="JH65" s="9" t="n">
        <v>11.79</v>
      </c>
    </row>
    <row r="66">
      <c r="A66" s="12" t="n">
        <v>2025</v>
      </c>
      <c r="B66" s="31" t="inlineStr">
        <is>
          <t>Miami</t>
        </is>
      </c>
      <c r="C66" s="12" t="n">
        <v>30</v>
      </c>
      <c r="D66" s="5">
        <f>(C66-AVERAGE($C$2:INDEX($C:$C,LOOKUP(2,1/(ISNUMBER($A$2:$A$1048576)),ROW($A$2:$A$1048576)))))/_xlfn.STDEV.P($C$2:INDEX($C:$C,LOOKUP(2,1/(ISNUMBER($A$2:$A$1048576)),ROW($A$2:$A$1048576))))</f>
        <v/>
      </c>
      <c r="E66" s="12" t="n">
        <v>11</v>
      </c>
      <c r="F66" s="6">
        <f>-E66</f>
        <v/>
      </c>
      <c r="G66" s="7">
        <f>(F66-AVERAGE($F$2:INDEX($F:$F,LOOKUP(2,1/(ISNUMBER($A$2:$A$1048576)),ROW($A$2:$A$1048576)))))/_xlfn.STDEV.P($F$2:INDEX($F:$F,LOOKUP(2,1/(ISNUMBER($A$2:$A$1048576)),ROW($A$2:$A$1048576))))</f>
        <v/>
      </c>
      <c r="H66" s="32">
        <f>sum(0.5*D66)+(0.5*G66)</f>
        <v/>
      </c>
      <c r="I66" s="12" t="inlineStr">
        <is>
          <t>East</t>
        </is>
      </c>
      <c r="J66" s="10">
        <f>sum(L66*L$105)+(N66*N$105)+(P66*P$105)+(T66*R$105)</f>
        <v/>
      </c>
      <c r="K66" s="33">
        <f>PERCENTRANK(J$2:INDEX($J:$J,LOOKUP(2,1/(ISNUMBER($A$2:$A$1048576)),ROW($A$2:$A$1048576))),J66)</f>
        <v/>
      </c>
      <c r="L66" s="10">
        <f>sum(AA66*0.66)+(AD66*0.55)+(AG66*0.59)+(CG66*0.51)+(CL66*0.6)+(EY66*0.31)</f>
        <v/>
      </c>
      <c r="M66" s="33">
        <f>PERCENTRANK(L$2:INDEX($L:$L,LOOKUP(2,1/(ISNUMBER($A$2:$A$1048576)),ROW($A$2:$A$1048576))),L66)</f>
        <v/>
      </c>
      <c r="N66" s="10">
        <f>sum(CT66*0.57)+(CW66*0.71)+(DJ66*0.08)+(FC66*0.33)+(FG66*0.69)+(FM66*0.26)+(IU66*0.54)+(AU66*0.4)</f>
        <v/>
      </c>
      <c r="O66" s="33">
        <f>PERCENTRANK(N$2:INDEX($N:$N,LOOKUP(2,1/(ISNUMBER($A$2:$A$1048576)),ROW($A$2:$A$1048576))),N66)</f>
        <v/>
      </c>
      <c r="P66" s="10">
        <f>sum(BG66*0.51)+(CD66*0.51)+(DR66*0.11)+(EF66*0.42)+(EK66*0.44)+(W66*0.6)</f>
        <v/>
      </c>
      <c r="Q66" s="33">
        <f>PERCENTRANK(P$2:INDEX($P:$P,LOOKUP(2,1/(ISNUMBER($A$2:$A$1048576)),ROW($A$2:$A$1048576))),P66)</f>
        <v/>
      </c>
      <c r="R66" s="10">
        <f>sum(Y66-FE66)</f>
        <v/>
      </c>
      <c r="S66" s="33">
        <f>PERCENTRANK(R$2:INDEX($R:$R,LOOKUP(2,1/(ISNUMBER($A$2:$A$1048576)),ROW($A$2:$A$1048576))),R66)</f>
        <v/>
      </c>
      <c r="T66" s="34">
        <f>sum(R66-R$106)/R$107</f>
        <v/>
      </c>
      <c r="U66" s="35">
        <f>sum(Y66/AI66)*100</f>
        <v/>
      </c>
      <c r="V66" s="33">
        <f>PERCENTRANK(U$2:INDEX($U:$U,LOOKUP(2,1/(ISNUMBER($A$2:$A$1048576)),ROW($A$2:$A$1048576))),U66)</f>
        <v/>
      </c>
      <c r="W66" s="36">
        <f>sum(U66-U$106)/U$107</f>
        <v/>
      </c>
      <c r="X66" s="9" t="n">
        <v>0.97</v>
      </c>
      <c r="Y66" s="9" t="n">
        <v>1.2</v>
      </c>
      <c r="Z66" s="33">
        <f>PERCENTRANK(Y$2:INDEX($Y:$Y,LOOKUP(2,1/(ISNUMBER($A$2:$A$1048576)),ROW($A$2:$A$1048576))),Y66)</f>
        <v/>
      </c>
      <c r="AA66" s="37">
        <f>sum(Y66-Y$106)/Y$107</f>
        <v/>
      </c>
      <c r="AB66" s="9" t="n">
        <v>10.57</v>
      </c>
      <c r="AC66" s="33">
        <f>PERCENTRANK(AB$2:INDEX($AB:$AB,LOOKUP(2,1/(ISNUMBER($A$2:$A$1048576)),ROW($A$2:$A$1048576))),AB66)</f>
        <v/>
      </c>
      <c r="AD66" s="38">
        <f>sum(AB66-AB$106)/AB$107</f>
        <v/>
      </c>
      <c r="AE66" s="9" t="n">
        <v>3.73</v>
      </c>
      <c r="AF66" s="33">
        <f>PERCENTRANK(AE$2:INDEX($AE:$AE,LOOKUP(2,1/(ISNUMBER($A$2:$A$1048576)),ROW($A$2:$A$1048576))),AE66)</f>
        <v/>
      </c>
      <c r="AG66" s="38">
        <f>sum(AE66-AE$106)/AE$107</f>
        <v/>
      </c>
      <c r="AH66" s="9" t="n">
        <v>35.33</v>
      </c>
      <c r="AI66" s="9" t="n">
        <v>369.3</v>
      </c>
      <c r="AJ66" s="9" t="n">
        <v>299.93</v>
      </c>
      <c r="AK66" s="9" t="n">
        <v>81.22</v>
      </c>
      <c r="AL66" s="9" t="n">
        <v>48.65</v>
      </c>
      <c r="AM66" s="9" t="n">
        <v>106.17</v>
      </c>
      <c r="AN66" s="9" t="n">
        <v>21.87</v>
      </c>
      <c r="AO66" s="9" t="n">
        <v>39.13</v>
      </c>
      <c r="AP66" s="9" t="n">
        <v>45.17</v>
      </c>
      <c r="AQ66" s="9" t="n">
        <v>75.47</v>
      </c>
      <c r="AR66" s="9" t="n">
        <v>36.6</v>
      </c>
      <c r="AS66" s="9" t="n">
        <v>28.4</v>
      </c>
      <c r="AT66" s="33">
        <f>PERCENTRANK(AS$2:INDEX($AS:$AS,LOOKUP(2,1/(ISNUMBER($A$2:$A$1048576)),ROW($A$2:$A$1048576))),AS66)</f>
        <v/>
      </c>
      <c r="AU66" s="39">
        <f>SUM(AS66-AS$106)/AS$107</f>
        <v/>
      </c>
      <c r="AV66" s="9" t="n">
        <v>10.47</v>
      </c>
      <c r="AW66" s="33">
        <f>PERCENTRANK(AV$2:INDEX($AV:$AV,LOOKUP(2,1/(ISNUMBER($A$2:$A$1048576)),ROW($A$2:$A$1048576))),AV66)</f>
        <v/>
      </c>
      <c r="AX66" s="9" t="n">
        <v>185.07</v>
      </c>
      <c r="AY66" s="9" t="n">
        <v>90.3</v>
      </c>
      <c r="AZ66" s="9" t="n">
        <v>48.79</v>
      </c>
      <c r="BA66" s="9" t="n">
        <v>4.5</v>
      </c>
      <c r="BB66" s="9" t="n">
        <v>1.43</v>
      </c>
      <c r="BC66" s="9" t="n">
        <v>31.85</v>
      </c>
      <c r="BD66" s="9" t="n">
        <v>24.83</v>
      </c>
      <c r="BE66" s="9" t="n">
        <v>6.57</v>
      </c>
      <c r="BF66" s="33">
        <f>PERCENTRANK(BE$2:INDEX($BE:$BE,LOOKUP(2,1/(ISNUMBER($A$2:$A$1048576)),ROW($A$2:$A$1048576))),BE66)</f>
        <v/>
      </c>
      <c r="BG66" s="40">
        <f>sum(BE66-BE$106)/BE$107</f>
        <v/>
      </c>
      <c r="BH66" s="9" t="n">
        <v>26.44</v>
      </c>
      <c r="BI66" s="9" t="n">
        <v>0.37</v>
      </c>
      <c r="BJ66" s="9" t="n">
        <v>0.17</v>
      </c>
      <c r="BK66" s="9" t="n">
        <v>45.45</v>
      </c>
      <c r="BL66" s="9" t="n">
        <v>25</v>
      </c>
      <c r="BM66" s="9" t="n">
        <v>3.5</v>
      </c>
      <c r="BN66" s="9" t="n">
        <v>14</v>
      </c>
      <c r="BO66" s="9" t="n">
        <v>3.43</v>
      </c>
      <c r="BP66" s="9" t="n">
        <v>1.3</v>
      </c>
      <c r="BQ66" s="9" t="n">
        <v>37.86</v>
      </c>
      <c r="BR66" s="9" t="n">
        <v>2.23</v>
      </c>
      <c r="BS66" s="9" t="n">
        <v>0.6</v>
      </c>
      <c r="BT66" s="9" t="n">
        <v>26.87</v>
      </c>
      <c r="BU66" s="9" t="n">
        <v>0.1</v>
      </c>
      <c r="BV66" s="9" t="n">
        <v>0.03</v>
      </c>
      <c r="BW66" s="9" t="n">
        <v>33.33</v>
      </c>
      <c r="BX66" s="9" t="n">
        <v>12.3</v>
      </c>
      <c r="BY66" s="9" t="n">
        <v>4.9</v>
      </c>
      <c r="BZ66" s="9" t="n">
        <v>39.84</v>
      </c>
      <c r="CA66" s="9" t="n">
        <v>4.5</v>
      </c>
      <c r="CB66" s="9" t="n">
        <v>4.73</v>
      </c>
      <c r="CC66" s="33">
        <f>PERCENTRANK(CD$2:INDEX($CD:$CD,LOOKUP(2,1/(ISNUMBER($A$2:$A$1048576)),ROW($A$2:$A$1048576))),CD66)</f>
        <v/>
      </c>
      <c r="CD66" s="40">
        <f>sum(CB66-CB$106)/CB$107</f>
        <v/>
      </c>
      <c r="CE66" s="9" t="n">
        <v>20.8</v>
      </c>
      <c r="CF66" s="33">
        <f>PERCENTRANK(CE$2:INDEX($CE:$CE,LOOKUP(2,1/(ISNUMBER($A$2:$A$1048576)),ROW($A$2:$A$1048576))),CE66)</f>
        <v/>
      </c>
      <c r="CG66" s="38">
        <f>sum(CE66-CE$106)/CE$107</f>
        <v/>
      </c>
      <c r="CH66" s="9" t="n">
        <v>2.47</v>
      </c>
      <c r="CI66" s="9" t="n">
        <v>8.07</v>
      </c>
      <c r="CJ66" s="9" t="n">
        <v>13.6</v>
      </c>
      <c r="CK66" s="33">
        <f>PERCENTRANK(CJ$2:INDEX($CJ:$CJ,LOOKUP(2,1/(ISNUMBER($A$2:$A$1048576)),ROW($A$2:$A$1048576))),CJ66)</f>
        <v/>
      </c>
      <c r="CL66" s="38">
        <f>sum(CJ66-CJ$106)/CJ$107</f>
        <v/>
      </c>
      <c r="CM66" s="9" t="n">
        <v>58.33</v>
      </c>
      <c r="CN66" s="9" t="n">
        <v>21.5</v>
      </c>
      <c r="CO66" s="9" t="n">
        <v>36.86</v>
      </c>
      <c r="CP66" s="9" t="n">
        <v>1.17</v>
      </c>
      <c r="CQ66" s="9" t="n">
        <v>1.47</v>
      </c>
      <c r="CR66" s="9" t="n">
        <v>10.4</v>
      </c>
      <c r="CS66" s="33">
        <f>PERCENTRANK(CR$2:INDEX($CR:$CR,LOOKUP(2,1/(ISNUMBER($A$2:$A$1048576)),ROW($A$2:$A$1048576))),CR66)</f>
        <v/>
      </c>
      <c r="CT66" s="39">
        <f>1-(CR66-CR$106)/CR$107</f>
        <v/>
      </c>
      <c r="CU66" s="9" t="n">
        <v>4.57</v>
      </c>
      <c r="CV66" s="33">
        <f>PERCENTRANK(CU$2:INDEX($CU:$CU,LOOKUP(2,1/(ISNUMBER($A$2:$A$1048576)),ROW($A$2:$A$1048576))),CU66)</f>
        <v/>
      </c>
      <c r="CW66" s="39">
        <f>1-(CU66-CU$106)/CU$107</f>
        <v/>
      </c>
      <c r="CX66" s="9" t="n">
        <v>43.91</v>
      </c>
      <c r="CY66" s="9" t="n">
        <v>61.9</v>
      </c>
      <c r="CZ66" s="9" t="n">
        <v>38.6</v>
      </c>
      <c r="DA66" s="9" t="n">
        <v>62.36</v>
      </c>
      <c r="DB66" s="9" t="n">
        <v>40.93</v>
      </c>
      <c r="DC66" s="9" t="n">
        <v>20.27</v>
      </c>
      <c r="DD66" s="9" t="n">
        <v>49.51</v>
      </c>
      <c r="DE66" s="9" t="n">
        <v>3.4</v>
      </c>
      <c r="DF66" s="9" t="n">
        <v>1.63</v>
      </c>
      <c r="DG66" s="9" t="n">
        <v>48.04</v>
      </c>
      <c r="DH66" s="9" t="n">
        <v>38.07</v>
      </c>
      <c r="DI66" s="33">
        <f>PERCENTRANK(DH$2:INDEX($DH:$DH,LOOKUP(2,1/(ISNUMBER($A$2:$A$1048576)),ROW($A$2:$A$1048576))),DH66)</f>
        <v/>
      </c>
      <c r="DJ66" s="39">
        <f>SUM(DH66-DH$106)/DH$107</f>
        <v/>
      </c>
      <c r="DK66" s="9" t="n">
        <v>18.27</v>
      </c>
      <c r="DL66" s="9" t="n">
        <v>15.17</v>
      </c>
      <c r="DM66" s="9" t="n">
        <v>2.9</v>
      </c>
      <c r="DN66" s="9" t="n">
        <v>0.27</v>
      </c>
      <c r="DO66" s="9" t="n">
        <v>129.47</v>
      </c>
      <c r="DP66" s="9" t="n">
        <v>88.23</v>
      </c>
      <c r="DQ66" s="33">
        <f>PERCENTRANK(DP$2:INDEX($DP:$DP,LOOKUP(2,1/(ISNUMBER($A$2:$A$1048576)),ROW($A$2:$A$1048576))),DP66)</f>
        <v/>
      </c>
      <c r="DR66" s="40">
        <f>sum(DP66-DP$106)/DP$107</f>
        <v/>
      </c>
      <c r="DS66" s="9" t="n">
        <v>68.15000000000001</v>
      </c>
      <c r="DT66" s="9" t="n">
        <v>59.57</v>
      </c>
      <c r="DU66" s="9" t="n">
        <v>56.27</v>
      </c>
      <c r="DV66" s="9" t="n">
        <v>94.45999999999999</v>
      </c>
      <c r="DW66" s="9" t="n">
        <v>126.33</v>
      </c>
      <c r="DX66" s="9" t="n">
        <v>110.6</v>
      </c>
      <c r="DY66" s="9" t="n">
        <v>87.55</v>
      </c>
      <c r="DZ66" s="9" t="n">
        <v>50.77</v>
      </c>
      <c r="EA66" s="9" t="n">
        <v>25.4</v>
      </c>
      <c r="EB66" s="9" t="n">
        <v>50.03</v>
      </c>
      <c r="EC66" s="9" t="n">
        <v>48.4</v>
      </c>
      <c r="ED66" s="9" t="n">
        <v>29.03</v>
      </c>
      <c r="EE66" s="33">
        <f>PERCENTRANK(ED$2:INDEX($ED:$ED,LOOKUP(2,1/(ISNUMBER($A$2:$A$1048576)),ROW($A$2:$A$1048576))),ED66)</f>
        <v/>
      </c>
      <c r="EF66" s="40">
        <f>sum(ED66-ED$106)/ED$107</f>
        <v/>
      </c>
      <c r="EG66" s="9" t="n">
        <v>59.99</v>
      </c>
      <c r="EH66" s="9" t="n">
        <v>63.9</v>
      </c>
      <c r="EI66" s="9" t="n">
        <v>43.7</v>
      </c>
      <c r="EJ66" s="33">
        <f>PERCENTRANK(EI$2:INDEX($EI:$EI,LOOKUP(2,1/(ISNUMBER($A$2:$A$1048576)),ROW($A$2:$A$1048576))),EI66)</f>
        <v/>
      </c>
      <c r="EK66" s="40">
        <f>sum(EI66-EI$106)/EI$107</f>
        <v/>
      </c>
      <c r="EL66" s="9" t="n">
        <v>68.39</v>
      </c>
      <c r="EM66" s="9" t="n">
        <v>0.53</v>
      </c>
      <c r="EN66" s="9" t="n">
        <v>0.2</v>
      </c>
      <c r="EO66" s="9" t="n">
        <v>37.5</v>
      </c>
      <c r="EP66" s="9" t="n">
        <v>19.67</v>
      </c>
      <c r="EQ66" s="9" t="n">
        <v>16.47</v>
      </c>
      <c r="ER66" s="9" t="n">
        <v>83.73</v>
      </c>
      <c r="ES66" s="9" t="n">
        <v>8.33</v>
      </c>
      <c r="ET66" s="9" t="n">
        <v>15.65</v>
      </c>
      <c r="EU66" s="9" t="n">
        <v>3.62</v>
      </c>
      <c r="EV66" s="9" t="n">
        <v>14.03</v>
      </c>
      <c r="EW66" s="9" t="n">
        <v>18.63</v>
      </c>
      <c r="EX66" s="33">
        <f>PERCENTRANK(EW$2:INDEX($EW:$EW,LOOKUP(2,1/(ISNUMBER($A$2:$A$1048576)),ROW($A$2:$A$1048576))),EW66)</f>
        <v/>
      </c>
      <c r="EY66" s="38">
        <f>1-(EW66-EW$106)/EW$107</f>
        <v/>
      </c>
      <c r="EZ66" s="9" t="n">
        <v>20.19</v>
      </c>
      <c r="FA66" s="9" t="n">
        <v>10.56</v>
      </c>
      <c r="FB66" s="33">
        <f>PERCENTRANK(FA$2:INDEX($FA:$FA,LOOKUP(2,1/(ISNUMBER($A$2:$A$1048576)),ROW($A$2:$A$1048576))),FA66)</f>
        <v/>
      </c>
      <c r="FC66" s="39">
        <f>1-(FA66-FA$106)/FA$107</f>
        <v/>
      </c>
      <c r="FD66" s="9" t="n">
        <v>1.47</v>
      </c>
      <c r="FE66" s="9" t="n">
        <v>1.47</v>
      </c>
      <c r="FF66" s="33">
        <f>PERCENTRANK(FE$2:INDEX($FE:$FE,LOOKUP(2,1/(ISNUMBER($A$2:$A$1048576)),ROW($A$2:$A$1048576))),FE66)</f>
        <v/>
      </c>
      <c r="FG66" s="39">
        <f>1-(FE66-FE$106)/FE$107</f>
        <v/>
      </c>
      <c r="FH66" s="9" t="n">
        <v>10.4</v>
      </c>
      <c r="FI66" s="9" t="n">
        <v>4.3</v>
      </c>
      <c r="FJ66" s="9" t="n">
        <v>41.35</v>
      </c>
      <c r="FK66" s="9" t="n">
        <v>401.63</v>
      </c>
      <c r="FL66" s="33">
        <f>PERCENTRANK(FK$2:INDEX($FK:$FK,LOOKUP(2,1/(ISNUMBER($A$2:$A$1048576)),ROW($A$2:$A$1048576))),FK66)</f>
        <v/>
      </c>
      <c r="FM66" s="39">
        <f>SWA65-(FK66-FK$106)/FK$107</f>
        <v/>
      </c>
      <c r="FN66" s="9" t="n">
        <v>328.73</v>
      </c>
      <c r="FO66" s="9" t="n">
        <v>81.84999999999999</v>
      </c>
      <c r="FP66" s="9" t="n">
        <v>51.35</v>
      </c>
      <c r="FQ66" s="9" t="n">
        <v>108.27</v>
      </c>
      <c r="FR66" s="9" t="n">
        <v>16.3</v>
      </c>
      <c r="FS66" s="9" t="n">
        <v>36.97</v>
      </c>
      <c r="FT66" s="9" t="n">
        <v>55</v>
      </c>
      <c r="FU66" s="9" t="n">
        <v>78</v>
      </c>
      <c r="FV66" s="9" t="n">
        <v>33.77</v>
      </c>
      <c r="FW66" s="9" t="n">
        <v>32.07</v>
      </c>
      <c r="FX66" s="9" t="n">
        <v>12.17</v>
      </c>
      <c r="FY66" s="9" t="n">
        <v>185.07</v>
      </c>
      <c r="FZ66" s="9" t="n">
        <v>87.03</v>
      </c>
      <c r="GA66" s="9" t="n">
        <v>47.03</v>
      </c>
      <c r="GB66" s="9" t="n">
        <v>3.63</v>
      </c>
      <c r="GC66" s="9" t="n">
        <v>1.07</v>
      </c>
      <c r="GD66" s="9" t="n">
        <v>29.36</v>
      </c>
      <c r="GE66" s="9" t="n">
        <v>28.63</v>
      </c>
      <c r="GF66" s="9" t="n">
        <v>6.3</v>
      </c>
      <c r="GG66" s="9" t="n">
        <v>22</v>
      </c>
      <c r="GH66" s="9" t="n">
        <v>0.63</v>
      </c>
      <c r="GI66" s="9" t="n">
        <v>0.33</v>
      </c>
      <c r="GJ66" s="9" t="n">
        <v>52.63</v>
      </c>
      <c r="GK66" s="9" t="n">
        <v>28.6</v>
      </c>
      <c r="GL66" s="9" t="n">
        <v>2.77</v>
      </c>
      <c r="GM66" s="9" t="n">
        <v>9.67</v>
      </c>
      <c r="GN66" s="9" t="n">
        <v>5.77</v>
      </c>
      <c r="GO66" s="9" t="n">
        <v>1.1</v>
      </c>
      <c r="GP66" s="9" t="n">
        <v>19.08</v>
      </c>
      <c r="GQ66" s="9" t="n">
        <v>3</v>
      </c>
      <c r="GR66" s="9" t="n">
        <v>0.63</v>
      </c>
      <c r="GS66" s="9" t="n">
        <v>21.11</v>
      </c>
      <c r="GT66" s="9" t="n">
        <v>0.23</v>
      </c>
      <c r="GU66" s="9" t="n">
        <v>0.2</v>
      </c>
      <c r="GV66" s="9" t="n">
        <v>85.70999999999999</v>
      </c>
      <c r="GW66" s="9" t="n">
        <v>14.8</v>
      </c>
      <c r="GX66" s="9" t="n">
        <v>4.67</v>
      </c>
      <c r="GY66" s="9" t="n">
        <v>31.53</v>
      </c>
      <c r="GZ66" s="9" t="n">
        <v>4.5</v>
      </c>
      <c r="HA66" s="9" t="n">
        <v>8.17</v>
      </c>
      <c r="HB66" s="9" t="n">
        <v>25.7</v>
      </c>
      <c r="HC66" s="9" t="n">
        <v>3.53</v>
      </c>
      <c r="HD66" s="9" t="n">
        <v>9.300000000000001</v>
      </c>
      <c r="HE66" s="9" t="n">
        <v>17.4</v>
      </c>
      <c r="HF66" s="9" t="n">
        <v>61.9</v>
      </c>
      <c r="HG66" s="9" t="n">
        <v>23.3</v>
      </c>
      <c r="HH66" s="9" t="n">
        <v>37.64</v>
      </c>
      <c r="HI66" s="9" t="n">
        <v>2.17</v>
      </c>
      <c r="HJ66" s="9" t="n">
        <v>0.97</v>
      </c>
      <c r="HK66" s="9" t="n">
        <v>10.57</v>
      </c>
      <c r="HL66" s="9" t="n">
        <v>3.97</v>
      </c>
      <c r="HM66" s="9" t="n">
        <v>37.54</v>
      </c>
      <c r="HN66" s="9" t="n">
        <v>58.33</v>
      </c>
      <c r="HO66" s="9" t="n">
        <v>36.83</v>
      </c>
      <c r="HP66" s="9" t="n">
        <v>63.14</v>
      </c>
      <c r="HQ66" s="9" t="n">
        <v>40.93</v>
      </c>
      <c r="HR66" s="9" t="n">
        <v>17.07</v>
      </c>
      <c r="HS66" s="9" t="n">
        <v>41.69</v>
      </c>
      <c r="HT66" s="9" t="n">
        <v>2.23</v>
      </c>
      <c r="HU66" s="9" t="n">
        <v>1.3</v>
      </c>
      <c r="HV66" s="9" t="n">
        <v>58.21</v>
      </c>
      <c r="HW66" s="9" t="n">
        <v>32.83</v>
      </c>
      <c r="HX66" s="9" t="n">
        <v>11.4</v>
      </c>
      <c r="HY66" s="9" t="n">
        <v>12.73</v>
      </c>
      <c r="HZ66" s="9" t="n">
        <v>1.63</v>
      </c>
      <c r="IA66" s="9" t="n">
        <v>0</v>
      </c>
      <c r="IB66" s="9" t="n">
        <v>144.9</v>
      </c>
      <c r="IC66" s="9" t="n">
        <v>104.47</v>
      </c>
      <c r="ID66" s="9" t="n">
        <v>72.09999999999999</v>
      </c>
      <c r="IE66" s="9" t="n">
        <v>58.4</v>
      </c>
      <c r="IF66" s="9" t="n">
        <v>54.63</v>
      </c>
      <c r="IG66" s="9" t="n">
        <v>93.55</v>
      </c>
      <c r="IH66" s="9" t="n">
        <v>142.73</v>
      </c>
      <c r="II66" s="9" t="n">
        <v>125.9</v>
      </c>
      <c r="IJ66" s="9" t="n">
        <v>88.20999999999999</v>
      </c>
      <c r="IK66" s="9" t="n">
        <v>47.97</v>
      </c>
      <c r="IL66" s="9" t="n">
        <v>26.83</v>
      </c>
      <c r="IM66" s="9" t="n">
        <v>55.94</v>
      </c>
      <c r="IN66" s="9" t="n">
        <v>55.57</v>
      </c>
      <c r="IO66" s="9" t="n">
        <v>37.5</v>
      </c>
      <c r="IP66" s="9" t="n">
        <v>67.48999999999999</v>
      </c>
      <c r="IQ66" s="9" t="n">
        <v>74.03</v>
      </c>
      <c r="IR66" s="9" t="n">
        <v>53.7</v>
      </c>
      <c r="IS66" s="9" t="n">
        <v>72.53</v>
      </c>
      <c r="IT66" s="33">
        <f>PERCENTRANK(IS$2:INDEX($IS:$IS,LOOKUP(2,1/(ISNUMBER($A$2:$A$1048576)),ROW($A$2:$A$1048576))),IS66)</f>
        <v/>
      </c>
      <c r="IU66" s="39">
        <f>1-(IS66-IS$106)/IS$107</f>
        <v/>
      </c>
      <c r="IV66" s="9" t="n">
        <v>1.03</v>
      </c>
      <c r="IW66" s="9" t="n">
        <v>0.47</v>
      </c>
      <c r="IX66" s="9" t="n">
        <v>45.16</v>
      </c>
      <c r="IY66" s="9" t="n">
        <v>21.53</v>
      </c>
      <c r="IZ66" s="9" t="n">
        <v>18.77</v>
      </c>
      <c r="JA66" s="9" t="n">
        <v>87.15000000000001</v>
      </c>
      <c r="JB66" s="9" t="n">
        <v>7.53</v>
      </c>
      <c r="JC66" s="9" t="n">
        <v>15.98</v>
      </c>
      <c r="JD66" s="9" t="n">
        <v>3.83</v>
      </c>
      <c r="JE66" s="9" t="n">
        <v>12.8</v>
      </c>
      <c r="JF66" s="9" t="n">
        <v>16.84</v>
      </c>
      <c r="JG66" s="9" t="n">
        <v>20.22</v>
      </c>
      <c r="JH66" s="9" t="n">
        <v>10.2</v>
      </c>
    </row>
    <row r="67">
      <c r="A67" s="12" t="n">
        <v>2024</v>
      </c>
      <c r="B67" s="31" t="inlineStr">
        <is>
          <t>FC Tulsa</t>
        </is>
      </c>
      <c r="C67" s="12" t="n">
        <v>38</v>
      </c>
      <c r="D67" s="5">
        <f>(C67-AVERAGE($C$2:INDEX($C:$C,LOOKUP(2,1/(ISNUMBER($A$2:$A$1048576)),ROW($A$2:$A$1048576)))))/_xlfn.STDEV.P($C$2:INDEX($C:$C,LOOKUP(2,1/(ISNUMBER($A$2:$A$1048576)),ROW($A$2:$A$1048576))))</f>
        <v/>
      </c>
      <c r="E67" s="12" t="n">
        <v>10</v>
      </c>
      <c r="F67" s="6">
        <f>-E67</f>
        <v/>
      </c>
      <c r="G67" s="7">
        <f>(F67-AVERAGE($F$2:INDEX($F:$F,LOOKUP(2,1/(ISNUMBER($A$2:$A$1048576)),ROW($A$2:$A$1048576)))))/_xlfn.STDEV.P($F$2:INDEX($F:$F,LOOKUP(2,1/(ISNUMBER($A$2:$A$1048576)),ROW($A$2:$A$1048576))))</f>
        <v/>
      </c>
      <c r="H67" s="32">
        <f>sum(0.5*D67)+(0.5*G67)</f>
        <v/>
      </c>
      <c r="I67" s="12" t="inlineStr">
        <is>
          <t>West</t>
        </is>
      </c>
      <c r="J67" s="10">
        <f>sum(L67*L$105)+(N67*N$105)+(P67*P$105)+(T67*R$105)</f>
        <v/>
      </c>
      <c r="K67" s="33">
        <f>PERCENTRANK(J$2:INDEX($J:$J,LOOKUP(2,1/(ISNUMBER($A$2:$A$1048576)),ROW($A$2:$A$1048576))),J67)</f>
        <v/>
      </c>
      <c r="L67" s="10">
        <f>sum(AA67*0.66)+(AD67*0.55)+(AG67*0.59)+(CG67*0.51)+(CL67*0.6)+(EY67*0.31)</f>
        <v/>
      </c>
      <c r="M67" s="33">
        <f>PERCENTRANK(L$2:INDEX($L:$L,LOOKUP(2,1/(ISNUMBER($A$2:$A$1048576)),ROW($A$2:$A$1048576))),L67)</f>
        <v/>
      </c>
      <c r="N67" s="10">
        <f>sum(CT67*0.57)+(CW67*0.71)+(DJ67*0.08)+(FC67*0.33)+(FG67*0.69)+(FM67*0.26)+(IU67*0.54)+(AU67*0.4)</f>
        <v/>
      </c>
      <c r="O67" s="33">
        <f>PERCENTRANK(N$2:INDEX($N:$N,LOOKUP(2,1/(ISNUMBER($A$2:$A$1048576)),ROW($A$2:$A$1048576))),N67)</f>
        <v/>
      </c>
      <c r="P67" s="10">
        <f>sum(BG67*0.51)+(CD67*0.51)+(DR67*0.11)+(EF67*0.42)+(EK67*0.44)+(W67*0.6)</f>
        <v/>
      </c>
      <c r="Q67" s="33">
        <f>PERCENTRANK(P$2:INDEX($P:$P,LOOKUP(2,1/(ISNUMBER($A$2:$A$1048576)),ROW($A$2:$A$1048576))),P67)</f>
        <v/>
      </c>
      <c r="R67" s="10">
        <f>sum(Y67-FE67)</f>
        <v/>
      </c>
      <c r="S67" s="33">
        <f>PERCENTRANK(R$2:INDEX($R:$R,LOOKUP(2,1/(ISNUMBER($A$2:$A$1048576)),ROW($A$2:$A$1048576))),R67)</f>
        <v/>
      </c>
      <c r="T67" s="34">
        <f>sum(R67-R$106)/R$107</f>
        <v/>
      </c>
      <c r="U67" s="35">
        <f>sum(Y67/AI67)*100</f>
        <v/>
      </c>
      <c r="V67" s="33">
        <f>PERCENTRANK(U$2:INDEX($U:$U,LOOKUP(2,1/(ISNUMBER($A$2:$A$1048576)),ROW($A$2:$A$1048576))),U67)</f>
        <v/>
      </c>
      <c r="W67" s="36">
        <f>sum(U67-U$106)/U$107</f>
        <v/>
      </c>
      <c r="X67" s="9" t="n">
        <v>0.97</v>
      </c>
      <c r="Y67" s="9" t="n">
        <v>1.09</v>
      </c>
      <c r="Z67" s="33">
        <f>PERCENTRANK(Y$2:INDEX($Y:$Y,LOOKUP(2,1/(ISNUMBER($A$2:$A$1048576)),ROW($A$2:$A$1048576))),Y67)</f>
        <v/>
      </c>
      <c r="AA67" s="37">
        <f>sum(Y67-Y$106)/Y$107</f>
        <v/>
      </c>
      <c r="AB67" s="9" t="n">
        <v>9.970000000000001</v>
      </c>
      <c r="AC67" s="33">
        <f>PERCENTRANK(AB$2:INDEX($AB:$AB,LOOKUP(2,1/(ISNUMBER($A$2:$A$1048576)),ROW($A$2:$A$1048576))),AB67)</f>
        <v/>
      </c>
      <c r="AD67" s="38">
        <f>sum(AB67-AB$106)/AB$107</f>
        <v/>
      </c>
      <c r="AE67" s="9" t="n">
        <v>3.41</v>
      </c>
      <c r="AF67" s="33">
        <f>PERCENTRANK(AE$2:INDEX($AE:$AE,LOOKUP(2,1/(ISNUMBER($A$2:$A$1048576)),ROW($A$2:$A$1048576))),AE67)</f>
        <v/>
      </c>
      <c r="AG67" s="38">
        <f>sum(AE67-AE$106)/AE$107</f>
        <v/>
      </c>
      <c r="AH67" s="9" t="n">
        <v>34.22</v>
      </c>
      <c r="AI67" s="9" t="n">
        <v>335.24</v>
      </c>
      <c r="AJ67" s="9" t="n">
        <v>266.56</v>
      </c>
      <c r="AK67" s="9" t="n">
        <v>79.51000000000001</v>
      </c>
      <c r="AL67" s="9" t="n">
        <v>45.55</v>
      </c>
      <c r="AM67" s="9" t="n">
        <v>109.24</v>
      </c>
      <c r="AN67" s="9" t="n">
        <v>20.21</v>
      </c>
      <c r="AO67" s="9" t="n">
        <v>40.38</v>
      </c>
      <c r="AP67" s="9" t="n">
        <v>48.65</v>
      </c>
      <c r="AQ67" s="9" t="n">
        <v>77.56</v>
      </c>
      <c r="AR67" s="9" t="n">
        <v>34.88</v>
      </c>
      <c r="AS67" s="9" t="n">
        <v>32.32</v>
      </c>
      <c r="AT67" s="33">
        <f>PERCENTRANK(AS$2:INDEX($AS:$AS,LOOKUP(2,1/(ISNUMBER($A$2:$A$1048576)),ROW($A$2:$A$1048576))),AS67)</f>
        <v/>
      </c>
      <c r="AU67" s="39">
        <f>SUM(AS67-AS$106)/AS$107</f>
        <v/>
      </c>
      <c r="AV67" s="9" t="n">
        <v>10.35</v>
      </c>
      <c r="AW67" s="33">
        <f>PERCENTRANK(AV$2:INDEX($AV:$AV,LOOKUP(2,1/(ISNUMBER($A$2:$A$1048576)),ROW($A$2:$A$1048576))),AV67)</f>
        <v/>
      </c>
      <c r="AX67" s="9" t="n">
        <v>211.38</v>
      </c>
      <c r="AY67" s="9" t="n">
        <v>99.76000000000001</v>
      </c>
      <c r="AZ67" s="9" t="n">
        <v>47.2</v>
      </c>
      <c r="BA67" s="9" t="n">
        <v>4.18</v>
      </c>
      <c r="BB67" s="9" t="n">
        <v>1.29</v>
      </c>
      <c r="BC67" s="9" t="n">
        <v>30.99</v>
      </c>
      <c r="BD67" s="9" t="n">
        <v>24.68</v>
      </c>
      <c r="BE67" s="9" t="n">
        <v>6.09</v>
      </c>
      <c r="BF67" s="33">
        <f>PERCENTRANK(BE$2:INDEX($BE:$BE,LOOKUP(2,1/(ISNUMBER($A$2:$A$1048576)),ROW($A$2:$A$1048576))),BE67)</f>
        <v/>
      </c>
      <c r="BG67" s="40">
        <f>sum(BE67-BE$106)/BE$107</f>
        <v/>
      </c>
      <c r="BH67" s="9" t="n">
        <v>24.67</v>
      </c>
      <c r="BI67" s="9" t="n">
        <v>0.53</v>
      </c>
      <c r="BJ67" s="9" t="n">
        <v>0.32</v>
      </c>
      <c r="BK67" s="9" t="n">
        <v>61.11</v>
      </c>
      <c r="BL67" s="9" t="n">
        <v>27.26</v>
      </c>
      <c r="BM67" s="9" t="n">
        <v>3.12</v>
      </c>
      <c r="BN67" s="9" t="n">
        <v>11.43</v>
      </c>
      <c r="BO67" s="9" t="n">
        <v>4.71</v>
      </c>
      <c r="BP67" s="9" t="n">
        <v>1.21</v>
      </c>
      <c r="BQ67" s="9" t="n">
        <v>25.63</v>
      </c>
      <c r="BR67" s="9" t="n">
        <v>2.76</v>
      </c>
      <c r="BS67" s="9" t="n">
        <v>0.47</v>
      </c>
      <c r="BT67" s="9" t="n">
        <v>17.02</v>
      </c>
      <c r="BU67" s="9" t="n">
        <v>0.12</v>
      </c>
      <c r="BV67" s="9" t="n">
        <v>0.06</v>
      </c>
      <c r="BW67" s="9" t="n">
        <v>50</v>
      </c>
      <c r="BX67" s="9" t="n">
        <v>13.35</v>
      </c>
      <c r="BY67" s="9" t="n">
        <v>4.44</v>
      </c>
      <c r="BZ67" s="9" t="n">
        <v>33.26</v>
      </c>
      <c r="CA67" s="9" t="n">
        <v>4.18</v>
      </c>
      <c r="CB67" s="9" t="n">
        <v>6.06</v>
      </c>
      <c r="CC67" s="33">
        <f>PERCENTRANK(CD$2:INDEX($CD:$CD,LOOKUP(2,1/(ISNUMBER($A$2:$A$1048576)),ROW($A$2:$A$1048576))),CD67)</f>
        <v/>
      </c>
      <c r="CD67" s="40">
        <f>sum(CB67-CB$106)/CB$107</f>
        <v/>
      </c>
      <c r="CE67" s="9" t="n">
        <v>21.68</v>
      </c>
      <c r="CF67" s="33">
        <f>PERCENTRANK(CE$2:INDEX($CE:$CE,LOOKUP(2,1/(ISNUMBER($A$2:$A$1048576)),ROW($A$2:$A$1048576))),CE67)</f>
        <v/>
      </c>
      <c r="CG67" s="38">
        <f>sum(CE67-CE$106)/CE$107</f>
        <v/>
      </c>
      <c r="CH67" s="9" t="n">
        <v>2.18</v>
      </c>
      <c r="CI67" s="9" t="n">
        <v>8.94</v>
      </c>
      <c r="CJ67" s="9" t="n">
        <v>14.44</v>
      </c>
      <c r="CK67" s="33">
        <f>PERCENTRANK(CJ$2:INDEX($CJ:$CJ,LOOKUP(2,1/(ISNUMBER($A$2:$A$1048576)),ROW($A$2:$A$1048576))),CJ67)</f>
        <v/>
      </c>
      <c r="CL67" s="38">
        <f>sum(CJ67-CJ$106)/CJ$107</f>
        <v/>
      </c>
      <c r="CM67" s="9" t="n">
        <v>65.44</v>
      </c>
      <c r="CN67" s="9" t="n">
        <v>24.15</v>
      </c>
      <c r="CO67" s="9" t="n">
        <v>36.9</v>
      </c>
      <c r="CP67" s="9" t="n">
        <v>1.85</v>
      </c>
      <c r="CQ67" s="9" t="n">
        <v>1.41</v>
      </c>
      <c r="CR67" s="9" t="n">
        <v>14.5</v>
      </c>
      <c r="CS67" s="33">
        <f>PERCENTRANK(CR$2:INDEX($CR:$CR,LOOKUP(2,1/(ISNUMBER($A$2:$A$1048576)),ROW($A$2:$A$1048576))),CR67)</f>
        <v/>
      </c>
      <c r="CT67" s="39">
        <f>1-(CR67-CR$106)/CR$107</f>
        <v/>
      </c>
      <c r="CU67" s="9" t="n">
        <v>4.91</v>
      </c>
      <c r="CV67" s="33">
        <f>PERCENTRANK(CU$2:INDEX($CU:$CU,LOOKUP(2,1/(ISNUMBER($A$2:$A$1048576)),ROW($A$2:$A$1048576))),CU67)</f>
        <v/>
      </c>
      <c r="CW67" s="39">
        <f>1-(CU67-CU$106)/CU$107</f>
        <v/>
      </c>
      <c r="CX67" s="9" t="n">
        <v>33.87</v>
      </c>
      <c r="CY67" s="9" t="n">
        <v>73.20999999999999</v>
      </c>
      <c r="CZ67" s="9" t="n">
        <v>44.88</v>
      </c>
      <c r="DA67" s="9" t="n">
        <v>61.31</v>
      </c>
      <c r="DB67" s="9" t="n">
        <v>45.56</v>
      </c>
      <c r="DC67" s="9" t="n">
        <v>19.06</v>
      </c>
      <c r="DD67" s="9" t="n">
        <v>41.83</v>
      </c>
      <c r="DE67" s="9" t="n">
        <v>3.29</v>
      </c>
      <c r="DF67" s="9" t="n">
        <v>1.79</v>
      </c>
      <c r="DG67" s="9" t="n">
        <v>54.46</v>
      </c>
      <c r="DH67" s="9" t="n">
        <v>39.71</v>
      </c>
      <c r="DI67" s="33">
        <f>PERCENTRANK(DH$2:INDEX($DH:$DH,LOOKUP(2,1/(ISNUMBER($A$2:$A$1048576)),ROW($A$2:$A$1048576))),DH67)</f>
        <v/>
      </c>
      <c r="DJ67" s="39">
        <f>SUM(DH67-DH$106)/DH$107</f>
        <v/>
      </c>
      <c r="DK67" s="9" t="n">
        <v>15.26</v>
      </c>
      <c r="DL67" s="9" t="n">
        <v>14.85</v>
      </c>
      <c r="DM67" s="9" t="n">
        <v>2.74</v>
      </c>
      <c r="DN67" s="9" t="n">
        <v>0.09</v>
      </c>
      <c r="DO67" s="9" t="n">
        <v>125.68</v>
      </c>
      <c r="DP67" s="9" t="n">
        <v>87.15000000000001</v>
      </c>
      <c r="DQ67" s="33">
        <f>PERCENTRANK(DP$2:INDEX($DP:$DP,LOOKUP(2,1/(ISNUMBER($A$2:$A$1048576)),ROW($A$2:$A$1048576))),DP67)</f>
        <v/>
      </c>
      <c r="DR67" s="40">
        <f>sum(DP67-DP$106)/DP$107</f>
        <v/>
      </c>
      <c r="DS67" s="9" t="n">
        <v>69.34</v>
      </c>
      <c r="DT67" s="9" t="n">
        <v>49.76</v>
      </c>
      <c r="DU67" s="9" t="n">
        <v>46.24</v>
      </c>
      <c r="DV67" s="9" t="n">
        <v>92.91</v>
      </c>
      <c r="DW67" s="9" t="n">
        <v>119</v>
      </c>
      <c r="DX67" s="9" t="n">
        <v>101.85</v>
      </c>
      <c r="DY67" s="9" t="n">
        <v>85.59</v>
      </c>
      <c r="DZ67" s="9" t="n">
        <v>50.24</v>
      </c>
      <c r="EA67" s="9" t="n">
        <v>28.88</v>
      </c>
      <c r="EB67" s="9" t="n">
        <v>57.49</v>
      </c>
      <c r="EC67" s="9" t="n">
        <v>49.35</v>
      </c>
      <c r="ED67" s="9" t="n">
        <v>31.41</v>
      </c>
      <c r="EE67" s="33">
        <f>PERCENTRANK(ED$2:INDEX($ED:$ED,LOOKUP(2,1/(ISNUMBER($A$2:$A$1048576)),ROW($A$2:$A$1048576))),ED67)</f>
        <v/>
      </c>
      <c r="EF67" s="40">
        <f>sum(ED67-ED$106)/ED$107</f>
        <v/>
      </c>
      <c r="EG67" s="9" t="n">
        <v>63.65</v>
      </c>
      <c r="EH67" s="9" t="n">
        <v>67.31999999999999</v>
      </c>
      <c r="EI67" s="9" t="n">
        <v>48.41</v>
      </c>
      <c r="EJ67" s="33">
        <f>PERCENTRANK(EI$2:INDEX($EI:$EI,LOOKUP(2,1/(ISNUMBER($A$2:$A$1048576)),ROW($A$2:$A$1048576))),EI67)</f>
        <v/>
      </c>
      <c r="EK67" s="40">
        <f>sum(EI67-EI$106)/EI$107</f>
        <v/>
      </c>
      <c r="EL67" s="9" t="n">
        <v>71.91</v>
      </c>
      <c r="EM67" s="9" t="n">
        <v>1.15</v>
      </c>
      <c r="EN67" s="9" t="n">
        <v>0.32</v>
      </c>
      <c r="EO67" s="9" t="n">
        <v>28.21</v>
      </c>
      <c r="EP67" s="9" t="n">
        <v>20.38</v>
      </c>
      <c r="EQ67" s="9" t="n">
        <v>17.44</v>
      </c>
      <c r="ER67" s="9" t="n">
        <v>85.56999999999999</v>
      </c>
      <c r="ES67" s="9" t="n">
        <v>10.5</v>
      </c>
      <c r="ET67" s="9" t="n">
        <v>15.26</v>
      </c>
      <c r="EU67" s="9" t="n">
        <v>3.32</v>
      </c>
      <c r="EV67" s="9" t="n">
        <v>15.71</v>
      </c>
      <c r="EW67" s="9" t="n">
        <v>19.23</v>
      </c>
      <c r="EX67" s="33">
        <f>PERCENTRANK(EW$2:INDEX($EW:$EW,LOOKUP(2,1/(ISNUMBER($A$2:$A$1048576)),ROW($A$2:$A$1048576))),EW67)</f>
        <v/>
      </c>
      <c r="EY67" s="38">
        <f>1-(EW67-EW$106)/EW$107</f>
        <v/>
      </c>
      <c r="EZ67" s="9" t="n">
        <v>21</v>
      </c>
      <c r="FA67" s="9" t="n">
        <v>10.61</v>
      </c>
      <c r="FB67" s="33">
        <f>PERCENTRANK(FA$2:INDEX($FA:$FA,LOOKUP(2,1/(ISNUMBER($A$2:$A$1048576)),ROW($A$2:$A$1048576))),FA67)</f>
        <v/>
      </c>
      <c r="FC67" s="39">
        <f>1-(FA67-FA$106)/FA$107</f>
        <v/>
      </c>
      <c r="FD67" s="9" t="n">
        <v>1.41</v>
      </c>
      <c r="FE67" s="9" t="n">
        <v>1.82</v>
      </c>
      <c r="FF67" s="33">
        <f>PERCENTRANK(FE$2:INDEX($FE:$FE,LOOKUP(2,1/(ISNUMBER($A$2:$A$1048576)),ROW($A$2:$A$1048576))),FE67)</f>
        <v/>
      </c>
      <c r="FG67" s="39">
        <f>1-(FE67-FE$106)/FE$107</f>
        <v/>
      </c>
      <c r="FH67" s="9" t="n">
        <v>14.5</v>
      </c>
      <c r="FI67" s="9" t="n">
        <v>4.74</v>
      </c>
      <c r="FJ67" s="9" t="n">
        <v>32.66</v>
      </c>
      <c r="FK67" s="9" t="n">
        <v>413.79</v>
      </c>
      <c r="FL67" s="33">
        <f>PERCENTRANK(FK$2:INDEX($FK:$FK,LOOKUP(2,1/(ISNUMBER($A$2:$A$1048576)),ROW($A$2:$A$1048576))),FK67)</f>
        <v/>
      </c>
      <c r="FM67" s="39">
        <f>SWA66-(FK67-FK$106)/FK$107</f>
        <v/>
      </c>
      <c r="FN67" s="9" t="n">
        <v>342.12</v>
      </c>
      <c r="FO67" s="9" t="n">
        <v>82.68000000000001</v>
      </c>
      <c r="FP67" s="9" t="n">
        <v>54.45</v>
      </c>
      <c r="FQ67" s="9" t="n">
        <v>106.5</v>
      </c>
      <c r="FR67" s="9" t="n">
        <v>17.79</v>
      </c>
      <c r="FS67" s="9" t="n">
        <v>40.82</v>
      </c>
      <c r="FT67" s="9" t="n">
        <v>47.88</v>
      </c>
      <c r="FU67" s="9" t="n">
        <v>82.44</v>
      </c>
      <c r="FV67" s="9" t="n">
        <v>36.18</v>
      </c>
      <c r="FW67" s="9" t="n">
        <v>35.09</v>
      </c>
      <c r="FX67" s="9" t="n">
        <v>11.18</v>
      </c>
      <c r="FY67" s="9" t="n">
        <v>211.38</v>
      </c>
      <c r="FZ67" s="9" t="n">
        <v>103</v>
      </c>
      <c r="GA67" s="9" t="n">
        <v>48.73</v>
      </c>
      <c r="GB67" s="9" t="n">
        <v>5.74</v>
      </c>
      <c r="GC67" s="9" t="n">
        <v>1.29</v>
      </c>
      <c r="GD67" s="9" t="n">
        <v>22.56</v>
      </c>
      <c r="GE67" s="9" t="n">
        <v>28.59</v>
      </c>
      <c r="GF67" s="9" t="n">
        <v>9.15</v>
      </c>
      <c r="GG67" s="9" t="n">
        <v>32</v>
      </c>
      <c r="GH67" s="9" t="n">
        <v>1.03</v>
      </c>
      <c r="GI67" s="9" t="n">
        <v>0.53</v>
      </c>
      <c r="GJ67" s="9" t="n">
        <v>51.43</v>
      </c>
      <c r="GK67" s="9" t="n">
        <v>27.35</v>
      </c>
      <c r="GL67" s="9" t="n">
        <v>4.03</v>
      </c>
      <c r="GM67" s="9" t="n">
        <v>14.73</v>
      </c>
      <c r="GN67" s="9" t="n">
        <v>4.74</v>
      </c>
      <c r="GO67" s="9" t="n">
        <v>1.41</v>
      </c>
      <c r="GP67" s="9" t="n">
        <v>29.81</v>
      </c>
      <c r="GQ67" s="9" t="n">
        <v>2.65</v>
      </c>
      <c r="GR67" s="9" t="n">
        <v>0.5600000000000001</v>
      </c>
      <c r="GS67" s="9" t="n">
        <v>21.11</v>
      </c>
      <c r="GT67" s="9" t="n">
        <v>0.32</v>
      </c>
      <c r="GU67" s="9" t="n">
        <v>0.24</v>
      </c>
      <c r="GV67" s="9" t="n">
        <v>72.73</v>
      </c>
      <c r="GW67" s="9" t="n">
        <v>15.62</v>
      </c>
      <c r="GX67" s="9" t="n">
        <v>5.15</v>
      </c>
      <c r="GY67" s="9" t="n">
        <v>32.96</v>
      </c>
      <c r="GZ67" s="9" t="n">
        <v>5.12</v>
      </c>
      <c r="HA67" s="9" t="n">
        <v>8.91</v>
      </c>
      <c r="HB67" s="9" t="n">
        <v>26.94</v>
      </c>
      <c r="HC67" s="9" t="n">
        <v>4.18</v>
      </c>
      <c r="HD67" s="9" t="n">
        <v>9.26</v>
      </c>
      <c r="HE67" s="9" t="n">
        <v>19.71</v>
      </c>
      <c r="HF67" s="9" t="n">
        <v>73.20999999999999</v>
      </c>
      <c r="HG67" s="9" t="n">
        <v>28.32</v>
      </c>
      <c r="HH67" s="9" t="n">
        <v>38.69</v>
      </c>
      <c r="HI67" s="9" t="n">
        <v>1.97</v>
      </c>
      <c r="HJ67" s="9" t="n">
        <v>0.97</v>
      </c>
      <c r="HK67" s="9" t="n">
        <v>9.970000000000001</v>
      </c>
      <c r="HL67" s="9" t="n">
        <v>3.59</v>
      </c>
      <c r="HM67" s="9" t="n">
        <v>35.99</v>
      </c>
      <c r="HN67" s="9" t="n">
        <v>65.44</v>
      </c>
      <c r="HO67" s="9" t="n">
        <v>41.29</v>
      </c>
      <c r="HP67" s="9" t="n">
        <v>63.1</v>
      </c>
      <c r="HQ67" s="9" t="n">
        <v>45.56</v>
      </c>
      <c r="HR67" s="9" t="n">
        <v>22.76</v>
      </c>
      <c r="HS67" s="9" t="n">
        <v>49.97</v>
      </c>
      <c r="HT67" s="9" t="n">
        <v>2.32</v>
      </c>
      <c r="HU67" s="9" t="n">
        <v>0.85</v>
      </c>
      <c r="HV67" s="9" t="n">
        <v>36.71</v>
      </c>
      <c r="HW67" s="9" t="n">
        <v>35.62</v>
      </c>
      <c r="HX67" s="9" t="n">
        <v>14.29</v>
      </c>
      <c r="HY67" s="9" t="n">
        <v>12.94</v>
      </c>
      <c r="HZ67" s="9" t="n">
        <v>2</v>
      </c>
      <c r="IA67" s="9" t="n">
        <v>0.09</v>
      </c>
      <c r="IB67" s="9" t="n">
        <v>143.41</v>
      </c>
      <c r="IC67" s="9" t="n">
        <v>102.32</v>
      </c>
      <c r="ID67" s="9" t="n">
        <v>71.34999999999999</v>
      </c>
      <c r="IE67" s="9" t="n">
        <v>66.38</v>
      </c>
      <c r="IF67" s="9" t="n">
        <v>62.91</v>
      </c>
      <c r="IG67" s="9" t="n">
        <v>94.77</v>
      </c>
      <c r="IH67" s="9" t="n">
        <v>149.32</v>
      </c>
      <c r="II67" s="9" t="n">
        <v>131.91</v>
      </c>
      <c r="IJ67" s="9" t="n">
        <v>88.34</v>
      </c>
      <c r="IK67" s="9" t="n">
        <v>51.71</v>
      </c>
      <c r="IL67" s="9" t="n">
        <v>28.12</v>
      </c>
      <c r="IM67" s="9" t="n">
        <v>54.38</v>
      </c>
      <c r="IN67" s="9" t="n">
        <v>56.26</v>
      </c>
      <c r="IO67" s="9" t="n">
        <v>36.65</v>
      </c>
      <c r="IP67" s="9" t="n">
        <v>65.13</v>
      </c>
      <c r="IQ67" s="9" t="n">
        <v>74.94</v>
      </c>
      <c r="IR67" s="9" t="n">
        <v>55</v>
      </c>
      <c r="IS67" s="9" t="n">
        <v>73.39</v>
      </c>
      <c r="IT67" s="33">
        <f>PERCENTRANK(IS$2:INDEX($IS:$IS,LOOKUP(2,1/(ISNUMBER($A$2:$A$1048576)),ROW($A$2:$A$1048576))),IS67)</f>
        <v/>
      </c>
      <c r="IU67" s="39">
        <f>1-(IS67-IS$106)/IS$107</f>
        <v/>
      </c>
      <c r="IV67" s="9" t="n">
        <v>1.47</v>
      </c>
      <c r="IW67" s="9" t="n">
        <v>0.79</v>
      </c>
      <c r="IX67" s="9" t="n">
        <v>54</v>
      </c>
      <c r="IY67" s="9" t="n">
        <v>21.38</v>
      </c>
      <c r="IZ67" s="9" t="n">
        <v>18.94</v>
      </c>
      <c r="JA67" s="9" t="n">
        <v>88.58</v>
      </c>
      <c r="JB67" s="9" t="n">
        <v>7.44</v>
      </c>
      <c r="JC67" s="9" t="n">
        <v>15.79</v>
      </c>
      <c r="JD67" s="9" t="n">
        <v>3.89</v>
      </c>
      <c r="JE67" s="9" t="n">
        <v>12.91</v>
      </c>
      <c r="JF67" s="9" t="n">
        <v>18.52</v>
      </c>
      <c r="JG67" s="9" t="n">
        <v>20.83</v>
      </c>
      <c r="JH67" s="9" t="n">
        <v>9.4</v>
      </c>
    </row>
    <row r="68">
      <c r="A68" s="12" t="n">
        <v>2024</v>
      </c>
      <c r="B68" s="31" t="inlineStr">
        <is>
          <t>Las Vegas Lights</t>
        </is>
      </c>
      <c r="C68" s="12" t="n">
        <v>50</v>
      </c>
      <c r="D68" s="5">
        <f>(C68-AVERAGE($C$2:INDEX($C:$C,LOOKUP(2,1/(ISNUMBER($A$2:$A$1048576)),ROW($A$2:$A$1048576)))))/_xlfn.STDEV.P($C$2:INDEX($C:$C,LOOKUP(2,1/(ISNUMBER($A$2:$A$1048576)),ROW($A$2:$A$1048576))))</f>
        <v/>
      </c>
      <c r="E68" s="12" t="n">
        <v>4</v>
      </c>
      <c r="F68" s="6">
        <f>-E68</f>
        <v/>
      </c>
      <c r="G68" s="7">
        <f>(F68-AVERAGE($F$2:INDEX($F:$F,LOOKUP(2,1/(ISNUMBER($A$2:$A$1048576)),ROW($A$2:$A$1048576)))))/_xlfn.STDEV.P($F$2:INDEX($F:$F,LOOKUP(2,1/(ISNUMBER($A$2:$A$1048576)),ROW($A$2:$A$1048576))))</f>
        <v/>
      </c>
      <c r="H68" s="32">
        <f>sum(0.5*D68)+(0.5*G68)</f>
        <v/>
      </c>
      <c r="I68" s="12" t="inlineStr">
        <is>
          <t>West</t>
        </is>
      </c>
      <c r="J68" s="10">
        <f>sum(L68*L$105)+(N68*N$105)+(P68*P$105)+(T68*R$105)</f>
        <v/>
      </c>
      <c r="K68" s="33">
        <f>PERCENTRANK(J$2:INDEX($J:$J,LOOKUP(2,1/(ISNUMBER($A$2:$A$1048576)),ROW($A$2:$A$1048576))),J68)</f>
        <v/>
      </c>
      <c r="L68" s="10">
        <f>sum(AA68*0.66)+(AD68*0.55)+(AG68*0.59)+(CG68*0.51)+(CL68*0.6)+(EY68*0.31)</f>
        <v/>
      </c>
      <c r="M68" s="33">
        <f>PERCENTRANK(L$2:INDEX($L:$L,LOOKUP(2,1/(ISNUMBER($A$2:$A$1048576)),ROW($A$2:$A$1048576))),L68)</f>
        <v/>
      </c>
      <c r="N68" s="10">
        <f>sum(CT68*0.57)+(CW68*0.71)+(DJ68*0.08)+(FC68*0.33)+(FG68*0.69)+(FM68*0.26)+(IU68*0.54)+(AU68*0.4)</f>
        <v/>
      </c>
      <c r="O68" s="33">
        <f>PERCENTRANK(N$2:INDEX($N:$N,LOOKUP(2,1/(ISNUMBER($A$2:$A$1048576)),ROW($A$2:$A$1048576))),N68)</f>
        <v/>
      </c>
      <c r="P68" s="10">
        <f>sum(BG68*0.51)+(CD68*0.51)+(DR68*0.11)+(EF68*0.42)+(EK68*0.44)+(W68*0.6)</f>
        <v/>
      </c>
      <c r="Q68" s="33">
        <f>PERCENTRANK(P$2:INDEX($P:$P,LOOKUP(2,1/(ISNUMBER($A$2:$A$1048576)),ROW($A$2:$A$1048576))),P68)</f>
        <v/>
      </c>
      <c r="R68" s="10">
        <f>sum(Y68-FE68)</f>
        <v/>
      </c>
      <c r="S68" s="33">
        <f>PERCENTRANK(R$2:INDEX($R:$R,LOOKUP(2,1/(ISNUMBER($A$2:$A$1048576)),ROW($A$2:$A$1048576))),R68)</f>
        <v/>
      </c>
      <c r="T68" s="34">
        <f>sum(R68-R$106)/R$107</f>
        <v/>
      </c>
      <c r="U68" s="35">
        <f>sum(Y68/AI68)*100</f>
        <v/>
      </c>
      <c r="V68" s="33">
        <f>PERCENTRANK(U$2:INDEX($U:$U,LOOKUP(2,1/(ISNUMBER($A$2:$A$1048576)),ROW($A$2:$A$1048576))),U68)</f>
        <v/>
      </c>
      <c r="W68" s="36">
        <f>sum(U68-U$106)/U$107</f>
        <v/>
      </c>
      <c r="X68" s="9" t="n">
        <v>1.35</v>
      </c>
      <c r="Y68" s="9" t="n">
        <v>1.27</v>
      </c>
      <c r="Z68" s="33">
        <f>PERCENTRANK(Y$2:INDEX($Y:$Y,LOOKUP(2,1/(ISNUMBER($A$2:$A$1048576)),ROW($A$2:$A$1048576))),Y68)</f>
        <v/>
      </c>
      <c r="AA68" s="37">
        <f>sum(Y68-Y$106)/Y$107</f>
        <v/>
      </c>
      <c r="AB68" s="9" t="n">
        <v>12.24</v>
      </c>
      <c r="AC68" s="33">
        <f>PERCENTRANK(AB$2:INDEX($AB:$AB,LOOKUP(2,1/(ISNUMBER($A$2:$A$1048576)),ROW($A$2:$A$1048576))),AB68)</f>
        <v/>
      </c>
      <c r="AD68" s="38">
        <f>sum(AB68-AB$106)/AB$107</f>
        <v/>
      </c>
      <c r="AE68" s="9" t="n">
        <v>4</v>
      </c>
      <c r="AF68" s="33">
        <f>PERCENTRANK(AE$2:INDEX($AE:$AE,LOOKUP(2,1/(ISNUMBER($A$2:$A$1048576)),ROW($A$2:$A$1048576))),AE68)</f>
        <v/>
      </c>
      <c r="AG68" s="38">
        <f>sum(AE68-AE$106)/AE$107</f>
        <v/>
      </c>
      <c r="AH68" s="9" t="n">
        <v>32.67</v>
      </c>
      <c r="AI68" s="9" t="n">
        <v>497</v>
      </c>
      <c r="AJ68" s="9" t="n">
        <v>431.86</v>
      </c>
      <c r="AK68" s="9" t="n">
        <v>86.89</v>
      </c>
      <c r="AL68" s="9" t="n">
        <v>59.94</v>
      </c>
      <c r="AM68" s="9" t="n">
        <v>96.3</v>
      </c>
      <c r="AN68" s="9" t="n">
        <v>18.59</v>
      </c>
      <c r="AO68" s="9" t="n">
        <v>34.89</v>
      </c>
      <c r="AP68" s="9" t="n">
        <v>42.81</v>
      </c>
      <c r="AQ68" s="9" t="n">
        <v>73.45999999999999</v>
      </c>
      <c r="AR68" s="9" t="n">
        <v>33.51</v>
      </c>
      <c r="AS68" s="9" t="n">
        <v>29.59</v>
      </c>
      <c r="AT68" s="33">
        <f>PERCENTRANK(AS$2:INDEX($AS:$AS,LOOKUP(2,1/(ISNUMBER($A$2:$A$1048576)),ROW($A$2:$A$1048576))),AS68)</f>
        <v/>
      </c>
      <c r="AU68" s="39">
        <f>SUM(AS68-AS$106)/AS$107</f>
        <v/>
      </c>
      <c r="AV68" s="9" t="n">
        <v>10.35</v>
      </c>
      <c r="AW68" s="33">
        <f>PERCENTRANK(AV$2:INDEX($AV:$AV,LOOKUP(2,1/(ISNUMBER($A$2:$A$1048576)),ROW($A$2:$A$1048576))),AV68)</f>
        <v/>
      </c>
      <c r="AX68" s="9" t="n">
        <v>197.38</v>
      </c>
      <c r="AY68" s="9" t="n">
        <v>91.68000000000001</v>
      </c>
      <c r="AZ68" s="9" t="n">
        <v>46.45</v>
      </c>
      <c r="BA68" s="9" t="n">
        <v>6</v>
      </c>
      <c r="BB68" s="9" t="n">
        <v>1.57</v>
      </c>
      <c r="BC68" s="9" t="n">
        <v>26.13</v>
      </c>
      <c r="BD68" s="9" t="n">
        <v>29.86</v>
      </c>
      <c r="BE68" s="9" t="n">
        <v>7.51</v>
      </c>
      <c r="BF68" s="33">
        <f>PERCENTRANK(BE$2:INDEX($BE:$BE,LOOKUP(2,1/(ISNUMBER($A$2:$A$1048576)),ROW($A$2:$A$1048576))),BE68)</f>
        <v/>
      </c>
      <c r="BG68" s="40">
        <f>sum(BE68-BE$106)/BE$107</f>
        <v/>
      </c>
      <c r="BH68" s="9" t="n">
        <v>25.16</v>
      </c>
      <c r="BI68" s="9" t="n">
        <v>0.8100000000000001</v>
      </c>
      <c r="BJ68" s="9" t="n">
        <v>0.41</v>
      </c>
      <c r="BK68" s="9" t="n">
        <v>50</v>
      </c>
      <c r="BL68" s="9" t="n">
        <v>28.19</v>
      </c>
      <c r="BM68" s="9" t="n">
        <v>3.59</v>
      </c>
      <c r="BN68" s="9" t="n">
        <v>12.75</v>
      </c>
      <c r="BO68" s="9" t="n">
        <v>5.59</v>
      </c>
      <c r="BP68" s="9" t="n">
        <v>1.68</v>
      </c>
      <c r="BQ68" s="9" t="n">
        <v>29.95</v>
      </c>
      <c r="BR68" s="9" t="n">
        <v>2.08</v>
      </c>
      <c r="BS68" s="9" t="n">
        <v>0.46</v>
      </c>
      <c r="BT68" s="9" t="n">
        <v>22.08</v>
      </c>
      <c r="BU68" s="9" t="n">
        <v>0.11</v>
      </c>
      <c r="BV68" s="9" t="n">
        <v>0.11</v>
      </c>
      <c r="BW68" s="9" t="n">
        <v>100</v>
      </c>
      <c r="BX68" s="9" t="n">
        <v>15.14</v>
      </c>
      <c r="BY68" s="9" t="n">
        <v>4.84</v>
      </c>
      <c r="BZ68" s="9" t="n">
        <v>31.96</v>
      </c>
      <c r="CA68" s="9" t="n">
        <v>4.73</v>
      </c>
      <c r="CB68" s="9" t="n">
        <v>7.32</v>
      </c>
      <c r="CC68" s="33">
        <f>PERCENTRANK(CD$2:INDEX($CD:$CD,LOOKUP(2,1/(ISNUMBER($A$2:$A$1048576)),ROW($A$2:$A$1048576))),CD68)</f>
        <v/>
      </c>
      <c r="CD68" s="40">
        <f>sum(CB68-CB$106)/CB$107</f>
        <v/>
      </c>
      <c r="CE68" s="9" t="n">
        <v>24.14</v>
      </c>
      <c r="CF68" s="33">
        <f>PERCENTRANK(CE$2:INDEX($CE:$CE,LOOKUP(2,1/(ISNUMBER($A$2:$A$1048576)),ROW($A$2:$A$1048576))),CE68)</f>
        <v/>
      </c>
      <c r="CG68" s="38">
        <f>sum(CE68-CE$106)/CE$107</f>
        <v/>
      </c>
      <c r="CH68" s="9" t="n">
        <v>5.38</v>
      </c>
      <c r="CI68" s="9" t="n">
        <v>8.300000000000001</v>
      </c>
      <c r="CJ68" s="9" t="n">
        <v>18.24</v>
      </c>
      <c r="CK68" s="33">
        <f>PERCENTRANK(CJ$2:INDEX($CJ:$CJ,LOOKUP(2,1/(ISNUMBER($A$2:$A$1048576)),ROW($A$2:$A$1048576))),CJ68)</f>
        <v/>
      </c>
      <c r="CL68" s="38">
        <f>sum(CJ68-CJ$106)/CJ$107</f>
        <v/>
      </c>
      <c r="CM68" s="9" t="n">
        <v>83.89</v>
      </c>
      <c r="CN68" s="9" t="n">
        <v>31.84</v>
      </c>
      <c r="CO68" s="9" t="n">
        <v>37.95</v>
      </c>
      <c r="CP68" s="9" t="n">
        <v>1.32</v>
      </c>
      <c r="CQ68" s="9" t="n">
        <v>1.27</v>
      </c>
      <c r="CR68" s="9" t="n">
        <v>11.41</v>
      </c>
      <c r="CS68" s="33">
        <f>PERCENTRANK(CR$2:INDEX($CR:$CR,LOOKUP(2,1/(ISNUMBER($A$2:$A$1048576)),ROW($A$2:$A$1048576))),CR68)</f>
        <v/>
      </c>
      <c r="CT68" s="39">
        <f>1-(CR68-CR$106)/CR$107</f>
        <v/>
      </c>
      <c r="CU68" s="9" t="n">
        <v>4.41</v>
      </c>
      <c r="CV68" s="33">
        <f>PERCENTRANK(CU$2:INDEX($CU:$CU,LOOKUP(2,1/(ISNUMBER($A$2:$A$1048576)),ROW($A$2:$A$1048576))),CU68)</f>
        <v/>
      </c>
      <c r="CW68" s="39">
        <f>1-(CU68-CU$106)/CU$107</f>
        <v/>
      </c>
      <c r="CX68" s="9" t="n">
        <v>38.63</v>
      </c>
      <c r="CY68" s="9" t="n">
        <v>61.51</v>
      </c>
      <c r="CZ68" s="9" t="n">
        <v>37.89</v>
      </c>
      <c r="DA68" s="9" t="n">
        <v>61.6</v>
      </c>
      <c r="DB68" s="9" t="n">
        <v>27.35</v>
      </c>
      <c r="DC68" s="9" t="n">
        <v>11.76</v>
      </c>
      <c r="DD68" s="9" t="n">
        <v>42.98</v>
      </c>
      <c r="DE68" s="9" t="n">
        <v>2.24</v>
      </c>
      <c r="DF68" s="9" t="n">
        <v>1.03</v>
      </c>
      <c r="DG68" s="9" t="n">
        <v>45.78</v>
      </c>
      <c r="DH68" s="9" t="n">
        <v>34.3</v>
      </c>
      <c r="DI68" s="33">
        <f>PERCENTRANK(DH$2:INDEX($DH:$DH,LOOKUP(2,1/(ISNUMBER($A$2:$A$1048576)),ROW($A$2:$A$1048576))),DH68)</f>
        <v/>
      </c>
      <c r="DJ68" s="39">
        <f>SUM(DH68-DH$106)/DH$107</f>
        <v/>
      </c>
      <c r="DK68" s="9" t="n">
        <v>11.89</v>
      </c>
      <c r="DL68" s="9" t="n">
        <v>12.41</v>
      </c>
      <c r="DM68" s="9" t="n">
        <v>2</v>
      </c>
      <c r="DN68" s="9" t="n">
        <v>0.03</v>
      </c>
      <c r="DO68" s="9" t="n">
        <v>151.76</v>
      </c>
      <c r="DP68" s="9" t="n">
        <v>117.62</v>
      </c>
      <c r="DQ68" s="33">
        <f>PERCENTRANK(DP$2:INDEX($DP:$DP,LOOKUP(2,1/(ISNUMBER($A$2:$A$1048576)),ROW($A$2:$A$1048576))),DP68)</f>
        <v/>
      </c>
      <c r="DR68" s="40">
        <f>sum(DP68-DP$106)/DP$107</f>
        <v/>
      </c>
      <c r="DS68" s="9" t="n">
        <v>77.51000000000001</v>
      </c>
      <c r="DT68" s="9" t="n">
        <v>82.68000000000001</v>
      </c>
      <c r="DU68" s="9" t="n">
        <v>79</v>
      </c>
      <c r="DV68" s="9" t="n">
        <v>95.55</v>
      </c>
      <c r="DW68" s="9" t="n">
        <v>198.35</v>
      </c>
      <c r="DX68" s="9" t="n">
        <v>181.78</v>
      </c>
      <c r="DY68" s="9" t="n">
        <v>91.65000000000001</v>
      </c>
      <c r="DZ68" s="9" t="n">
        <v>38.16</v>
      </c>
      <c r="EA68" s="9" t="n">
        <v>20.54</v>
      </c>
      <c r="EB68" s="9" t="n">
        <v>53.82</v>
      </c>
      <c r="EC68" s="9" t="n">
        <v>56.68</v>
      </c>
      <c r="ED68" s="9" t="n">
        <v>42.32</v>
      </c>
      <c r="EE68" s="33">
        <f>PERCENTRANK(ED$2:INDEX($ED:$ED,LOOKUP(2,1/(ISNUMBER($A$2:$A$1048576)),ROW($A$2:$A$1048576))),ED68)</f>
        <v/>
      </c>
      <c r="EF68" s="40">
        <f>sum(ED68-ED$106)/ED$107</f>
        <v/>
      </c>
      <c r="EG68" s="9" t="n">
        <v>74.68000000000001</v>
      </c>
      <c r="EH68" s="9" t="n">
        <v>73.89</v>
      </c>
      <c r="EI68" s="9" t="n">
        <v>55.14</v>
      </c>
      <c r="EJ68" s="33">
        <f>PERCENTRANK(EI$2:INDEX($EI:$EI,LOOKUP(2,1/(ISNUMBER($A$2:$A$1048576)),ROW($A$2:$A$1048576))),EI68)</f>
        <v/>
      </c>
      <c r="EK68" s="40">
        <f>sum(EI68-EI$106)/EI$107</f>
        <v/>
      </c>
      <c r="EL68" s="9" t="n">
        <v>74.62</v>
      </c>
      <c r="EM68" s="9" t="n">
        <v>1.97</v>
      </c>
      <c r="EN68" s="9" t="n">
        <v>0.68</v>
      </c>
      <c r="EO68" s="9" t="n">
        <v>34.25</v>
      </c>
      <c r="EP68" s="9" t="n">
        <v>19.97</v>
      </c>
      <c r="EQ68" s="9" t="n">
        <v>18.19</v>
      </c>
      <c r="ER68" s="9" t="n">
        <v>91.06999999999999</v>
      </c>
      <c r="ES68" s="9" t="n">
        <v>8.24</v>
      </c>
      <c r="ET68" s="9" t="n">
        <v>15.83</v>
      </c>
      <c r="EU68" s="9" t="n">
        <v>4.88</v>
      </c>
      <c r="EV68" s="9" t="n">
        <v>7.89</v>
      </c>
      <c r="EW68" s="9" t="n">
        <v>19.45</v>
      </c>
      <c r="EX68" s="33">
        <f>PERCENTRANK(EW$2:INDEX($EW:$EW,LOOKUP(2,1/(ISNUMBER($A$2:$A$1048576)),ROW($A$2:$A$1048576))),EW68)</f>
        <v/>
      </c>
      <c r="EY68" s="38">
        <f>1-(EW68-EW$106)/EW$107</f>
        <v/>
      </c>
      <c r="EZ68" s="9" t="n">
        <v>19.71</v>
      </c>
      <c r="FA68" s="9" t="n">
        <v>9.76</v>
      </c>
      <c r="FB68" s="33">
        <f>PERCENTRANK(FA$2:INDEX($FA:$FA,LOOKUP(2,1/(ISNUMBER($A$2:$A$1048576)),ROW($A$2:$A$1048576))),FA68)</f>
        <v/>
      </c>
      <c r="FC68" s="39">
        <f>1-(FA68-FA$106)/FA$107</f>
        <v/>
      </c>
      <c r="FD68" s="9" t="n">
        <v>1.27</v>
      </c>
      <c r="FE68" s="9" t="n">
        <v>1.46</v>
      </c>
      <c r="FF68" s="33">
        <f>PERCENTRANK(FE$2:INDEX($FE:$FE,LOOKUP(2,1/(ISNUMBER($A$2:$A$1048576)),ROW($A$2:$A$1048576))),FE68)</f>
        <v/>
      </c>
      <c r="FG68" s="39">
        <f>1-(FE68-FE$106)/FE$107</f>
        <v/>
      </c>
      <c r="FH68" s="9" t="n">
        <v>11.41</v>
      </c>
      <c r="FI68" s="9" t="n">
        <v>4.19</v>
      </c>
      <c r="FJ68" s="9" t="n">
        <v>36.73</v>
      </c>
      <c r="FK68" s="9" t="n">
        <v>335.46</v>
      </c>
      <c r="FL68" s="33">
        <f>PERCENTRANK(FK$2:INDEX($FK:$FK,LOOKUP(2,1/(ISNUMBER($A$2:$A$1048576)),ROW($A$2:$A$1048576))),FK68)</f>
        <v/>
      </c>
      <c r="FM68" s="39">
        <f>SWA67-(FK68-FK$106)/FK$107</f>
        <v/>
      </c>
      <c r="FN68" s="9" t="n">
        <v>269.16</v>
      </c>
      <c r="FO68" s="9" t="n">
        <v>80.23999999999999</v>
      </c>
      <c r="FP68" s="9" t="n">
        <v>40.06</v>
      </c>
      <c r="FQ68" s="9" t="n">
        <v>94.54000000000001</v>
      </c>
      <c r="FR68" s="9" t="n">
        <v>17.62</v>
      </c>
      <c r="FS68" s="9" t="n">
        <v>33.14</v>
      </c>
      <c r="FT68" s="9" t="n">
        <v>43.78</v>
      </c>
      <c r="FU68" s="9" t="n">
        <v>72.73</v>
      </c>
      <c r="FV68" s="9" t="n">
        <v>33.3</v>
      </c>
      <c r="FW68" s="9" t="n">
        <v>28.16</v>
      </c>
      <c r="FX68" s="9" t="n">
        <v>11.27</v>
      </c>
      <c r="FY68" s="9" t="n">
        <v>197.38</v>
      </c>
      <c r="FZ68" s="9" t="n">
        <v>98.73</v>
      </c>
      <c r="GA68" s="9" t="n">
        <v>50.02</v>
      </c>
      <c r="GB68" s="9" t="n">
        <v>4.49</v>
      </c>
      <c r="GC68" s="9" t="n">
        <v>1.3</v>
      </c>
      <c r="GD68" s="9" t="n">
        <v>28.92</v>
      </c>
      <c r="GE68" s="9" t="n">
        <v>26.05</v>
      </c>
      <c r="GF68" s="9" t="n">
        <v>7</v>
      </c>
      <c r="GG68" s="9" t="n">
        <v>26.87</v>
      </c>
      <c r="GH68" s="9" t="n">
        <v>1.03</v>
      </c>
      <c r="GI68" s="9" t="n">
        <v>0.46</v>
      </c>
      <c r="GJ68" s="9" t="n">
        <v>44.74</v>
      </c>
      <c r="GK68" s="9" t="n">
        <v>25.32</v>
      </c>
      <c r="GL68" s="9" t="n">
        <v>3.54</v>
      </c>
      <c r="GM68" s="9" t="n">
        <v>13.98</v>
      </c>
      <c r="GN68" s="9" t="n">
        <v>4.54</v>
      </c>
      <c r="GO68" s="9" t="n">
        <v>1.43</v>
      </c>
      <c r="GP68" s="9" t="n">
        <v>31.55</v>
      </c>
      <c r="GQ68" s="9" t="n">
        <v>1.95</v>
      </c>
      <c r="GR68" s="9" t="n">
        <v>0.68</v>
      </c>
      <c r="GS68" s="9" t="n">
        <v>34.72</v>
      </c>
      <c r="GT68" s="9" t="n">
        <v>0.11</v>
      </c>
      <c r="GU68" s="9" t="n">
        <v>0.05</v>
      </c>
      <c r="GV68" s="9" t="n">
        <v>50</v>
      </c>
      <c r="GW68" s="9" t="n">
        <v>12.16</v>
      </c>
      <c r="GX68" s="9" t="n">
        <v>4.38</v>
      </c>
      <c r="GY68" s="9" t="n">
        <v>36</v>
      </c>
      <c r="GZ68" s="9" t="n">
        <v>4.32</v>
      </c>
      <c r="HA68" s="9" t="n">
        <v>6.51</v>
      </c>
      <c r="HB68" s="9" t="n">
        <v>22.62</v>
      </c>
      <c r="HC68" s="9" t="n">
        <v>3.43</v>
      </c>
      <c r="HD68" s="9" t="n">
        <v>7.57</v>
      </c>
      <c r="HE68" s="9" t="n">
        <v>16.05</v>
      </c>
      <c r="HF68" s="9" t="n">
        <v>61.49</v>
      </c>
      <c r="HG68" s="9" t="n">
        <v>23.59</v>
      </c>
      <c r="HH68" s="9" t="n">
        <v>38.37</v>
      </c>
      <c r="HI68" s="9" t="n">
        <v>1.86</v>
      </c>
      <c r="HJ68" s="9" t="n">
        <v>1.35</v>
      </c>
      <c r="HK68" s="9" t="n">
        <v>12.24</v>
      </c>
      <c r="HL68" s="9" t="n">
        <v>4.46</v>
      </c>
      <c r="HM68" s="9" t="n">
        <v>36.42</v>
      </c>
      <c r="HN68" s="9" t="n">
        <v>83.92</v>
      </c>
      <c r="HO68" s="9" t="n">
        <v>52.05</v>
      </c>
      <c r="HP68" s="9" t="n">
        <v>62.03</v>
      </c>
      <c r="HQ68" s="9" t="n">
        <v>27.35</v>
      </c>
      <c r="HR68" s="9" t="n">
        <v>13.14</v>
      </c>
      <c r="HS68" s="9" t="n">
        <v>48.02</v>
      </c>
      <c r="HT68" s="9" t="n">
        <v>4.08</v>
      </c>
      <c r="HU68" s="9" t="n">
        <v>2</v>
      </c>
      <c r="HV68" s="9" t="n">
        <v>49.01</v>
      </c>
      <c r="HW68" s="9" t="n">
        <v>38.22</v>
      </c>
      <c r="HX68" s="9" t="n">
        <v>14.43</v>
      </c>
      <c r="HY68" s="9" t="n">
        <v>14.24</v>
      </c>
      <c r="HZ68" s="9" t="n">
        <v>2.41</v>
      </c>
      <c r="IA68" s="9" t="n">
        <v>0.05</v>
      </c>
      <c r="IB68" s="9" t="n">
        <v>122.78</v>
      </c>
      <c r="IC68" s="9" t="n">
        <v>84.27</v>
      </c>
      <c r="ID68" s="9" t="n">
        <v>68.63</v>
      </c>
      <c r="IE68" s="9" t="n">
        <v>53.57</v>
      </c>
      <c r="IF68" s="9" t="n">
        <v>49.78</v>
      </c>
      <c r="IG68" s="9" t="n">
        <v>92.94</v>
      </c>
      <c r="IH68" s="9" t="n">
        <v>113.84</v>
      </c>
      <c r="II68" s="9" t="n">
        <v>98.89</v>
      </c>
      <c r="IJ68" s="9" t="n">
        <v>86.87</v>
      </c>
      <c r="IK68" s="9" t="n">
        <v>44.14</v>
      </c>
      <c r="IL68" s="9" t="n">
        <v>22.22</v>
      </c>
      <c r="IM68" s="9" t="n">
        <v>50.34</v>
      </c>
      <c r="IN68" s="9" t="n">
        <v>44.76</v>
      </c>
      <c r="IO68" s="9" t="n">
        <v>26.76</v>
      </c>
      <c r="IP68" s="9" t="n">
        <v>59.78</v>
      </c>
      <c r="IQ68" s="9" t="n">
        <v>61.22</v>
      </c>
      <c r="IR68" s="9" t="n">
        <v>42.27</v>
      </c>
      <c r="IS68" s="9" t="n">
        <v>69.05</v>
      </c>
      <c r="IT68" s="33">
        <f>PERCENTRANK(IS$2:INDEX($IS:$IS,LOOKUP(2,1/(ISNUMBER($A$2:$A$1048576)),ROW($A$2:$A$1048576))),IS68)</f>
        <v/>
      </c>
      <c r="IU68" s="39">
        <f>1-(IS68-IS$106)/IS$107</f>
        <v/>
      </c>
      <c r="IV68" s="9" t="n">
        <v>1.84</v>
      </c>
      <c r="IW68" s="9" t="n">
        <v>0.57</v>
      </c>
      <c r="IX68" s="9" t="n">
        <v>30.88</v>
      </c>
      <c r="IY68" s="9" t="n">
        <v>19.22</v>
      </c>
      <c r="IZ68" s="9" t="n">
        <v>17.51</v>
      </c>
      <c r="JA68" s="9" t="n">
        <v>91.14</v>
      </c>
      <c r="JB68" s="9" t="n">
        <v>8.84</v>
      </c>
      <c r="JC68" s="9" t="n">
        <v>16.01</v>
      </c>
      <c r="JD68" s="9" t="n">
        <v>3.36</v>
      </c>
      <c r="JE68" s="9" t="n">
        <v>13.61</v>
      </c>
      <c r="JF68" s="9" t="n">
        <v>18.52</v>
      </c>
      <c r="JG68" s="9" t="n">
        <v>20.77</v>
      </c>
      <c r="JH68" s="9" t="n">
        <v>12.17</v>
      </c>
    </row>
    <row r="69">
      <c r="A69" s="12" t="n">
        <v>2023</v>
      </c>
      <c r="B69" s="31" t="inlineStr">
        <is>
          <t>Phoenix Rising</t>
        </is>
      </c>
      <c r="C69" s="12" t="n">
        <v>48</v>
      </c>
      <c r="D69" s="5">
        <f>(C69-AVERAGE($C$2:INDEX($C:$C,LOOKUP(2,1/(ISNUMBER($A$2:$A$1048576)),ROW($A$2:$A$1048576)))))/_xlfn.STDEV.P($C$2:INDEX($C:$C,LOOKUP(2,1/(ISNUMBER($A$2:$A$1048576)),ROW($A$2:$A$1048576))))</f>
        <v/>
      </c>
      <c r="E69" s="12" t="n">
        <v>6</v>
      </c>
      <c r="F69" s="6">
        <f>-E69</f>
        <v/>
      </c>
      <c r="G69" s="7">
        <f>(F69-AVERAGE($F$2:INDEX($F:$F,LOOKUP(2,1/(ISNUMBER($A$2:$A$1048576)),ROW($A$2:$A$1048576)))))/_xlfn.STDEV.P($F$2:INDEX($F:$F,LOOKUP(2,1/(ISNUMBER($A$2:$A$1048576)),ROW($A$2:$A$1048576))))</f>
        <v/>
      </c>
      <c r="H69" s="32">
        <f>sum(0.5*D69)+(0.5*G69)</f>
        <v/>
      </c>
      <c r="I69" s="12" t="inlineStr">
        <is>
          <t>West</t>
        </is>
      </c>
      <c r="J69" s="10">
        <f>sum(L69*L$105)+(N69*N$105)+(P69*P$105)+(T69*R$105)</f>
        <v/>
      </c>
      <c r="K69" s="33">
        <f>PERCENTRANK(J$2:INDEX($J:$J,LOOKUP(2,1/(ISNUMBER($A$2:$A$1048576)),ROW($A$2:$A$1048576))),J69)</f>
        <v/>
      </c>
      <c r="L69" s="10">
        <f>sum(AA69*0.66)+(AD69*0.55)+(AG69*0.59)+(CG69*0.51)+(CL69*0.6)+(EY69*0.31)</f>
        <v/>
      </c>
      <c r="M69" s="33">
        <f>PERCENTRANK(L$2:INDEX($L:$L,LOOKUP(2,1/(ISNUMBER($A$2:$A$1048576)),ROW($A$2:$A$1048576))),L69)</f>
        <v/>
      </c>
      <c r="N69" s="10">
        <f>sum(CT69*0.57)+(CW69*0.71)+(DJ69*0.08)+(FC69*0.33)+(FG69*0.69)+(FM69*0.26)+(IU69*0.54)+(AU69*0.4)</f>
        <v/>
      </c>
      <c r="O69" s="33">
        <f>PERCENTRANK(N$2:INDEX($N:$N,LOOKUP(2,1/(ISNUMBER($A$2:$A$1048576)),ROW($A$2:$A$1048576))),N69)</f>
        <v/>
      </c>
      <c r="P69" s="10">
        <f>sum(BG69*0.51)+(CD69*0.51)+(DR69*0.11)+(EF69*0.42)+(EK69*0.44)+(W69*0.6)</f>
        <v/>
      </c>
      <c r="Q69" s="33">
        <f>PERCENTRANK(P$2:INDEX($P:$P,LOOKUP(2,1/(ISNUMBER($A$2:$A$1048576)),ROW($A$2:$A$1048576))),P69)</f>
        <v/>
      </c>
      <c r="R69" s="10">
        <f>sum(Y69-FE69)</f>
        <v/>
      </c>
      <c r="S69" s="33">
        <f>PERCENTRANK(R$2:INDEX($R:$R,LOOKUP(2,1/(ISNUMBER($A$2:$A$1048576)),ROW($A$2:$A$1048576))),R69)</f>
        <v/>
      </c>
      <c r="T69" s="34">
        <f>sum(R69-R$106)/R$107</f>
        <v/>
      </c>
      <c r="U69" s="35">
        <f>sum(Y69/AI69)*100</f>
        <v/>
      </c>
      <c r="V69" s="33">
        <f>PERCENTRANK(U$2:INDEX($U:$U,LOOKUP(2,1/(ISNUMBER($A$2:$A$1048576)),ROW($A$2:$A$1048576))),U69)</f>
        <v/>
      </c>
      <c r="W69" s="36">
        <f>sum(U69-U$106)/U$107</f>
        <v/>
      </c>
      <c r="X69" s="9" t="n">
        <v>1.66</v>
      </c>
      <c r="Y69" s="9" t="n">
        <v>1.37</v>
      </c>
      <c r="Z69" s="33">
        <f>PERCENTRANK(Y$2:INDEX($Y:$Y,LOOKUP(2,1/(ISNUMBER($A$2:$A$1048576)),ROW($A$2:$A$1048576))),Y69)</f>
        <v/>
      </c>
      <c r="AA69" s="37">
        <f>sum(Y69-Y$106)/Y$107</f>
        <v/>
      </c>
      <c r="AB69" s="9" t="n">
        <v>10.76</v>
      </c>
      <c r="AC69" s="33">
        <f>PERCENTRANK(AB$2:INDEX($AB:$AB,LOOKUP(2,1/(ISNUMBER($A$2:$A$1048576)),ROW($A$2:$A$1048576))),AB69)</f>
        <v/>
      </c>
      <c r="AD69" s="38">
        <f>sum(AB69-AB$106)/AB$107</f>
        <v/>
      </c>
      <c r="AE69" s="9" t="n">
        <v>3.58</v>
      </c>
      <c r="AF69" s="33">
        <f>PERCENTRANK(AE$2:INDEX($AE:$AE,LOOKUP(2,1/(ISNUMBER($A$2:$A$1048576)),ROW($A$2:$A$1048576))),AE69)</f>
        <v/>
      </c>
      <c r="AG69" s="38">
        <f>sum(AE69-AE$106)/AE$107</f>
        <v/>
      </c>
      <c r="AH69" s="9" t="n">
        <v>33.25</v>
      </c>
      <c r="AI69" s="9" t="n">
        <v>467.18</v>
      </c>
      <c r="AJ69" s="9" t="n">
        <v>401.11</v>
      </c>
      <c r="AK69" s="9" t="n">
        <v>85.86</v>
      </c>
      <c r="AL69" s="9" t="n">
        <v>55.5</v>
      </c>
      <c r="AM69" s="9" t="n">
        <v>91.26000000000001</v>
      </c>
      <c r="AN69" s="9" t="n">
        <v>17.32</v>
      </c>
      <c r="AO69" s="9" t="n">
        <v>31.61</v>
      </c>
      <c r="AP69" s="9" t="n">
        <v>42.34</v>
      </c>
      <c r="AQ69" s="9" t="n">
        <v>73.89</v>
      </c>
      <c r="AR69" s="9" t="n">
        <v>35.58</v>
      </c>
      <c r="AS69" s="9" t="n">
        <v>27.97</v>
      </c>
      <c r="AT69" s="33">
        <f>PERCENTRANK(AS$2:INDEX($AS:$AS,LOOKUP(2,1/(ISNUMBER($A$2:$A$1048576)),ROW($A$2:$A$1048576))),AS69)</f>
        <v/>
      </c>
      <c r="AU69" s="39">
        <f>SUM(AS69-AS$106)/AS$107</f>
        <v/>
      </c>
      <c r="AV69" s="9" t="n">
        <v>10.34</v>
      </c>
      <c r="AW69" s="33">
        <f>PERCENTRANK(AV$2:INDEX($AV:$AV,LOOKUP(2,1/(ISNUMBER($A$2:$A$1048576)),ROW($A$2:$A$1048576))),AV69)</f>
        <v/>
      </c>
      <c r="AX69" s="9" t="n">
        <v>187.89</v>
      </c>
      <c r="AY69" s="9" t="n">
        <v>91.55</v>
      </c>
      <c r="AZ69" s="9" t="n">
        <v>48.73</v>
      </c>
      <c r="BA69" s="9" t="n">
        <v>4.24</v>
      </c>
      <c r="BB69" s="9" t="n">
        <v>0.82</v>
      </c>
      <c r="BC69" s="9" t="n">
        <v>19.25</v>
      </c>
      <c r="BD69" s="9" t="n">
        <v>26.95</v>
      </c>
      <c r="BE69" s="9" t="n">
        <v>6.29</v>
      </c>
      <c r="BF69" s="33">
        <f>PERCENTRANK(BE$2:INDEX($BE:$BE,LOOKUP(2,1/(ISNUMBER($A$2:$A$1048576)),ROW($A$2:$A$1048576))),BE69)</f>
        <v/>
      </c>
      <c r="BG69" s="40">
        <f>sum(BE69-BE$106)/BE$107</f>
        <v/>
      </c>
      <c r="BH69" s="9" t="n">
        <v>23.34</v>
      </c>
      <c r="BI69" s="9" t="n">
        <v>1.76</v>
      </c>
      <c r="BJ69" s="9" t="n">
        <v>0.82</v>
      </c>
      <c r="BK69" s="9" t="n">
        <v>46.27</v>
      </c>
      <c r="BL69" s="9" t="n">
        <v>25.03</v>
      </c>
      <c r="BM69" s="9" t="n">
        <v>3.18</v>
      </c>
      <c r="BN69" s="9" t="n">
        <v>12.72</v>
      </c>
      <c r="BO69" s="9" t="n">
        <v>4.45</v>
      </c>
      <c r="BP69" s="9" t="n">
        <v>1.29</v>
      </c>
      <c r="BQ69" s="9" t="n">
        <v>28.99</v>
      </c>
      <c r="BR69" s="9" t="n">
        <v>2.29</v>
      </c>
      <c r="BS69" s="9" t="n">
        <v>0.42</v>
      </c>
      <c r="BT69" s="9" t="n">
        <v>18.39</v>
      </c>
      <c r="BU69" s="9" t="n">
        <v>0.13</v>
      </c>
      <c r="BV69" s="9" t="n">
        <v>0.08</v>
      </c>
      <c r="BW69" s="9" t="n">
        <v>60</v>
      </c>
      <c r="BX69" s="9" t="n">
        <v>13.92</v>
      </c>
      <c r="BY69" s="9" t="n">
        <v>4.39</v>
      </c>
      <c r="BZ69" s="9" t="n">
        <v>31.57</v>
      </c>
      <c r="CA69" s="9" t="n">
        <v>4.39</v>
      </c>
      <c r="CB69" s="9" t="n">
        <v>5.95</v>
      </c>
      <c r="CC69" s="33">
        <f>PERCENTRANK(CD$2:INDEX($CD:$CD,LOOKUP(2,1/(ISNUMBER($A$2:$A$1048576)),ROW($A$2:$A$1048576))),CD69)</f>
        <v/>
      </c>
      <c r="CD69" s="40">
        <f>sum(CB69-CB$106)/CB$107</f>
        <v/>
      </c>
      <c r="CE69" s="9" t="n">
        <v>24.16</v>
      </c>
      <c r="CF69" s="33">
        <f>PERCENTRANK(CE$2:INDEX($CE:$CE,LOOKUP(2,1/(ISNUMBER($A$2:$A$1048576)),ROW($A$2:$A$1048576))),CE69)</f>
        <v/>
      </c>
      <c r="CG69" s="38">
        <f>sum(CE69-CE$106)/CE$107</f>
        <v/>
      </c>
      <c r="CH69" s="9" t="n">
        <v>4.32</v>
      </c>
      <c r="CI69" s="9" t="n">
        <v>8.970000000000001</v>
      </c>
      <c r="CJ69" s="9" t="n">
        <v>15.89</v>
      </c>
      <c r="CK69" s="33">
        <f>PERCENTRANK(CJ$2:INDEX($CJ:$CJ,LOOKUP(2,1/(ISNUMBER($A$2:$A$1048576)),ROW($A$2:$A$1048576))),CJ69)</f>
        <v/>
      </c>
      <c r="CL69" s="38">
        <f>sum(CJ69-CJ$106)/CJ$107</f>
        <v/>
      </c>
      <c r="CM69" s="9" t="n">
        <v>69.08</v>
      </c>
      <c r="CN69" s="9" t="n">
        <v>29.21</v>
      </c>
      <c r="CO69" s="9" t="n">
        <v>42.29</v>
      </c>
      <c r="CP69" s="9" t="n">
        <v>2.16</v>
      </c>
      <c r="CQ69" s="9" t="n">
        <v>1.21</v>
      </c>
      <c r="CR69" s="9" t="n">
        <v>11.66</v>
      </c>
      <c r="CS69" s="33">
        <f>PERCENTRANK(CR$2:INDEX($CR:$CR,LOOKUP(2,1/(ISNUMBER($A$2:$A$1048576)),ROW($A$2:$A$1048576))),CR69)</f>
        <v/>
      </c>
      <c r="CT69" s="39">
        <f>1-(CR69-CR$106)/CR$107</f>
        <v/>
      </c>
      <c r="CU69" s="9" t="n">
        <v>4.42</v>
      </c>
      <c r="CV69" s="33">
        <f>PERCENTRANK(CU$2:INDEX($CU:$CU,LOOKUP(2,1/(ISNUMBER($A$2:$A$1048576)),ROW($A$2:$A$1048576))),CU69)</f>
        <v/>
      </c>
      <c r="CW69" s="39">
        <f>1-(CU69-CU$106)/CU$107</f>
        <v/>
      </c>
      <c r="CX69" s="9" t="n">
        <v>37.92</v>
      </c>
      <c r="CY69" s="9" t="n">
        <v>62.03</v>
      </c>
      <c r="CZ69" s="9" t="n">
        <v>36.84</v>
      </c>
      <c r="DA69" s="9" t="n">
        <v>59.4</v>
      </c>
      <c r="DB69" s="9" t="n">
        <v>27.89</v>
      </c>
      <c r="DC69" s="9" t="n">
        <v>13.08</v>
      </c>
      <c r="DD69" s="9" t="n">
        <v>46.89</v>
      </c>
      <c r="DE69" s="9" t="n">
        <v>2.95</v>
      </c>
      <c r="DF69" s="9" t="n">
        <v>1.32</v>
      </c>
      <c r="DG69" s="9" t="n">
        <v>44.64</v>
      </c>
      <c r="DH69" s="9" t="n">
        <v>35.97</v>
      </c>
      <c r="DI69" s="33">
        <f>PERCENTRANK(DH$2:INDEX($DH:$DH,LOOKUP(2,1/(ISNUMBER($A$2:$A$1048576)),ROW($A$2:$A$1048576))),DH69)</f>
        <v/>
      </c>
      <c r="DJ69" s="39">
        <f>SUM(DH69-DH$106)/DH$107</f>
        <v/>
      </c>
      <c r="DK69" s="9" t="n">
        <v>14.16</v>
      </c>
      <c r="DL69" s="9" t="n">
        <v>12.32</v>
      </c>
      <c r="DM69" s="9" t="n">
        <v>2.68</v>
      </c>
      <c r="DN69" s="9" t="n">
        <v>0.08</v>
      </c>
      <c r="DO69" s="9" t="n">
        <v>138.82</v>
      </c>
      <c r="DP69" s="9" t="n">
        <v>105.11</v>
      </c>
      <c r="DQ69" s="33">
        <f>PERCENTRANK(DP$2:INDEX($DP:$DP,LOOKUP(2,1/(ISNUMBER($A$2:$A$1048576)),ROW($A$2:$A$1048576))),DP69)</f>
        <v/>
      </c>
      <c r="DR69" s="40">
        <f>sum(DP69-DP$106)/DP$107</f>
        <v/>
      </c>
      <c r="DS69" s="9" t="n">
        <v>75.72</v>
      </c>
      <c r="DT69" s="9" t="n">
        <v>69.39</v>
      </c>
      <c r="DU69" s="9" t="n">
        <v>65.63</v>
      </c>
      <c r="DV69" s="9" t="n">
        <v>94.58</v>
      </c>
      <c r="DW69" s="9" t="n">
        <v>195.11</v>
      </c>
      <c r="DX69" s="9" t="n">
        <v>176.39</v>
      </c>
      <c r="DY69" s="9" t="n">
        <v>90.41</v>
      </c>
      <c r="DZ69" s="9" t="n">
        <v>44.5</v>
      </c>
      <c r="EA69" s="9" t="n">
        <v>24.97</v>
      </c>
      <c r="EB69" s="9" t="n">
        <v>56.12</v>
      </c>
      <c r="EC69" s="9" t="n">
        <v>51</v>
      </c>
      <c r="ED69" s="9" t="n">
        <v>35.18</v>
      </c>
      <c r="EE69" s="33">
        <f>PERCENTRANK(ED$2:INDEX($ED:$ED,LOOKUP(2,1/(ISNUMBER($A$2:$A$1048576)),ROW($A$2:$A$1048576))),ED69)</f>
        <v/>
      </c>
      <c r="EF69" s="40">
        <f>sum(ED69-ED$106)/ED$107</f>
        <v/>
      </c>
      <c r="EG69" s="9" t="n">
        <v>68.98999999999999</v>
      </c>
      <c r="EH69" s="9" t="n">
        <v>66.63</v>
      </c>
      <c r="EI69" s="9" t="n">
        <v>47.55</v>
      </c>
      <c r="EJ69" s="33">
        <f>PERCENTRANK(EI$2:INDEX($EI:$EI,LOOKUP(2,1/(ISNUMBER($A$2:$A$1048576)),ROW($A$2:$A$1048576))),EI69)</f>
        <v/>
      </c>
      <c r="EK69" s="40">
        <f>sum(EI69-EI$106)/EI$107</f>
        <v/>
      </c>
      <c r="EL69" s="9" t="n">
        <v>71.37</v>
      </c>
      <c r="EM69" s="9" t="n">
        <v>3.71</v>
      </c>
      <c r="EN69" s="9" t="n">
        <v>1.5</v>
      </c>
      <c r="EO69" s="9" t="n">
        <v>40.43</v>
      </c>
      <c r="EP69" s="9" t="n">
        <v>17.29</v>
      </c>
      <c r="EQ69" s="9" t="n">
        <v>16.45</v>
      </c>
      <c r="ER69" s="9" t="n">
        <v>95.13</v>
      </c>
      <c r="ES69" s="9" t="n">
        <v>8.609999999999999</v>
      </c>
      <c r="ET69" s="9" t="n">
        <v>15.68</v>
      </c>
      <c r="EU69" s="9" t="n">
        <v>4.66</v>
      </c>
      <c r="EV69" s="9" t="n">
        <v>10.06</v>
      </c>
      <c r="EW69" s="9" t="n">
        <v>18.25</v>
      </c>
      <c r="EX69" s="33">
        <f>PERCENTRANK(EW$2:INDEX($EW:$EW,LOOKUP(2,1/(ISNUMBER($A$2:$A$1048576)),ROW($A$2:$A$1048576))),EW69)</f>
        <v/>
      </c>
      <c r="EY69" s="38">
        <f>1-(EW69-EW$106)/EW$107</f>
        <v/>
      </c>
      <c r="EZ69" s="9" t="n">
        <v>19.92</v>
      </c>
      <c r="FA69" s="9" t="n">
        <v>11.3</v>
      </c>
      <c r="FB69" s="33">
        <f>PERCENTRANK(FA$2:INDEX($FA:$FA,LOOKUP(2,1/(ISNUMBER($A$2:$A$1048576)),ROW($A$2:$A$1048576))),FA69)</f>
        <v/>
      </c>
      <c r="FC69" s="39">
        <f>1-(FA69-FA$106)/FA$107</f>
        <v/>
      </c>
      <c r="FD69" s="9" t="n">
        <v>1.24</v>
      </c>
      <c r="FE69" s="9" t="n">
        <v>1.26</v>
      </c>
      <c r="FF69" s="33">
        <f>PERCENTRANK(FE$2:INDEX($FE:$FE,LOOKUP(2,1/(ISNUMBER($A$2:$A$1048576)),ROW($A$2:$A$1048576))),FE69)</f>
        <v/>
      </c>
      <c r="FG69" s="39">
        <f>1-(FE69-FE$106)/FE$107</f>
        <v/>
      </c>
      <c r="FH69" s="9" t="n">
        <v>11.66</v>
      </c>
      <c r="FI69" s="9" t="n">
        <v>4.24</v>
      </c>
      <c r="FJ69" s="9" t="n">
        <v>36.34</v>
      </c>
      <c r="FK69" s="9" t="n">
        <v>378.61</v>
      </c>
      <c r="FL69" s="33">
        <f>PERCENTRANK(FK$2:INDEX($FK:$FK,LOOKUP(2,1/(ISNUMBER($A$2:$A$1048576)),ROW($A$2:$A$1048576))),FK69)</f>
        <v/>
      </c>
      <c r="FM69" s="39">
        <f>SWA68-(FK69-FK$106)/FK$107</f>
        <v/>
      </c>
      <c r="FN69" s="9" t="n">
        <v>316.34</v>
      </c>
      <c r="FO69" s="9" t="n">
        <v>83.55</v>
      </c>
      <c r="FP69" s="9" t="n">
        <v>44.5</v>
      </c>
      <c r="FQ69" s="9" t="n">
        <v>91.20999999999999</v>
      </c>
      <c r="FR69" s="9" t="n">
        <v>16</v>
      </c>
      <c r="FS69" s="9" t="n">
        <v>30.92</v>
      </c>
      <c r="FT69" s="9" t="n">
        <v>44.29</v>
      </c>
      <c r="FU69" s="9" t="n">
        <v>71.89</v>
      </c>
      <c r="FV69" s="9" t="n">
        <v>32.71</v>
      </c>
      <c r="FW69" s="9" t="n">
        <v>27.61</v>
      </c>
      <c r="FX69" s="9" t="n">
        <v>11.58</v>
      </c>
      <c r="FY69" s="9" t="n">
        <v>187.89</v>
      </c>
      <c r="FZ69" s="9" t="n">
        <v>88.29000000000001</v>
      </c>
      <c r="GA69" s="9" t="n">
        <v>46.99</v>
      </c>
      <c r="GB69" s="9" t="n">
        <v>5.37</v>
      </c>
      <c r="GC69" s="9" t="n">
        <v>1.5</v>
      </c>
      <c r="GD69" s="9" t="n">
        <v>27.94</v>
      </c>
      <c r="GE69" s="9" t="n">
        <v>27.89</v>
      </c>
      <c r="GF69" s="9" t="n">
        <v>6.68</v>
      </c>
      <c r="GG69" s="9" t="n">
        <v>23.96</v>
      </c>
      <c r="GH69" s="9" t="n">
        <v>1.68</v>
      </c>
      <c r="GI69" s="9" t="n">
        <v>0.82</v>
      </c>
      <c r="GJ69" s="9" t="n">
        <v>48.44</v>
      </c>
      <c r="GK69" s="9" t="n">
        <v>25.16</v>
      </c>
      <c r="GL69" s="9" t="n">
        <v>3.29</v>
      </c>
      <c r="GM69" s="9" t="n">
        <v>13.08</v>
      </c>
      <c r="GN69" s="9" t="n">
        <v>4.18</v>
      </c>
      <c r="GO69" s="9" t="n">
        <v>1.39</v>
      </c>
      <c r="GP69" s="9" t="n">
        <v>33.33</v>
      </c>
      <c r="GQ69" s="9" t="n">
        <v>2.66</v>
      </c>
      <c r="GR69" s="9" t="n">
        <v>0.76</v>
      </c>
      <c r="GS69" s="9" t="n">
        <v>28.71</v>
      </c>
      <c r="GT69" s="9" t="n">
        <v>0.18</v>
      </c>
      <c r="GU69" s="9" t="n">
        <v>0.16</v>
      </c>
      <c r="GV69" s="9" t="n">
        <v>85.70999999999999</v>
      </c>
      <c r="GW69" s="9" t="n">
        <v>13.26</v>
      </c>
      <c r="GX69" s="9" t="n">
        <v>3.97</v>
      </c>
      <c r="GY69" s="9" t="n">
        <v>29.96</v>
      </c>
      <c r="GZ69" s="9" t="n">
        <v>3.84</v>
      </c>
      <c r="HA69" s="9" t="n">
        <v>6.5</v>
      </c>
      <c r="HB69" s="9" t="n">
        <v>21.95</v>
      </c>
      <c r="HC69" s="9" t="n">
        <v>3.34</v>
      </c>
      <c r="HD69" s="9" t="n">
        <v>8.029999999999999</v>
      </c>
      <c r="HE69" s="9" t="n">
        <v>14.76</v>
      </c>
      <c r="HF69" s="9" t="n">
        <v>62.03</v>
      </c>
      <c r="HG69" s="9" t="n">
        <v>25.18</v>
      </c>
      <c r="HH69" s="9" t="n">
        <v>40.6</v>
      </c>
      <c r="HI69" s="9" t="n">
        <v>1.5</v>
      </c>
      <c r="HJ69" s="9" t="n">
        <v>1.63</v>
      </c>
      <c r="HK69" s="9" t="n">
        <v>10.76</v>
      </c>
      <c r="HL69" s="9" t="n">
        <v>3.74</v>
      </c>
      <c r="HM69" s="9" t="n">
        <v>34.72</v>
      </c>
      <c r="HN69" s="9" t="n">
        <v>69.08</v>
      </c>
      <c r="HO69" s="9" t="n">
        <v>39.87</v>
      </c>
      <c r="HP69" s="9" t="n">
        <v>57.71</v>
      </c>
      <c r="HQ69" s="9" t="n">
        <v>27.89</v>
      </c>
      <c r="HR69" s="9" t="n">
        <v>11.87</v>
      </c>
      <c r="HS69" s="9" t="n">
        <v>42.55</v>
      </c>
      <c r="HT69" s="9" t="n">
        <v>4.89</v>
      </c>
      <c r="HU69" s="9" t="n">
        <v>2.13</v>
      </c>
      <c r="HV69" s="9" t="n">
        <v>43.55</v>
      </c>
      <c r="HW69" s="9" t="n">
        <v>37.26</v>
      </c>
      <c r="HX69" s="9" t="n">
        <v>13.08</v>
      </c>
      <c r="HY69" s="9" t="n">
        <v>11.21</v>
      </c>
      <c r="HZ69" s="9" t="n">
        <v>1.97</v>
      </c>
      <c r="IA69" s="9" t="n">
        <v>0.03</v>
      </c>
      <c r="IB69" s="9" t="n">
        <v>130.24</v>
      </c>
      <c r="IC69" s="9" t="n">
        <v>97.16</v>
      </c>
      <c r="ID69" s="9" t="n">
        <v>74.59999999999999</v>
      </c>
      <c r="IE69" s="9" t="n">
        <v>56.82</v>
      </c>
      <c r="IF69" s="9" t="n">
        <v>53.16</v>
      </c>
      <c r="IG69" s="9" t="n">
        <v>93.56</v>
      </c>
      <c r="IH69" s="9" t="n">
        <v>136.29</v>
      </c>
      <c r="II69" s="9" t="n">
        <v>120.66</v>
      </c>
      <c r="IJ69" s="9" t="n">
        <v>88.53</v>
      </c>
      <c r="IK69" s="9" t="n">
        <v>41.21</v>
      </c>
      <c r="IL69" s="9" t="n">
        <v>22.53</v>
      </c>
      <c r="IM69" s="9" t="n">
        <v>54.66</v>
      </c>
      <c r="IN69" s="9" t="n">
        <v>48.03</v>
      </c>
      <c r="IO69" s="9" t="n">
        <v>33.76</v>
      </c>
      <c r="IP69" s="9" t="n">
        <v>70.3</v>
      </c>
      <c r="IQ69" s="9" t="n">
        <v>63.95</v>
      </c>
      <c r="IR69" s="9" t="n">
        <v>47.82</v>
      </c>
      <c r="IS69" s="9" t="n">
        <v>74.77</v>
      </c>
      <c r="IT69" s="33">
        <f>PERCENTRANK(IS$2:INDEX($IS:$IS,LOOKUP(2,1/(ISNUMBER($A$2:$A$1048576)),ROW($A$2:$A$1048576))),IS69)</f>
        <v/>
      </c>
      <c r="IU69" s="39">
        <f>1-(IS69-IS$106)/IS$107</f>
        <v/>
      </c>
      <c r="IV69" s="9" t="n">
        <v>2.66</v>
      </c>
      <c r="IW69" s="9" t="n">
        <v>0.84</v>
      </c>
      <c r="IX69" s="9" t="n">
        <v>31.68</v>
      </c>
      <c r="IY69" s="9" t="n">
        <v>18.89</v>
      </c>
      <c r="IZ69" s="9" t="n">
        <v>17.16</v>
      </c>
      <c r="JA69" s="9" t="n">
        <v>90.81</v>
      </c>
      <c r="JB69" s="9" t="n">
        <v>8.609999999999999</v>
      </c>
      <c r="JC69" s="9" t="n">
        <v>16.03</v>
      </c>
      <c r="JD69" s="9" t="n">
        <v>3.87</v>
      </c>
      <c r="JE69" s="9" t="n">
        <v>11.44</v>
      </c>
      <c r="JF69" s="9" t="n">
        <v>19.52</v>
      </c>
      <c r="JG69" s="9" t="n">
        <v>20.1</v>
      </c>
      <c r="JH69" s="9" t="n">
        <v>14.56</v>
      </c>
    </row>
    <row r="70">
      <c r="A70" s="12" t="n">
        <v>2025</v>
      </c>
      <c r="B70" s="31" t="inlineStr">
        <is>
          <t>Hartford Athletic</t>
        </is>
      </c>
      <c r="C70" s="12" t="n">
        <v>44</v>
      </c>
      <c r="D70" s="5">
        <f>(C70-AVERAGE($C$2:INDEX($C:$C,LOOKUP(2,1/(ISNUMBER($A$2:$A$1048576)),ROW($A$2:$A$1048576)))))/_xlfn.STDEV.P($C$2:INDEX($C:$C,LOOKUP(2,1/(ISNUMBER($A$2:$A$1048576)),ROW($A$2:$A$1048576))))</f>
        <v/>
      </c>
      <c r="E70" s="12" t="n">
        <v>5</v>
      </c>
      <c r="F70" s="6">
        <f>-E70</f>
        <v/>
      </c>
      <c r="G70" s="7">
        <f>(F70-AVERAGE($F$2:INDEX($F:$F,LOOKUP(2,1/(ISNUMBER($A$2:$A$1048576)),ROW($A$2:$A$1048576)))))/_xlfn.STDEV.P($F$2:INDEX($F:$F,LOOKUP(2,1/(ISNUMBER($A$2:$A$1048576)),ROW($A$2:$A$1048576))))</f>
        <v/>
      </c>
      <c r="H70" s="32">
        <f>sum(0.5*D70)+(0.5*G70)</f>
        <v/>
      </c>
      <c r="I70" s="12" t="inlineStr">
        <is>
          <t>East</t>
        </is>
      </c>
      <c r="J70" s="10">
        <f>sum(L70*L$105)+(N70*N$105)+(P70*P$105)+(T70*R$105)</f>
        <v/>
      </c>
      <c r="K70" s="33">
        <f>PERCENTRANK(J$2:INDEX($J:$J,LOOKUP(2,1/(ISNUMBER($A$2:$A$1048576)),ROW($A$2:$A$1048576))),J70)</f>
        <v/>
      </c>
      <c r="L70" s="10">
        <f>sum(AA70*0.66)+(AD70*0.55)+(AG70*0.59)+(CG70*0.51)+(CL70*0.6)+(EY70*0.31)</f>
        <v/>
      </c>
      <c r="M70" s="33">
        <f>PERCENTRANK(L$2:INDEX($L:$L,LOOKUP(2,1/(ISNUMBER($A$2:$A$1048576)),ROW($A$2:$A$1048576))),L70)</f>
        <v/>
      </c>
      <c r="N70" s="10">
        <f>sum(CT70*0.57)+(CW70*0.71)+(DJ70*0.08)+(FC70*0.33)+(FG70*0.69)+(FM70*0.26)+(IU70*0.54)+(AU70*0.4)</f>
        <v/>
      </c>
      <c r="O70" s="33">
        <f>PERCENTRANK(N$2:INDEX($N:$N,LOOKUP(2,1/(ISNUMBER($A$2:$A$1048576)),ROW($A$2:$A$1048576))),N70)</f>
        <v/>
      </c>
      <c r="P70" s="10">
        <f>sum(BG70*0.51)+(CD70*0.51)+(DR70*0.11)+(EF70*0.42)+(EK70*0.44)+(W70*0.6)</f>
        <v/>
      </c>
      <c r="Q70" s="33">
        <f>PERCENTRANK(P$2:INDEX($P:$P,LOOKUP(2,1/(ISNUMBER($A$2:$A$1048576)),ROW($A$2:$A$1048576))),P70)</f>
        <v/>
      </c>
      <c r="R70" s="10">
        <f>sum(Y70-FE70)</f>
        <v/>
      </c>
      <c r="S70" s="33">
        <f>PERCENTRANK(R$2:INDEX($R:$R,LOOKUP(2,1/(ISNUMBER($A$2:$A$1048576)),ROW($A$2:$A$1048576))),R70)</f>
        <v/>
      </c>
      <c r="T70" s="34">
        <f>sum(R70-R$106)/R$107</f>
        <v/>
      </c>
      <c r="U70" s="35">
        <f>sum(Y70/AI70)*100</f>
        <v/>
      </c>
      <c r="V70" s="33">
        <f>PERCENTRANK(U$2:INDEX($U:$U,LOOKUP(2,1/(ISNUMBER($A$2:$A$1048576)),ROW($A$2:$A$1048576))),U70)</f>
        <v/>
      </c>
      <c r="W70" s="36">
        <f>sum(U70-U$106)/U$107</f>
        <v/>
      </c>
      <c r="X70" s="9" t="n">
        <v>1.47</v>
      </c>
      <c r="Y70" s="9" t="n">
        <v>1.48</v>
      </c>
      <c r="Z70" s="33">
        <f>PERCENTRANK(Y$2:INDEX($Y:$Y,LOOKUP(2,1/(ISNUMBER($A$2:$A$1048576)),ROW($A$2:$A$1048576))),Y70)</f>
        <v/>
      </c>
      <c r="AA70" s="37">
        <f>sum(Y70-Y$106)/Y$107</f>
        <v/>
      </c>
      <c r="AB70" s="9" t="n">
        <v>9.77</v>
      </c>
      <c r="AC70" s="33">
        <f>PERCENTRANK(AB$2:INDEX($AB:$AB,LOOKUP(2,1/(ISNUMBER($A$2:$A$1048576)),ROW($A$2:$A$1048576))),AB70)</f>
        <v/>
      </c>
      <c r="AD70" s="38">
        <f>sum(AB70-AB$106)/AB$107</f>
        <v/>
      </c>
      <c r="AE70" s="9" t="n">
        <v>3.7</v>
      </c>
      <c r="AF70" s="33">
        <f>PERCENTRANK(AE$2:INDEX($AE:$AE,LOOKUP(2,1/(ISNUMBER($A$2:$A$1048576)),ROW($A$2:$A$1048576))),AE70)</f>
        <v/>
      </c>
      <c r="AG70" s="38">
        <f>sum(AE70-AE$106)/AE$107</f>
        <v/>
      </c>
      <c r="AH70" s="9" t="n">
        <v>37.88</v>
      </c>
      <c r="AI70" s="9" t="n">
        <v>327.33</v>
      </c>
      <c r="AJ70" s="9" t="n">
        <v>255.47</v>
      </c>
      <c r="AK70" s="9" t="n">
        <v>78.04000000000001</v>
      </c>
      <c r="AL70" s="9" t="n">
        <v>45.2</v>
      </c>
      <c r="AM70" s="9" t="n">
        <v>108.9</v>
      </c>
      <c r="AN70" s="9" t="n">
        <v>18.93</v>
      </c>
      <c r="AO70" s="9" t="n">
        <v>38.93</v>
      </c>
      <c r="AP70" s="9" t="n">
        <v>51.03</v>
      </c>
      <c r="AQ70" s="9" t="n">
        <v>75.09999999999999</v>
      </c>
      <c r="AR70" s="9" t="n">
        <v>34.7</v>
      </c>
      <c r="AS70" s="9" t="n">
        <v>30.07</v>
      </c>
      <c r="AT70" s="33">
        <f>PERCENTRANK(AS$2:INDEX($AS:$AS,LOOKUP(2,1/(ISNUMBER($A$2:$A$1048576)),ROW($A$2:$A$1048576))),AS70)</f>
        <v/>
      </c>
      <c r="AU70" s="39">
        <f>SUM(AS70-AS$106)/AS$107</f>
        <v/>
      </c>
      <c r="AV70" s="9" t="n">
        <v>10.33</v>
      </c>
      <c r="AW70" s="33">
        <f>PERCENTRANK(AV$2:INDEX($AV:$AV,LOOKUP(2,1/(ISNUMBER($A$2:$A$1048576)),ROW($A$2:$A$1048576))),AV70)</f>
        <v/>
      </c>
      <c r="AX70" s="9" t="n">
        <v>183.6</v>
      </c>
      <c r="AY70" s="9" t="n">
        <v>88.5</v>
      </c>
      <c r="AZ70" s="9" t="n">
        <v>48.2</v>
      </c>
      <c r="BA70" s="9" t="n">
        <v>3.5</v>
      </c>
      <c r="BB70" s="9" t="n">
        <v>0.6</v>
      </c>
      <c r="BC70" s="9" t="n">
        <v>17.14</v>
      </c>
      <c r="BD70" s="9" t="n">
        <v>23.3</v>
      </c>
      <c r="BE70" s="9" t="n">
        <v>5.87</v>
      </c>
      <c r="BF70" s="33">
        <f>PERCENTRANK(BE$2:INDEX($BE:$BE,LOOKUP(2,1/(ISNUMBER($A$2:$A$1048576)),ROW($A$2:$A$1048576))),BE70)</f>
        <v/>
      </c>
      <c r="BG70" s="40">
        <f>sum(BE70-BE$106)/BE$107</f>
        <v/>
      </c>
      <c r="BH70" s="9" t="n">
        <v>25.18</v>
      </c>
      <c r="BI70" s="9" t="n">
        <v>0.6</v>
      </c>
      <c r="BJ70" s="9" t="n">
        <v>0.37</v>
      </c>
      <c r="BK70" s="9" t="n">
        <v>61.11</v>
      </c>
      <c r="BL70" s="9" t="n">
        <v>26.37</v>
      </c>
      <c r="BM70" s="9" t="n">
        <v>3.13</v>
      </c>
      <c r="BN70" s="9" t="n">
        <v>11.88</v>
      </c>
      <c r="BO70" s="9" t="n">
        <v>4.5</v>
      </c>
      <c r="BP70" s="9" t="n">
        <v>1.43</v>
      </c>
      <c r="BQ70" s="9" t="n">
        <v>31.85</v>
      </c>
      <c r="BR70" s="9" t="n">
        <v>2.93</v>
      </c>
      <c r="BS70" s="9" t="n">
        <v>0.3</v>
      </c>
      <c r="BT70" s="9" t="n">
        <v>10.23</v>
      </c>
      <c r="BU70" s="9" t="n">
        <v>0.2</v>
      </c>
      <c r="BV70" s="9" t="n">
        <v>0.17</v>
      </c>
      <c r="BW70" s="9" t="n">
        <v>83.33</v>
      </c>
      <c r="BX70" s="9" t="n">
        <v>12.37</v>
      </c>
      <c r="BY70" s="9" t="n">
        <v>3.97</v>
      </c>
      <c r="BZ70" s="9" t="n">
        <v>32.08</v>
      </c>
      <c r="CA70" s="9" t="n">
        <v>4.1</v>
      </c>
      <c r="CB70" s="9" t="n">
        <v>5</v>
      </c>
      <c r="CC70" s="33">
        <f>PERCENTRANK(CD$2:INDEX($CD:$CD,LOOKUP(2,1/(ISNUMBER($A$2:$A$1048576)),ROW($A$2:$A$1048576))),CD70)</f>
        <v/>
      </c>
      <c r="CD70" s="40">
        <f>sum(CB70-CB$106)/CB$107</f>
        <v/>
      </c>
      <c r="CE70" s="9" t="n">
        <v>20.73</v>
      </c>
      <c r="CF70" s="33">
        <f>PERCENTRANK(CE$2:INDEX($CE:$CE,LOOKUP(2,1/(ISNUMBER($A$2:$A$1048576)),ROW($A$2:$A$1048576))),CE70)</f>
        <v/>
      </c>
      <c r="CG70" s="38">
        <f>sum(CE70-CE$106)/CE$107</f>
        <v/>
      </c>
      <c r="CH70" s="9" t="n">
        <v>2.9</v>
      </c>
      <c r="CI70" s="9" t="n">
        <v>8.27</v>
      </c>
      <c r="CJ70" s="9" t="n">
        <v>14.63</v>
      </c>
      <c r="CK70" s="33">
        <f>PERCENTRANK(CJ$2:INDEX($CJ:$CJ,LOOKUP(2,1/(ISNUMBER($A$2:$A$1048576)),ROW($A$2:$A$1048576))),CJ70)</f>
        <v/>
      </c>
      <c r="CL70" s="38">
        <f>sum(CJ70-CJ$106)/CJ$107</f>
        <v/>
      </c>
      <c r="CM70" s="9" t="n">
        <v>54.23</v>
      </c>
      <c r="CN70" s="9" t="n">
        <v>21</v>
      </c>
      <c r="CO70" s="9" t="n">
        <v>38.72</v>
      </c>
      <c r="CP70" s="9" t="n">
        <v>2</v>
      </c>
      <c r="CQ70" s="9" t="n">
        <v>1.2</v>
      </c>
      <c r="CR70" s="9" t="n">
        <v>11.53</v>
      </c>
      <c r="CS70" s="33">
        <f>PERCENTRANK(CR$2:INDEX($CR:$CR,LOOKUP(2,1/(ISNUMBER($A$2:$A$1048576)),ROW($A$2:$A$1048576))),CR70)</f>
        <v/>
      </c>
      <c r="CT70" s="39">
        <f>1-(CR70-CR$106)/CR$107</f>
        <v/>
      </c>
      <c r="CU70" s="9" t="n">
        <v>3.97</v>
      </c>
      <c r="CV70" s="33">
        <f>PERCENTRANK(CU$2:INDEX($CU:$CU,LOOKUP(2,1/(ISNUMBER($A$2:$A$1048576)),ROW($A$2:$A$1048576))),CU70)</f>
        <v/>
      </c>
      <c r="CW70" s="39">
        <f>1-(CU70-CU$106)/CU$107</f>
        <v/>
      </c>
      <c r="CX70" s="9" t="n">
        <v>34.39</v>
      </c>
      <c r="CY70" s="9" t="n">
        <v>59.8</v>
      </c>
      <c r="CZ70" s="9" t="n">
        <v>37.47</v>
      </c>
      <c r="DA70" s="9" t="n">
        <v>62.65</v>
      </c>
      <c r="DB70" s="9" t="n">
        <v>47.6</v>
      </c>
      <c r="DC70" s="9" t="n">
        <v>20.83</v>
      </c>
      <c r="DD70" s="9" t="n">
        <v>43.77</v>
      </c>
      <c r="DE70" s="9" t="n">
        <v>2.07</v>
      </c>
      <c r="DF70" s="9" t="n">
        <v>1.17</v>
      </c>
      <c r="DG70" s="9" t="n">
        <v>56.45</v>
      </c>
      <c r="DH70" s="9" t="n">
        <v>39.2</v>
      </c>
      <c r="DI70" s="33">
        <f>PERCENTRANK(DH$2:INDEX($DH:$DH,LOOKUP(2,1/(ISNUMBER($A$2:$A$1048576)),ROW($A$2:$A$1048576))),DH70)</f>
        <v/>
      </c>
      <c r="DJ70" s="39">
        <f>SUM(DH70-DH$106)/DH$107</f>
        <v/>
      </c>
      <c r="DK70" s="9" t="n">
        <v>16.9</v>
      </c>
      <c r="DL70" s="9" t="n">
        <v>14</v>
      </c>
      <c r="DM70" s="9" t="n">
        <v>2.17</v>
      </c>
      <c r="DN70" s="9" t="n">
        <v>0.17</v>
      </c>
      <c r="DO70" s="9" t="n">
        <v>127.37</v>
      </c>
      <c r="DP70" s="9" t="n">
        <v>83.83</v>
      </c>
      <c r="DQ70" s="33">
        <f>PERCENTRANK(DP$2:INDEX($DP:$DP,LOOKUP(2,1/(ISNUMBER($A$2:$A$1048576)),ROW($A$2:$A$1048576))),DP70)</f>
        <v/>
      </c>
      <c r="DR70" s="40">
        <f>sum(DP70-DP$106)/DP$107</f>
        <v/>
      </c>
      <c r="DS70" s="9" t="n">
        <v>65.81999999999999</v>
      </c>
      <c r="DT70" s="9" t="n">
        <v>49</v>
      </c>
      <c r="DU70" s="9" t="n">
        <v>45.8</v>
      </c>
      <c r="DV70" s="9" t="n">
        <v>93.47</v>
      </c>
      <c r="DW70" s="9" t="n">
        <v>108.13</v>
      </c>
      <c r="DX70" s="9" t="n">
        <v>92.23</v>
      </c>
      <c r="DY70" s="9" t="n">
        <v>85.3</v>
      </c>
      <c r="DZ70" s="9" t="n">
        <v>54.07</v>
      </c>
      <c r="EA70" s="9" t="n">
        <v>25.87</v>
      </c>
      <c r="EB70" s="9" t="n">
        <v>47.84</v>
      </c>
      <c r="EC70" s="9" t="n">
        <v>51.4</v>
      </c>
      <c r="ED70" s="9" t="n">
        <v>30.1</v>
      </c>
      <c r="EE70" s="33">
        <f>PERCENTRANK(ED$2:INDEX($ED:$ED,LOOKUP(2,1/(ISNUMBER($A$2:$A$1048576)),ROW($A$2:$A$1048576))),ED70)</f>
        <v/>
      </c>
      <c r="EF70" s="40">
        <f>sum(ED70-ED$106)/ED$107</f>
        <v/>
      </c>
      <c r="EG70" s="9" t="n">
        <v>58.56</v>
      </c>
      <c r="EH70" s="9" t="n">
        <v>65.93000000000001</v>
      </c>
      <c r="EI70" s="9" t="n">
        <v>45.33</v>
      </c>
      <c r="EJ70" s="33">
        <f>PERCENTRANK(EI$2:INDEX($EI:$EI,LOOKUP(2,1/(ISNUMBER($A$2:$A$1048576)),ROW($A$2:$A$1048576))),EI70)</f>
        <v/>
      </c>
      <c r="EK70" s="40">
        <f>sum(EI70-EI$106)/EI$107</f>
        <v/>
      </c>
      <c r="EL70" s="9" t="n">
        <v>68.76000000000001</v>
      </c>
      <c r="EM70" s="9" t="n">
        <v>0.37</v>
      </c>
      <c r="EN70" s="9" t="n">
        <v>0.13</v>
      </c>
      <c r="EO70" s="9" t="n">
        <v>36.36</v>
      </c>
      <c r="EP70" s="9" t="n">
        <v>19.3</v>
      </c>
      <c r="EQ70" s="9" t="n">
        <v>16.73</v>
      </c>
      <c r="ER70" s="9" t="n">
        <v>86.7</v>
      </c>
      <c r="ES70" s="9" t="n">
        <v>8.970000000000001</v>
      </c>
      <c r="ET70" s="9" t="n">
        <v>15.31</v>
      </c>
      <c r="EU70" s="9" t="n">
        <v>3.25</v>
      </c>
      <c r="EV70" s="9" t="n">
        <v>17.23</v>
      </c>
      <c r="EW70" s="9" t="n">
        <v>17.15</v>
      </c>
      <c r="EX70" s="33">
        <f>PERCENTRANK(EW$2:INDEX($EW:$EW,LOOKUP(2,1/(ISNUMBER($A$2:$A$1048576)),ROW($A$2:$A$1048576))),EW70)</f>
        <v/>
      </c>
      <c r="EY70" s="38">
        <f>1-(EW70-EW$106)/EW$107</f>
        <v/>
      </c>
      <c r="EZ70" s="9" t="n">
        <v>21.53</v>
      </c>
      <c r="FA70" s="9" t="n">
        <v>10.83</v>
      </c>
      <c r="FB70" s="33">
        <f>PERCENTRANK(FA$2:INDEX($FA:$FA,LOOKUP(2,1/(ISNUMBER($A$2:$A$1048576)),ROW($A$2:$A$1048576))),FA70)</f>
        <v/>
      </c>
      <c r="FC70" s="39">
        <f>1-(FA70-FA$106)/FA$107</f>
        <v/>
      </c>
      <c r="FD70" s="9" t="n">
        <v>1.2</v>
      </c>
      <c r="FE70" s="9" t="n">
        <v>1.23</v>
      </c>
      <c r="FF70" s="33">
        <f>PERCENTRANK(FE$2:INDEX($FE:$FE,LOOKUP(2,1/(ISNUMBER($A$2:$A$1048576)),ROW($A$2:$A$1048576))),FE70)</f>
        <v/>
      </c>
      <c r="FG70" s="39">
        <f>1-(FE70-FE$106)/FE$107</f>
        <v/>
      </c>
      <c r="FH70" s="9" t="n">
        <v>11.53</v>
      </c>
      <c r="FI70" s="9" t="n">
        <v>3.67</v>
      </c>
      <c r="FJ70" s="9" t="n">
        <v>31.79</v>
      </c>
      <c r="FK70" s="9" t="n">
        <v>413.4</v>
      </c>
      <c r="FL70" s="33">
        <f>PERCENTRANK(FK$2:INDEX($FK:$FK,LOOKUP(2,1/(ISNUMBER($A$2:$A$1048576)),ROW($A$2:$A$1048576))),FK70)</f>
        <v/>
      </c>
      <c r="FM70" s="39">
        <f>SWA69-(FK70-FK$106)/FK$107</f>
        <v/>
      </c>
      <c r="FN70" s="9" t="n">
        <v>340.6</v>
      </c>
      <c r="FO70" s="9" t="n">
        <v>82.39</v>
      </c>
      <c r="FP70" s="9" t="n">
        <v>54.8</v>
      </c>
      <c r="FQ70" s="9" t="n">
        <v>111.2</v>
      </c>
      <c r="FR70" s="9" t="n">
        <v>19.6</v>
      </c>
      <c r="FS70" s="9" t="n">
        <v>39.13</v>
      </c>
      <c r="FT70" s="9" t="n">
        <v>52.47</v>
      </c>
      <c r="FU70" s="9" t="n">
        <v>79.13</v>
      </c>
      <c r="FV70" s="9" t="n">
        <v>37.3</v>
      </c>
      <c r="FW70" s="9" t="n">
        <v>29.6</v>
      </c>
      <c r="FX70" s="9" t="n">
        <v>12.23</v>
      </c>
      <c r="FY70" s="9" t="n">
        <v>183.6</v>
      </c>
      <c r="FZ70" s="9" t="n">
        <v>88.23</v>
      </c>
      <c r="GA70" s="9" t="n">
        <v>48.06</v>
      </c>
      <c r="GB70" s="9" t="n">
        <v>4.77</v>
      </c>
      <c r="GC70" s="9" t="n">
        <v>1.33</v>
      </c>
      <c r="GD70" s="9" t="n">
        <v>27.97</v>
      </c>
      <c r="GE70" s="9" t="n">
        <v>29.37</v>
      </c>
      <c r="GF70" s="9" t="n">
        <v>7.4</v>
      </c>
      <c r="GG70" s="9" t="n">
        <v>25.2</v>
      </c>
      <c r="GH70" s="9" t="n">
        <v>0.47</v>
      </c>
      <c r="GI70" s="9" t="n">
        <v>0.37</v>
      </c>
      <c r="GJ70" s="9" t="n">
        <v>78.56999999999999</v>
      </c>
      <c r="GK70" s="9" t="n">
        <v>27.43</v>
      </c>
      <c r="GL70" s="9" t="n">
        <v>3.33</v>
      </c>
      <c r="GM70" s="9" t="n">
        <v>12.15</v>
      </c>
      <c r="GN70" s="9" t="n">
        <v>5.07</v>
      </c>
      <c r="GO70" s="9" t="n">
        <v>1.43</v>
      </c>
      <c r="GP70" s="9" t="n">
        <v>28.29</v>
      </c>
      <c r="GQ70" s="9" t="n">
        <v>2.63</v>
      </c>
      <c r="GR70" s="9" t="n">
        <v>0.6</v>
      </c>
      <c r="GS70" s="9" t="n">
        <v>22.78</v>
      </c>
      <c r="GT70" s="9" t="n">
        <v>0.07000000000000001</v>
      </c>
      <c r="GU70" s="9" t="n">
        <v>0.03</v>
      </c>
      <c r="GV70" s="9" t="n">
        <v>50</v>
      </c>
      <c r="GW70" s="9" t="n">
        <v>18.13</v>
      </c>
      <c r="GX70" s="9" t="n">
        <v>6.23</v>
      </c>
      <c r="GY70" s="9" t="n">
        <v>34.38</v>
      </c>
      <c r="GZ70" s="9" t="n">
        <v>5.97</v>
      </c>
      <c r="HA70" s="9" t="n">
        <v>6.2</v>
      </c>
      <c r="HB70" s="9" t="n">
        <v>25.43</v>
      </c>
      <c r="HC70" s="9" t="n">
        <v>3.13</v>
      </c>
      <c r="HD70" s="9" t="n">
        <v>11.87</v>
      </c>
      <c r="HE70" s="9" t="n">
        <v>17.77</v>
      </c>
      <c r="HF70" s="9" t="n">
        <v>59.8</v>
      </c>
      <c r="HG70" s="9" t="n">
        <v>22.33</v>
      </c>
      <c r="HH70" s="9" t="n">
        <v>37.35</v>
      </c>
      <c r="HI70" s="9" t="n">
        <v>0.93</v>
      </c>
      <c r="HJ70" s="9" t="n">
        <v>1.47</v>
      </c>
      <c r="HK70" s="9" t="n">
        <v>9.77</v>
      </c>
      <c r="HL70" s="9" t="n">
        <v>3.97</v>
      </c>
      <c r="HM70" s="9" t="n">
        <v>40.61</v>
      </c>
      <c r="HN70" s="9" t="n">
        <v>54.23</v>
      </c>
      <c r="HO70" s="9" t="n">
        <v>33.23</v>
      </c>
      <c r="HP70" s="9" t="n">
        <v>61.28</v>
      </c>
      <c r="HQ70" s="9" t="n">
        <v>47.6</v>
      </c>
      <c r="HR70" s="9" t="n">
        <v>22.63</v>
      </c>
      <c r="HS70" s="9" t="n">
        <v>47.55</v>
      </c>
      <c r="HT70" s="9" t="n">
        <v>1.93</v>
      </c>
      <c r="HU70" s="9" t="n">
        <v>1</v>
      </c>
      <c r="HV70" s="9" t="n">
        <v>51.72</v>
      </c>
      <c r="HW70" s="9" t="n">
        <v>33.27</v>
      </c>
      <c r="HX70" s="9" t="n">
        <v>16.1</v>
      </c>
      <c r="HY70" s="9" t="n">
        <v>13.3</v>
      </c>
      <c r="HZ70" s="9" t="n">
        <v>2.2</v>
      </c>
      <c r="IA70" s="9" t="n">
        <v>0.1</v>
      </c>
      <c r="IB70" s="9" t="n">
        <v>146.03</v>
      </c>
      <c r="IC70" s="9" t="n">
        <v>106.13</v>
      </c>
      <c r="ID70" s="9" t="n">
        <v>72.68000000000001</v>
      </c>
      <c r="IE70" s="9" t="n">
        <v>62.33</v>
      </c>
      <c r="IF70" s="9" t="n">
        <v>59.07</v>
      </c>
      <c r="IG70" s="9" t="n">
        <v>94.76000000000001</v>
      </c>
      <c r="IH70" s="9" t="n">
        <v>150.1</v>
      </c>
      <c r="II70" s="9" t="n">
        <v>131.67</v>
      </c>
      <c r="IJ70" s="9" t="n">
        <v>87.72</v>
      </c>
      <c r="IK70" s="9" t="n">
        <v>47.33</v>
      </c>
      <c r="IL70" s="9" t="n">
        <v>25.7</v>
      </c>
      <c r="IM70" s="9" t="n">
        <v>54.3</v>
      </c>
      <c r="IN70" s="9" t="n">
        <v>56.8</v>
      </c>
      <c r="IO70" s="9" t="n">
        <v>39.73</v>
      </c>
      <c r="IP70" s="9" t="n">
        <v>69.95</v>
      </c>
      <c r="IQ70" s="9" t="n">
        <v>76.63</v>
      </c>
      <c r="IR70" s="9" t="n">
        <v>57</v>
      </c>
      <c r="IS70" s="9" t="n">
        <v>74.38</v>
      </c>
      <c r="IT70" s="33">
        <f>PERCENTRANK(IS$2:INDEX($IS:$IS,LOOKUP(2,1/(ISNUMBER($A$2:$A$1048576)),ROW($A$2:$A$1048576))),IS70)</f>
        <v/>
      </c>
      <c r="IU70" s="39">
        <f>1-(IS70-IS$106)/IS$107</f>
        <v/>
      </c>
      <c r="IV70" s="9" t="n">
        <v>0.67</v>
      </c>
      <c r="IW70" s="9" t="n">
        <v>0.27</v>
      </c>
      <c r="IX70" s="9" t="n">
        <v>40</v>
      </c>
      <c r="IY70" s="9" t="n">
        <v>22.2</v>
      </c>
      <c r="IZ70" s="9" t="n">
        <v>18.93</v>
      </c>
      <c r="JA70" s="9" t="n">
        <v>85.29000000000001</v>
      </c>
      <c r="JB70" s="9" t="n">
        <v>7.7</v>
      </c>
      <c r="JC70" s="9" t="n">
        <v>16</v>
      </c>
      <c r="JD70" s="9" t="n">
        <v>3.99</v>
      </c>
      <c r="JE70" s="9" t="n">
        <v>11.86</v>
      </c>
      <c r="JF70" s="9" t="n">
        <v>18.42</v>
      </c>
      <c r="JG70" s="9" t="n">
        <v>20.26</v>
      </c>
      <c r="JH70" s="9" t="n">
        <v>9.6</v>
      </c>
    </row>
    <row r="71">
      <c r="A71" s="12" t="n">
        <v>2022</v>
      </c>
      <c r="B71" s="31" t="inlineStr">
        <is>
          <t>Loudoun United</t>
        </is>
      </c>
      <c r="C71" s="12" t="n">
        <v>28</v>
      </c>
      <c r="D71" s="5">
        <f>(C71-AVERAGE($C$2:INDEX($C:$C,LOOKUP(2,1/(ISNUMBER($A$2:$A$1048576)),ROW($A$2:$A$1048576)))))/_xlfn.STDEV.P($C$2:INDEX($C:$C,LOOKUP(2,1/(ISNUMBER($A$2:$A$1048576)),ROW($A$2:$A$1048576))))</f>
        <v/>
      </c>
      <c r="E71" s="12" t="n">
        <v>11</v>
      </c>
      <c r="F71" s="6">
        <f>-E71</f>
        <v/>
      </c>
      <c r="G71" s="7">
        <f>(F71-AVERAGE($F$2:INDEX($F:$F,LOOKUP(2,1/(ISNUMBER($A$2:$A$1048576)),ROW($A$2:$A$1048576)))))/_xlfn.STDEV.P($F$2:INDEX($F:$F,LOOKUP(2,1/(ISNUMBER($A$2:$A$1048576)),ROW($A$2:$A$1048576))))</f>
        <v/>
      </c>
      <c r="H71" s="32">
        <f>sum(0.5*D71)+(0.5*G71)</f>
        <v/>
      </c>
      <c r="I71" s="12" t="inlineStr">
        <is>
          <t>East</t>
        </is>
      </c>
      <c r="J71" s="10">
        <f>sum(L71*L$105)+(N71*N$105)+(P71*P$105)+(T71*R$105)</f>
        <v/>
      </c>
      <c r="K71" s="33">
        <f>PERCENTRANK(J$2:INDEX($J:$J,LOOKUP(2,1/(ISNUMBER($A$2:$A$1048576)),ROW($A$2:$A$1048576))),J71)</f>
        <v/>
      </c>
      <c r="L71" s="10">
        <f>sum(AA71*0.66)+(AD71*0.55)+(AG71*0.59)+(CG71*0.51)+(CL71*0.6)+(EY71*0.31)</f>
        <v/>
      </c>
      <c r="M71" s="33">
        <f>PERCENTRANK(L$2:INDEX($L:$L,LOOKUP(2,1/(ISNUMBER($A$2:$A$1048576)),ROW($A$2:$A$1048576))),L71)</f>
        <v/>
      </c>
      <c r="N71" s="10">
        <f>sum(CT71*0.57)+(CW71*0.71)+(DJ71*0.08)+(FC71*0.33)+(FG71*0.69)+(FM71*0.26)+(IU71*0.54)+(AU71*0.4)</f>
        <v/>
      </c>
      <c r="O71" s="33">
        <f>PERCENTRANK(N$2:INDEX($N:$N,LOOKUP(2,1/(ISNUMBER($A$2:$A$1048576)),ROW($A$2:$A$1048576))),N71)</f>
        <v/>
      </c>
      <c r="P71" s="10">
        <f>sum(BG71*0.51)+(CD71*0.51)+(DR71*0.11)+(EF71*0.42)+(EK71*0.44)+(W71*0.6)</f>
        <v/>
      </c>
      <c r="Q71" s="33">
        <f>PERCENTRANK(P$2:INDEX($P:$P,LOOKUP(2,1/(ISNUMBER($A$2:$A$1048576)),ROW($A$2:$A$1048576))),P71)</f>
        <v/>
      </c>
      <c r="R71" s="10">
        <f>sum(Y71-FE71)</f>
        <v/>
      </c>
      <c r="S71" s="33">
        <f>PERCENTRANK(R$2:INDEX($R:$R,LOOKUP(2,1/(ISNUMBER($A$2:$A$1048576)),ROW($A$2:$A$1048576))),R71)</f>
        <v/>
      </c>
      <c r="T71" s="34">
        <f>sum(R71-R$106)/R$107</f>
        <v/>
      </c>
      <c r="U71" s="35">
        <f>sum(Y71/AI71)*100</f>
        <v/>
      </c>
      <c r="V71" s="33">
        <f>PERCENTRANK(U$2:INDEX($U:$U,LOOKUP(2,1/(ISNUMBER($A$2:$A$1048576)),ROW($A$2:$A$1048576))),U71)</f>
        <v/>
      </c>
      <c r="W71" s="36">
        <f>sum(U71-U$106)/U$107</f>
        <v/>
      </c>
      <c r="X71" s="9" t="n">
        <v>1.06</v>
      </c>
      <c r="Y71" s="9" t="n">
        <v>1.24</v>
      </c>
      <c r="Z71" s="33">
        <f>PERCENTRANK(Y$2:INDEX($Y:$Y,LOOKUP(2,1/(ISNUMBER($A$2:$A$1048576)),ROW($A$2:$A$1048576))),Y71)</f>
        <v/>
      </c>
      <c r="AA71" s="37">
        <f>sum(Y71-Y$106)/Y$107</f>
        <v/>
      </c>
      <c r="AB71" s="9" t="n">
        <v>10.18</v>
      </c>
      <c r="AC71" s="33">
        <f>PERCENTRANK(AB$2:INDEX($AB:$AB,LOOKUP(2,1/(ISNUMBER($A$2:$A$1048576)),ROW($A$2:$A$1048576))),AB71)</f>
        <v/>
      </c>
      <c r="AD71" s="38">
        <f>sum(AB71-AB$106)/AB$107</f>
        <v/>
      </c>
      <c r="AE71" s="9" t="n">
        <v>4.03</v>
      </c>
      <c r="AF71" s="33">
        <f>PERCENTRANK(AE$2:INDEX($AE:$AE,LOOKUP(2,1/(ISNUMBER($A$2:$A$1048576)),ROW($A$2:$A$1048576))),AE71)</f>
        <v/>
      </c>
      <c r="AG71" s="38">
        <f>sum(AE71-AE$106)/AE$107</f>
        <v/>
      </c>
      <c r="AH71" s="9" t="n">
        <v>39.6</v>
      </c>
      <c r="AI71" s="9" t="n">
        <v>437.21</v>
      </c>
      <c r="AJ71" s="9" t="n">
        <v>365.06</v>
      </c>
      <c r="AK71" s="9" t="n">
        <v>83.5</v>
      </c>
      <c r="AL71" s="9" t="n">
        <v>50.78</v>
      </c>
      <c r="AM71" s="9" t="n">
        <v>100.24</v>
      </c>
      <c r="AN71" s="9" t="n">
        <v>20.91</v>
      </c>
      <c r="AO71" s="9" t="n">
        <v>38.21</v>
      </c>
      <c r="AP71" s="9" t="n">
        <v>41.12</v>
      </c>
      <c r="AQ71" s="9" t="n">
        <v>79.91</v>
      </c>
      <c r="AR71" s="9" t="n">
        <v>41.26</v>
      </c>
      <c r="AS71" s="9" t="n">
        <v>28.32</v>
      </c>
      <c r="AT71" s="33">
        <f>PERCENTRANK(AS$2:INDEX($AS:$AS,LOOKUP(2,1/(ISNUMBER($A$2:$A$1048576)),ROW($A$2:$A$1048576))),AS71)</f>
        <v/>
      </c>
      <c r="AU71" s="39">
        <f>SUM(AS71-AS$106)/AS$107</f>
        <v/>
      </c>
      <c r="AV71" s="9" t="n">
        <v>10.32</v>
      </c>
      <c r="AW71" s="33">
        <f>PERCENTRANK(AV$2:INDEX($AV:$AV,LOOKUP(2,1/(ISNUMBER($A$2:$A$1048576)),ROW($A$2:$A$1048576))),AV71)</f>
        <v/>
      </c>
      <c r="AX71" s="9" t="n">
        <v>204.76</v>
      </c>
      <c r="AY71" s="9" t="n">
        <v>98</v>
      </c>
      <c r="AZ71" s="9" t="n">
        <v>47.86</v>
      </c>
      <c r="BA71" s="9" t="n">
        <v>4.35</v>
      </c>
      <c r="BB71" s="9" t="n">
        <v>1.29</v>
      </c>
      <c r="BC71" s="9" t="n">
        <v>29.73</v>
      </c>
      <c r="BD71" s="9" t="n">
        <v>24.06</v>
      </c>
      <c r="BE71" s="9" t="n">
        <v>5.68</v>
      </c>
      <c r="BF71" s="33">
        <f>PERCENTRANK(BE$2:INDEX($BE:$BE,LOOKUP(2,1/(ISNUMBER($A$2:$A$1048576)),ROW($A$2:$A$1048576))),BE71)</f>
        <v/>
      </c>
      <c r="BG71" s="40">
        <f>sum(BE71-BE$106)/BE$107</f>
        <v/>
      </c>
      <c r="BH71" s="9" t="n">
        <v>23.59</v>
      </c>
      <c r="BI71" s="9" t="n">
        <v>2.38</v>
      </c>
      <c r="BJ71" s="9" t="n">
        <v>1.06</v>
      </c>
      <c r="BK71" s="9" t="n">
        <v>44.44</v>
      </c>
      <c r="BL71" s="9" t="n">
        <v>26.21</v>
      </c>
      <c r="BM71" s="9" t="n">
        <v>2.88</v>
      </c>
      <c r="BN71" s="9" t="n">
        <v>11</v>
      </c>
      <c r="BO71" s="9" t="n">
        <v>3.44</v>
      </c>
      <c r="BP71" s="9" t="n">
        <v>1.06</v>
      </c>
      <c r="BQ71" s="9" t="n">
        <v>30.77</v>
      </c>
      <c r="BR71" s="9" t="n">
        <v>1.94</v>
      </c>
      <c r="BS71" s="9" t="n">
        <v>0.38</v>
      </c>
      <c r="BT71" s="9" t="n">
        <v>19.7</v>
      </c>
      <c r="BU71" s="9" t="n">
        <v>0.18</v>
      </c>
      <c r="BV71" s="9" t="n">
        <v>0.09</v>
      </c>
      <c r="BW71" s="9" t="n">
        <v>50</v>
      </c>
      <c r="BX71" s="9" t="n">
        <v>9.06</v>
      </c>
      <c r="BY71" s="9" t="n">
        <v>2.59</v>
      </c>
      <c r="BZ71" s="9" t="n">
        <v>28.57</v>
      </c>
      <c r="CA71" s="9" t="n">
        <v>2.56</v>
      </c>
      <c r="CB71" s="9" t="n">
        <v>6.21</v>
      </c>
      <c r="CC71" s="33">
        <f>PERCENTRANK(CD$2:INDEX($CD:$CD,LOOKUP(2,1/(ISNUMBER($A$2:$A$1048576)),ROW($A$2:$A$1048576))),CD71)</f>
        <v/>
      </c>
      <c r="CD71" s="40">
        <f>sum(CB71-CB$106)/CB$107</f>
        <v/>
      </c>
      <c r="CE71" s="9" t="n">
        <v>19.53</v>
      </c>
      <c r="CF71" s="33">
        <f>PERCENTRANK(CE$2:INDEX($CE:$CE,LOOKUP(2,1/(ISNUMBER($A$2:$A$1048576)),ROW($A$2:$A$1048576))),CE71)</f>
        <v/>
      </c>
      <c r="CG71" s="38">
        <f>sum(CE71-CE$106)/CE$107</f>
        <v/>
      </c>
      <c r="CH71" s="9" t="n">
        <v>3.85</v>
      </c>
      <c r="CI71" s="9" t="n">
        <v>5.12</v>
      </c>
      <c r="CJ71" s="9" t="n">
        <v>13.62</v>
      </c>
      <c r="CK71" s="33">
        <f>PERCENTRANK(CJ$2:INDEX($CJ:$CJ,LOOKUP(2,1/(ISNUMBER($A$2:$A$1048576)),ROW($A$2:$A$1048576))),CJ71)</f>
        <v/>
      </c>
      <c r="CL71" s="38">
        <f>sum(CJ71-CJ$106)/CJ$107</f>
        <v/>
      </c>
      <c r="CM71" s="9" t="n">
        <v>73.65000000000001</v>
      </c>
      <c r="CN71" s="9" t="n">
        <v>29.03</v>
      </c>
      <c r="CO71" s="9" t="n">
        <v>39.42</v>
      </c>
      <c r="CP71" s="9" t="n">
        <v>1.82</v>
      </c>
      <c r="CQ71" s="9" t="n">
        <v>2.18</v>
      </c>
      <c r="CR71" s="9" t="n">
        <v>14.29</v>
      </c>
      <c r="CS71" s="33">
        <f>PERCENTRANK(CR$2:INDEX($CR:$CR,LOOKUP(2,1/(ISNUMBER($A$2:$A$1048576)),ROW($A$2:$A$1048576))),CR71)</f>
        <v/>
      </c>
      <c r="CT71" s="39">
        <f>1-(CR71-CR$106)/CR$107</f>
        <v/>
      </c>
      <c r="CU71" s="9" t="n">
        <v>6.09</v>
      </c>
      <c r="CV71" s="33">
        <f>PERCENTRANK(CU$2:INDEX($CU:$CU,LOOKUP(2,1/(ISNUMBER($A$2:$A$1048576)),ROW($A$2:$A$1048576))),CU71)</f>
        <v/>
      </c>
      <c r="CW71" s="39">
        <f>1-(CU71-CU$106)/CU$107</f>
        <v/>
      </c>
      <c r="CX71" s="9" t="n">
        <v>42.59</v>
      </c>
      <c r="CY71" s="9" t="n">
        <v>72.88</v>
      </c>
      <c r="CZ71" s="9" t="n">
        <v>43.47</v>
      </c>
      <c r="DA71" s="9" t="n">
        <v>59.64</v>
      </c>
      <c r="DB71" s="9" t="n">
        <v>28.82</v>
      </c>
      <c r="DC71" s="9" t="n">
        <v>13.5</v>
      </c>
      <c r="DD71" s="9" t="n">
        <v>46.84</v>
      </c>
      <c r="DE71" s="9" t="n">
        <v>4.18</v>
      </c>
      <c r="DF71" s="9" t="n">
        <v>1.85</v>
      </c>
      <c r="DG71" s="9" t="n">
        <v>44.37</v>
      </c>
      <c r="DH71" s="9" t="n">
        <v>44.74</v>
      </c>
      <c r="DI71" s="33">
        <f>PERCENTRANK(DH$2:INDEX($DH:$DH,LOOKUP(2,1/(ISNUMBER($A$2:$A$1048576)),ROW($A$2:$A$1048576))),DH71)</f>
        <v/>
      </c>
      <c r="DJ71" s="39">
        <f>SUM(DH71-DH$106)/DH$107</f>
        <v/>
      </c>
      <c r="DK71" s="9" t="n">
        <v>17.09</v>
      </c>
      <c r="DL71" s="9" t="n">
        <v>12.09</v>
      </c>
      <c r="DM71" s="9" t="n">
        <v>2.47</v>
      </c>
      <c r="DN71" s="9" t="n">
        <v>0.15</v>
      </c>
      <c r="DO71" s="9" t="n">
        <v>146.47</v>
      </c>
      <c r="DP71" s="9" t="n">
        <v>105.38</v>
      </c>
      <c r="DQ71" s="33">
        <f>PERCENTRANK(DP$2:INDEX($DP:$DP,LOOKUP(2,1/(ISNUMBER($A$2:$A$1048576)),ROW($A$2:$A$1048576))),DP71)</f>
        <v/>
      </c>
      <c r="DR71" s="40">
        <f>sum(DP71-DP$106)/DP$107</f>
        <v/>
      </c>
      <c r="DS71" s="9" t="n">
        <v>71.95</v>
      </c>
      <c r="DT71" s="9" t="n">
        <v>68.68000000000001</v>
      </c>
      <c r="DU71" s="9" t="n">
        <v>64.29000000000001</v>
      </c>
      <c r="DV71" s="9" t="n">
        <v>93.62</v>
      </c>
      <c r="DW71" s="9" t="n">
        <v>160.18</v>
      </c>
      <c r="DX71" s="9" t="n">
        <v>143.35</v>
      </c>
      <c r="DY71" s="9" t="n">
        <v>89.5</v>
      </c>
      <c r="DZ71" s="9" t="n">
        <v>51.24</v>
      </c>
      <c r="EA71" s="9" t="n">
        <v>27.88</v>
      </c>
      <c r="EB71" s="9" t="n">
        <v>54.42</v>
      </c>
      <c r="EC71" s="9" t="n">
        <v>51.65</v>
      </c>
      <c r="ED71" s="9" t="n">
        <v>33.71</v>
      </c>
      <c r="EE71" s="33">
        <f>PERCENTRANK(ED$2:INDEX($ED:$ED,LOOKUP(2,1/(ISNUMBER($A$2:$A$1048576)),ROW($A$2:$A$1048576))),ED71)</f>
        <v/>
      </c>
      <c r="EF71" s="40">
        <f>sum(ED71-ED$106)/ED$107</f>
        <v/>
      </c>
      <c r="EG71" s="9" t="n">
        <v>65.26000000000001</v>
      </c>
      <c r="EH71" s="9" t="n">
        <v>73.97</v>
      </c>
      <c r="EI71" s="9" t="n">
        <v>50.12</v>
      </c>
      <c r="EJ71" s="33">
        <f>PERCENTRANK(EI$2:INDEX($EI:$EI,LOOKUP(2,1/(ISNUMBER($A$2:$A$1048576)),ROW($A$2:$A$1048576))),EI71)</f>
        <v/>
      </c>
      <c r="EK71" s="40">
        <f>sum(EI71-EI$106)/EI$107</f>
        <v/>
      </c>
      <c r="EL71" s="9" t="n">
        <v>67.75</v>
      </c>
      <c r="EM71" s="9" t="n">
        <v>5.91</v>
      </c>
      <c r="EN71" s="9" t="n">
        <v>2.32</v>
      </c>
      <c r="EO71" s="9" t="n">
        <v>39.3</v>
      </c>
      <c r="EP71" s="9" t="n">
        <v>18.62</v>
      </c>
      <c r="EQ71" s="9" t="n">
        <v>16.91</v>
      </c>
      <c r="ER71" s="9" t="n">
        <v>90.84</v>
      </c>
      <c r="ES71" s="9" t="n">
        <v>9.09</v>
      </c>
      <c r="ET71" s="9" t="n">
        <v>16.21</v>
      </c>
      <c r="EU71" s="9" t="n">
        <v>4.09</v>
      </c>
      <c r="EV71" s="9" t="n">
        <v>12.18</v>
      </c>
      <c r="EW71" s="9" t="n">
        <v>18.09</v>
      </c>
      <c r="EX71" s="33">
        <f>PERCENTRANK(EW$2:INDEX($EW:$EW,LOOKUP(2,1/(ISNUMBER($A$2:$A$1048576)),ROW($A$2:$A$1048576))),EW71)</f>
        <v/>
      </c>
      <c r="EY71" s="38">
        <f>1-(EW71-EW$106)/EW$107</f>
        <v/>
      </c>
      <c r="EZ71" s="9" t="n">
        <v>20.08</v>
      </c>
      <c r="FA71" s="9" t="n">
        <v>12.33</v>
      </c>
      <c r="FB71" s="33">
        <f>PERCENTRANK(FA$2:INDEX($FA:$FA,LOOKUP(2,1/(ISNUMBER($A$2:$A$1048576)),ROW($A$2:$A$1048576))),FA71)</f>
        <v/>
      </c>
      <c r="FC71" s="39">
        <f>1-(FA71-FA$106)/FA$107</f>
        <v/>
      </c>
      <c r="FD71" s="9" t="n">
        <v>2.18</v>
      </c>
      <c r="FE71" s="9" t="n">
        <v>1.94</v>
      </c>
      <c r="FF71" s="33">
        <f>PERCENTRANK(FE$2:INDEX($FE:$FE,LOOKUP(2,1/(ISNUMBER($A$2:$A$1048576)),ROW($A$2:$A$1048576))),FE71)</f>
        <v/>
      </c>
      <c r="FG71" s="39">
        <f>1-(FE71-FE$106)/FE$107</f>
        <v/>
      </c>
      <c r="FH71" s="9" t="n">
        <v>14.29</v>
      </c>
      <c r="FI71" s="9" t="n">
        <v>5.85</v>
      </c>
      <c r="FJ71" s="9" t="n">
        <v>40.95</v>
      </c>
      <c r="FK71" s="9" t="n">
        <v>427.21</v>
      </c>
      <c r="FL71" s="33">
        <f>PERCENTRANK(FK$2:INDEX($FK:$FK,LOOKUP(2,1/(ISNUMBER($A$2:$A$1048576)),ROW($A$2:$A$1048576))),FK71)</f>
        <v/>
      </c>
      <c r="FM71" s="39">
        <f>SWA70-(FK71-FK$106)/FK$107</f>
        <v/>
      </c>
      <c r="FN71" s="9" t="n">
        <v>353.44</v>
      </c>
      <c r="FO71" s="9" t="n">
        <v>82.73</v>
      </c>
      <c r="FP71" s="9" t="n">
        <v>49.22</v>
      </c>
      <c r="FQ71" s="9" t="n">
        <v>101.21</v>
      </c>
      <c r="FR71" s="9" t="n">
        <v>14.94</v>
      </c>
      <c r="FS71" s="9" t="n">
        <v>32.32</v>
      </c>
      <c r="FT71" s="9" t="n">
        <v>53.94</v>
      </c>
      <c r="FU71" s="9" t="n">
        <v>80.56</v>
      </c>
      <c r="FV71" s="9" t="n">
        <v>32.91</v>
      </c>
      <c r="FW71" s="9" t="n">
        <v>33.38</v>
      </c>
      <c r="FX71" s="9" t="n">
        <v>14.26</v>
      </c>
      <c r="FY71" s="9" t="n">
        <v>204.76</v>
      </c>
      <c r="FZ71" s="9" t="n">
        <v>100.41</v>
      </c>
      <c r="GA71" s="9" t="n">
        <v>49.04</v>
      </c>
      <c r="GB71" s="9" t="n">
        <v>5.21</v>
      </c>
      <c r="GC71" s="9" t="n">
        <v>1.44</v>
      </c>
      <c r="GD71" s="9" t="n">
        <v>27.68</v>
      </c>
      <c r="GE71" s="9" t="n">
        <v>35.82</v>
      </c>
      <c r="GF71" s="9" t="n">
        <v>9.26</v>
      </c>
      <c r="GG71" s="9" t="n">
        <v>25.86</v>
      </c>
      <c r="GH71" s="9" t="n">
        <v>2</v>
      </c>
      <c r="GI71" s="9" t="n">
        <v>0.88</v>
      </c>
      <c r="GJ71" s="9" t="n">
        <v>44.12</v>
      </c>
      <c r="GK71" s="9" t="n">
        <v>24.26</v>
      </c>
      <c r="GL71" s="9" t="n">
        <v>3.35</v>
      </c>
      <c r="GM71" s="9" t="n">
        <v>13.82</v>
      </c>
      <c r="GN71" s="9" t="n">
        <v>5.09</v>
      </c>
      <c r="GO71" s="9" t="n">
        <v>1.71</v>
      </c>
      <c r="GP71" s="9" t="n">
        <v>33.53</v>
      </c>
      <c r="GQ71" s="9" t="n">
        <v>2.71</v>
      </c>
      <c r="GR71" s="9" t="n">
        <v>0.76</v>
      </c>
      <c r="GS71" s="9" t="n">
        <v>28.26</v>
      </c>
      <c r="GT71" s="9" t="n">
        <v>0.35</v>
      </c>
      <c r="GU71" s="9" t="n">
        <v>0.26</v>
      </c>
      <c r="GV71" s="9" t="n">
        <v>75</v>
      </c>
      <c r="GW71" s="9" t="n">
        <v>17.03</v>
      </c>
      <c r="GX71" s="9" t="n">
        <v>6.47</v>
      </c>
      <c r="GY71" s="9" t="n">
        <v>38</v>
      </c>
      <c r="GZ71" s="9" t="n">
        <v>5.85</v>
      </c>
      <c r="HA71" s="9" t="n">
        <v>8.880000000000001</v>
      </c>
      <c r="HB71" s="9" t="n">
        <v>28</v>
      </c>
      <c r="HC71" s="9" t="n">
        <v>6.32</v>
      </c>
      <c r="HD71" s="9" t="n">
        <v>8.970000000000001</v>
      </c>
      <c r="HE71" s="9" t="n">
        <v>22.97</v>
      </c>
      <c r="HF71" s="9" t="n">
        <v>72.88</v>
      </c>
      <c r="HG71" s="9" t="n">
        <v>29.41</v>
      </c>
      <c r="HH71" s="9" t="n">
        <v>40.36</v>
      </c>
      <c r="HI71" s="9" t="n">
        <v>2.26</v>
      </c>
      <c r="HJ71" s="9" t="n">
        <v>1.06</v>
      </c>
      <c r="HK71" s="9" t="n">
        <v>10.18</v>
      </c>
      <c r="HL71" s="9" t="n">
        <v>4.18</v>
      </c>
      <c r="HM71" s="9" t="n">
        <v>41.04</v>
      </c>
      <c r="HN71" s="9" t="n">
        <v>73.65000000000001</v>
      </c>
      <c r="HO71" s="9" t="n">
        <v>44.62</v>
      </c>
      <c r="HP71" s="9" t="n">
        <v>60.58</v>
      </c>
      <c r="HQ71" s="9" t="n">
        <v>28.82</v>
      </c>
      <c r="HR71" s="9" t="n">
        <v>13.41</v>
      </c>
      <c r="HS71" s="9" t="n">
        <v>46.53</v>
      </c>
      <c r="HT71" s="9" t="n">
        <v>3.82</v>
      </c>
      <c r="HU71" s="9" t="n">
        <v>1.65</v>
      </c>
      <c r="HV71" s="9" t="n">
        <v>43.08</v>
      </c>
      <c r="HW71" s="9" t="n">
        <v>36.59</v>
      </c>
      <c r="HX71" s="9" t="n">
        <v>11.41</v>
      </c>
      <c r="HY71" s="9" t="n">
        <v>12.71</v>
      </c>
      <c r="HZ71" s="9" t="n">
        <v>2.18</v>
      </c>
      <c r="IA71" s="9" t="n">
        <v>0.15</v>
      </c>
      <c r="IB71" s="9" t="n">
        <v>145.12</v>
      </c>
      <c r="IC71" s="9" t="n">
        <v>106.88</v>
      </c>
      <c r="ID71" s="9" t="n">
        <v>73.65000000000001</v>
      </c>
      <c r="IE71" s="9" t="n">
        <v>64.29000000000001</v>
      </c>
      <c r="IF71" s="9" t="n">
        <v>59.47</v>
      </c>
      <c r="IG71" s="9" t="n">
        <v>92.5</v>
      </c>
      <c r="IH71" s="9" t="n">
        <v>156.09</v>
      </c>
      <c r="II71" s="9" t="n">
        <v>138.06</v>
      </c>
      <c r="IJ71" s="9" t="n">
        <v>88.45</v>
      </c>
      <c r="IK71" s="9" t="n">
        <v>46.15</v>
      </c>
      <c r="IL71" s="9" t="n">
        <v>24.76</v>
      </c>
      <c r="IM71" s="9" t="n">
        <v>53.66</v>
      </c>
      <c r="IN71" s="9" t="n">
        <v>59.41</v>
      </c>
      <c r="IO71" s="9" t="n">
        <v>40.85</v>
      </c>
      <c r="IP71" s="9" t="n">
        <v>68.76000000000001</v>
      </c>
      <c r="IQ71" s="9" t="n">
        <v>76.18000000000001</v>
      </c>
      <c r="IR71" s="9" t="n">
        <v>58.91</v>
      </c>
      <c r="IS71" s="9" t="n">
        <v>77.34</v>
      </c>
      <c r="IT71" s="33">
        <f>PERCENTRANK(IS$2:INDEX($IS:$IS,LOOKUP(2,1/(ISNUMBER($A$2:$A$1048576)),ROW($A$2:$A$1048576))),IS71)</f>
        <v/>
      </c>
      <c r="IU71" s="39">
        <f>1-(IS71-IS$106)/IS$107</f>
        <v/>
      </c>
      <c r="IV71" s="9" t="n">
        <v>4.44</v>
      </c>
      <c r="IW71" s="9" t="n">
        <v>1.74</v>
      </c>
      <c r="IX71" s="9" t="n">
        <v>39.07</v>
      </c>
      <c r="IY71" s="9" t="n">
        <v>24.15</v>
      </c>
      <c r="IZ71" s="9" t="n">
        <v>21.97</v>
      </c>
      <c r="JA71" s="9" t="n">
        <v>90.98999999999999</v>
      </c>
      <c r="JB71" s="9" t="n">
        <v>6.76</v>
      </c>
      <c r="JC71" s="9" t="n">
        <v>16.46</v>
      </c>
      <c r="JD71" s="9" t="n">
        <v>3.9</v>
      </c>
      <c r="JE71" s="9" t="n">
        <v>11.16</v>
      </c>
      <c r="JF71" s="9" t="n">
        <v>17.44</v>
      </c>
      <c r="JG71" s="9" t="n">
        <v>19.93</v>
      </c>
      <c r="JH71" s="9" t="n">
        <v>10.6</v>
      </c>
    </row>
    <row r="72">
      <c r="A72" s="12" t="n">
        <v>2025</v>
      </c>
      <c r="B72" s="31" t="inlineStr">
        <is>
          <t>Colorado Springs</t>
        </is>
      </c>
      <c r="C72" s="12" t="n">
        <v>37</v>
      </c>
      <c r="D72" s="5">
        <f>(C72-AVERAGE($C$2:INDEX($C:$C,LOOKUP(2,1/(ISNUMBER($A$2:$A$1048576)),ROW($A$2:$A$1048576)))))/_xlfn.STDEV.P($C$2:INDEX($C:$C,LOOKUP(2,1/(ISNUMBER($A$2:$A$1048576)),ROW($A$2:$A$1048576))))</f>
        <v/>
      </c>
      <c r="E72" s="12" t="n">
        <v>8</v>
      </c>
      <c r="F72" s="6">
        <f>-E72</f>
        <v/>
      </c>
      <c r="G72" s="7">
        <f>(F72-AVERAGE($F$2:INDEX($F:$F,LOOKUP(2,1/(ISNUMBER($A$2:$A$1048576)),ROW($A$2:$A$1048576)))))/_xlfn.STDEV.P($F$2:INDEX($F:$F,LOOKUP(2,1/(ISNUMBER($A$2:$A$1048576)),ROW($A$2:$A$1048576))))</f>
        <v/>
      </c>
      <c r="H72" s="32">
        <f>sum(0.5*D72)+(0.5*G72)</f>
        <v/>
      </c>
      <c r="I72" s="12" t="inlineStr">
        <is>
          <t>West</t>
        </is>
      </c>
      <c r="J72" s="10">
        <f>sum(L72*L$105)+(N72*N$105)+(P72*P$105)+(T72*R$105)</f>
        <v/>
      </c>
      <c r="K72" s="33">
        <f>PERCENTRANK(J$2:INDEX($J:$J,LOOKUP(2,1/(ISNUMBER($A$2:$A$1048576)),ROW($A$2:$A$1048576))),J72)</f>
        <v/>
      </c>
      <c r="L72" s="10">
        <f>sum(AA72*0.66)+(AD72*0.55)+(AG72*0.59)+(CG72*0.51)+(CL72*0.6)+(EY72*0.31)</f>
        <v/>
      </c>
      <c r="M72" s="33">
        <f>PERCENTRANK(L$2:INDEX($L:$L,LOOKUP(2,1/(ISNUMBER($A$2:$A$1048576)),ROW($A$2:$A$1048576))),L72)</f>
        <v/>
      </c>
      <c r="N72" s="10">
        <f>sum(CT72*0.57)+(CW72*0.71)+(DJ72*0.08)+(FC72*0.33)+(FG72*0.69)+(FM72*0.26)+(IU72*0.54)+(AU72*0.4)</f>
        <v/>
      </c>
      <c r="O72" s="33">
        <f>PERCENTRANK(N$2:INDEX($N:$N,LOOKUP(2,1/(ISNUMBER($A$2:$A$1048576)),ROW($A$2:$A$1048576))),N72)</f>
        <v/>
      </c>
      <c r="P72" s="10">
        <f>sum(BG72*0.51)+(CD72*0.51)+(DR72*0.11)+(EF72*0.42)+(EK72*0.44)+(W72*0.6)</f>
        <v/>
      </c>
      <c r="Q72" s="33">
        <f>PERCENTRANK(P$2:INDEX($P:$P,LOOKUP(2,1/(ISNUMBER($A$2:$A$1048576)),ROW($A$2:$A$1048576))),P72)</f>
        <v/>
      </c>
      <c r="R72" s="10">
        <f>sum(Y72-FE72)</f>
        <v/>
      </c>
      <c r="S72" s="33">
        <f>PERCENTRANK(R$2:INDEX($R:$R,LOOKUP(2,1/(ISNUMBER($A$2:$A$1048576)),ROW($A$2:$A$1048576))),R72)</f>
        <v/>
      </c>
      <c r="T72" s="34">
        <f>sum(R72-R$106)/R$107</f>
        <v/>
      </c>
      <c r="U72" s="35">
        <f>sum(Y72/AI72)*100</f>
        <v/>
      </c>
      <c r="V72" s="33">
        <f>PERCENTRANK(U$2:INDEX($U:$U,LOOKUP(2,1/(ISNUMBER($A$2:$A$1048576)),ROW($A$2:$A$1048576))),U72)</f>
        <v/>
      </c>
      <c r="W72" s="36">
        <f>sum(U72-U$106)/U$107</f>
        <v/>
      </c>
      <c r="X72" s="9" t="n">
        <v>1.17</v>
      </c>
      <c r="Y72" s="9" t="n">
        <v>1.24</v>
      </c>
      <c r="Z72" s="33">
        <f>PERCENTRANK(Y$2:INDEX($Y:$Y,LOOKUP(2,1/(ISNUMBER($A$2:$A$1048576)),ROW($A$2:$A$1048576))),Y72)</f>
        <v/>
      </c>
      <c r="AA72" s="37">
        <f>sum(Y72-Y$106)/Y$107</f>
        <v/>
      </c>
      <c r="AB72" s="9" t="n">
        <v>11.43</v>
      </c>
      <c r="AC72" s="33">
        <f>PERCENTRANK(AB$2:INDEX($AB:$AB,LOOKUP(2,1/(ISNUMBER($A$2:$A$1048576)),ROW($A$2:$A$1048576))),AB72)</f>
        <v/>
      </c>
      <c r="AD72" s="38">
        <f>sum(AB72-AB$106)/AB$107</f>
        <v/>
      </c>
      <c r="AE72" s="9" t="n">
        <v>3.47</v>
      </c>
      <c r="AF72" s="33">
        <f>PERCENTRANK(AE$2:INDEX($AE:$AE,LOOKUP(2,1/(ISNUMBER($A$2:$A$1048576)),ROW($A$2:$A$1048576))),AE72)</f>
        <v/>
      </c>
      <c r="AG72" s="38">
        <f>sum(AE72-AE$106)/AE$107</f>
        <v/>
      </c>
      <c r="AH72" s="9" t="n">
        <v>30.32</v>
      </c>
      <c r="AI72" s="9" t="n">
        <v>375.77</v>
      </c>
      <c r="AJ72" s="9" t="n">
        <v>308.73</v>
      </c>
      <c r="AK72" s="9" t="n">
        <v>82.16</v>
      </c>
      <c r="AL72" s="9" t="n">
        <v>51.61</v>
      </c>
      <c r="AM72" s="9" t="n">
        <v>98.93000000000001</v>
      </c>
      <c r="AN72" s="9" t="n">
        <v>18</v>
      </c>
      <c r="AO72" s="9" t="n">
        <v>32.07</v>
      </c>
      <c r="AP72" s="9" t="n">
        <v>48.87</v>
      </c>
      <c r="AQ72" s="9" t="n">
        <v>69.90000000000001</v>
      </c>
      <c r="AR72" s="9" t="n">
        <v>31.6</v>
      </c>
      <c r="AS72" s="9" t="n">
        <v>26.37</v>
      </c>
      <c r="AT72" s="33">
        <f>PERCENTRANK(AS$2:INDEX($AS:$AS,LOOKUP(2,1/(ISNUMBER($A$2:$A$1048576)),ROW($A$2:$A$1048576))),AS72)</f>
        <v/>
      </c>
      <c r="AU72" s="39">
        <f>SUM(AS72-AS$106)/AS$107</f>
        <v/>
      </c>
      <c r="AV72" s="9" t="n">
        <v>11.93</v>
      </c>
      <c r="AW72" s="33">
        <f>PERCENTRANK(AV$2:INDEX($AV:$AV,LOOKUP(2,1/(ISNUMBER($A$2:$A$1048576)),ROW($A$2:$A$1048576))),AV72)</f>
        <v/>
      </c>
      <c r="AX72" s="9" t="n">
        <v>169.8</v>
      </c>
      <c r="AY72" s="9" t="n">
        <v>77.53</v>
      </c>
      <c r="AZ72" s="9" t="n">
        <v>45.66</v>
      </c>
      <c r="BA72" s="9" t="n">
        <v>4.87</v>
      </c>
      <c r="BB72" s="9" t="n">
        <v>1.13</v>
      </c>
      <c r="BC72" s="9" t="n">
        <v>23.29</v>
      </c>
      <c r="BD72" s="9" t="n">
        <v>27.7</v>
      </c>
      <c r="BE72" s="9" t="n">
        <v>6.6</v>
      </c>
      <c r="BF72" s="33">
        <f>PERCENTRANK(BE$2:INDEX($BE:$BE,LOOKUP(2,1/(ISNUMBER($A$2:$A$1048576)),ROW($A$2:$A$1048576))),BE72)</f>
        <v/>
      </c>
      <c r="BG72" s="40">
        <f>sum(BE72-BE$106)/BE$107</f>
        <v/>
      </c>
      <c r="BH72" s="9" t="n">
        <v>23.83</v>
      </c>
      <c r="BI72" s="9" t="n">
        <v>0.37</v>
      </c>
      <c r="BJ72" s="9" t="n">
        <v>0.27</v>
      </c>
      <c r="BK72" s="9" t="n">
        <v>72.73</v>
      </c>
      <c r="BL72" s="9" t="n">
        <v>28.43</v>
      </c>
      <c r="BM72" s="9" t="n">
        <v>3.77</v>
      </c>
      <c r="BN72" s="9" t="n">
        <v>13.25</v>
      </c>
      <c r="BO72" s="9" t="n">
        <v>5.27</v>
      </c>
      <c r="BP72" s="9" t="n">
        <v>1.67</v>
      </c>
      <c r="BQ72" s="9" t="n">
        <v>31.65</v>
      </c>
      <c r="BR72" s="9" t="n">
        <v>2.8</v>
      </c>
      <c r="BS72" s="9" t="n">
        <v>0.87</v>
      </c>
      <c r="BT72" s="9" t="n">
        <v>30.95</v>
      </c>
      <c r="BU72" s="9" t="n">
        <v>0.13</v>
      </c>
      <c r="BV72" s="9" t="n">
        <v>0.1</v>
      </c>
      <c r="BW72" s="9" t="n">
        <v>75</v>
      </c>
      <c r="BX72" s="9" t="n">
        <v>13.47</v>
      </c>
      <c r="BY72" s="9" t="n">
        <v>4.23</v>
      </c>
      <c r="BZ72" s="9" t="n">
        <v>31.44</v>
      </c>
      <c r="CA72" s="9" t="n">
        <v>4.23</v>
      </c>
      <c r="CB72" s="9" t="n">
        <v>5.37</v>
      </c>
      <c r="CC72" s="33">
        <f>PERCENTRANK(CD$2:INDEX($CD:$CD,LOOKUP(2,1/(ISNUMBER($A$2:$A$1048576)),ROW($A$2:$A$1048576))),CD72)</f>
        <v/>
      </c>
      <c r="CD72" s="40">
        <f>sum(CB72-CB$106)/CB$107</f>
        <v/>
      </c>
      <c r="CE72" s="9" t="n">
        <v>21.8</v>
      </c>
      <c r="CF72" s="33">
        <f>PERCENTRANK(CE$2:INDEX($CE:$CE,LOOKUP(2,1/(ISNUMBER($A$2:$A$1048576)),ROW($A$2:$A$1048576))),CE72)</f>
        <v/>
      </c>
      <c r="CG72" s="38">
        <f>sum(CE72-CE$106)/CE$107</f>
        <v/>
      </c>
      <c r="CH72" s="9" t="n">
        <v>4.33</v>
      </c>
      <c r="CI72" s="9" t="n">
        <v>8.23</v>
      </c>
      <c r="CJ72" s="9" t="n">
        <v>15.3</v>
      </c>
      <c r="CK72" s="33">
        <f>PERCENTRANK(CJ$2:INDEX($CJ:$CJ,LOOKUP(2,1/(ISNUMBER($A$2:$A$1048576)),ROW($A$2:$A$1048576))),CJ72)</f>
        <v/>
      </c>
      <c r="CL72" s="38">
        <f>sum(CJ72-CJ$106)/CJ$107</f>
        <v/>
      </c>
      <c r="CM72" s="9" t="n">
        <v>60.73</v>
      </c>
      <c r="CN72" s="9" t="n">
        <v>24.9</v>
      </c>
      <c r="CO72" s="9" t="n">
        <v>41</v>
      </c>
      <c r="CP72" s="9" t="n">
        <v>1.37</v>
      </c>
      <c r="CQ72" s="9" t="n">
        <v>1.43</v>
      </c>
      <c r="CR72" s="9" t="n">
        <v>10.37</v>
      </c>
      <c r="CS72" s="33">
        <f>PERCENTRANK(CR$2:INDEX($CR:$CR,LOOKUP(2,1/(ISNUMBER($A$2:$A$1048576)),ROW($A$2:$A$1048576))),CR72)</f>
        <v/>
      </c>
      <c r="CT72" s="39">
        <f>1-(CR72-CR$106)/CR$107</f>
        <v/>
      </c>
      <c r="CU72" s="9" t="n">
        <v>3.6</v>
      </c>
      <c r="CV72" s="33">
        <f>PERCENTRANK(CU$2:INDEX($CU:$CU,LOOKUP(2,1/(ISNUMBER($A$2:$A$1048576)),ROW($A$2:$A$1048576))),CU72)</f>
        <v/>
      </c>
      <c r="CW72" s="39">
        <f>1-(CU72-CU$106)/CU$107</f>
        <v/>
      </c>
      <c r="CX72" s="9" t="n">
        <v>34.73</v>
      </c>
      <c r="CY72" s="9" t="n">
        <v>52.5</v>
      </c>
      <c r="CZ72" s="9" t="n">
        <v>30.27</v>
      </c>
      <c r="DA72" s="9" t="n">
        <v>57.65</v>
      </c>
      <c r="DB72" s="9" t="n">
        <v>35.27</v>
      </c>
      <c r="DC72" s="9" t="n">
        <v>13.77</v>
      </c>
      <c r="DD72" s="9" t="n">
        <v>39.04</v>
      </c>
      <c r="DE72" s="9" t="n">
        <v>2.4</v>
      </c>
      <c r="DF72" s="9" t="n">
        <v>0.93</v>
      </c>
      <c r="DG72" s="9" t="n">
        <v>38.89</v>
      </c>
      <c r="DH72" s="9" t="n">
        <v>33.87</v>
      </c>
      <c r="DI72" s="33">
        <f>PERCENTRANK(DH$2:INDEX($DH:$DH,LOOKUP(2,1/(ISNUMBER($A$2:$A$1048576)),ROW($A$2:$A$1048576))),DH72)</f>
        <v/>
      </c>
      <c r="DJ72" s="39">
        <f>SUM(DH72-DH$106)/DH$107</f>
        <v/>
      </c>
      <c r="DK72" s="9" t="n">
        <v>13.43</v>
      </c>
      <c r="DL72" s="9" t="n">
        <v>13.1</v>
      </c>
      <c r="DM72" s="9" t="n">
        <v>2.2</v>
      </c>
      <c r="DN72" s="9" t="n">
        <v>0.17</v>
      </c>
      <c r="DO72" s="9" t="n">
        <v>129.53</v>
      </c>
      <c r="DP72" s="9" t="n">
        <v>91.13</v>
      </c>
      <c r="DQ72" s="33">
        <f>PERCENTRANK(DP$2:INDEX($DP:$DP,LOOKUP(2,1/(ISNUMBER($A$2:$A$1048576)),ROW($A$2:$A$1048576))),DP72)</f>
        <v/>
      </c>
      <c r="DR72" s="40">
        <f>sum(DP72-DP$106)/DP$107</f>
        <v/>
      </c>
      <c r="DS72" s="9" t="n">
        <v>70.36</v>
      </c>
      <c r="DT72" s="9" t="n">
        <v>57.83</v>
      </c>
      <c r="DU72" s="9" t="n">
        <v>54.13</v>
      </c>
      <c r="DV72" s="9" t="n">
        <v>93.59999999999999</v>
      </c>
      <c r="DW72" s="9" t="n">
        <v>139.87</v>
      </c>
      <c r="DX72" s="9" t="n">
        <v>124.9</v>
      </c>
      <c r="DY72" s="9" t="n">
        <v>89.3</v>
      </c>
      <c r="DZ72" s="9" t="n">
        <v>45.83</v>
      </c>
      <c r="EA72" s="9" t="n">
        <v>23.23</v>
      </c>
      <c r="EB72" s="9" t="n">
        <v>50.69</v>
      </c>
      <c r="EC72" s="9" t="n">
        <v>52.23</v>
      </c>
      <c r="ED72" s="9" t="n">
        <v>33.43</v>
      </c>
      <c r="EE72" s="33">
        <f>PERCENTRANK(ED$2:INDEX($ED:$ED,LOOKUP(2,1/(ISNUMBER($A$2:$A$1048576)),ROW($A$2:$A$1048576))),ED72)</f>
        <v/>
      </c>
      <c r="EF72" s="40">
        <f>sum(ED72-ED$106)/ED$107</f>
        <v/>
      </c>
      <c r="EG72" s="9" t="n">
        <v>64.01000000000001</v>
      </c>
      <c r="EH72" s="9" t="n">
        <v>63.7</v>
      </c>
      <c r="EI72" s="9" t="n">
        <v>45.77</v>
      </c>
      <c r="EJ72" s="33">
        <f>PERCENTRANK(EI$2:INDEX($EI:$EI,LOOKUP(2,1/(ISNUMBER($A$2:$A$1048576)),ROW($A$2:$A$1048576))),EI72)</f>
        <v/>
      </c>
      <c r="EK72" s="40">
        <f>sum(EI72-EI$106)/EI$107</f>
        <v/>
      </c>
      <c r="EL72" s="9" t="n">
        <v>71.84999999999999</v>
      </c>
      <c r="EM72" s="9" t="n">
        <v>0.47</v>
      </c>
      <c r="EN72" s="9" t="n">
        <v>0.2</v>
      </c>
      <c r="EO72" s="9" t="n">
        <v>42.86</v>
      </c>
      <c r="EP72" s="9" t="n">
        <v>21.5</v>
      </c>
      <c r="EQ72" s="9" t="n">
        <v>19.43</v>
      </c>
      <c r="ER72" s="9" t="n">
        <v>90.39</v>
      </c>
      <c r="ES72" s="9" t="n">
        <v>7.9</v>
      </c>
      <c r="ET72" s="9" t="n">
        <v>15.17</v>
      </c>
      <c r="EU72" s="9" t="n">
        <v>3.73</v>
      </c>
      <c r="EV72" s="9" t="n">
        <v>12.56</v>
      </c>
      <c r="EW72" s="9" t="n">
        <v>18.79</v>
      </c>
      <c r="EX72" s="33">
        <f>PERCENTRANK(EW$2:INDEX($EW:$EW,LOOKUP(2,1/(ISNUMBER($A$2:$A$1048576)),ROW($A$2:$A$1048576))),EW72)</f>
        <v/>
      </c>
      <c r="EY72" s="38">
        <f>1-(EW72-EW$106)/EW$107</f>
        <v/>
      </c>
      <c r="EZ72" s="9" t="n">
        <v>20.89</v>
      </c>
      <c r="FA72" s="9" t="n">
        <v>11.26</v>
      </c>
      <c r="FB72" s="33">
        <f>PERCENTRANK(FA$2:INDEX($FA:$FA,LOOKUP(2,1/(ISNUMBER($A$2:$A$1048576)),ROW($A$2:$A$1048576))),FA72)</f>
        <v/>
      </c>
      <c r="FC72" s="39">
        <f>1-(FA72-FA$106)/FA$107</f>
        <v/>
      </c>
      <c r="FD72" s="9" t="n">
        <v>1.43</v>
      </c>
      <c r="FE72" s="9" t="n">
        <v>1.2</v>
      </c>
      <c r="FF72" s="33">
        <f>PERCENTRANK(FE$2:INDEX($FE:$FE,LOOKUP(2,1/(ISNUMBER($A$2:$A$1048576)),ROW($A$2:$A$1048576))),FE72)</f>
        <v/>
      </c>
      <c r="FG72" s="39">
        <f>1-(FE72-FE$106)/FE$107</f>
        <v/>
      </c>
      <c r="FH72" s="9" t="n">
        <v>10.37</v>
      </c>
      <c r="FI72" s="9" t="n">
        <v>3.43</v>
      </c>
      <c r="FJ72" s="9" t="n">
        <v>33.12</v>
      </c>
      <c r="FK72" s="9" t="n">
        <v>358.5</v>
      </c>
      <c r="FL72" s="33">
        <f>PERCENTRANK(FK$2:INDEX($FK:$FK,LOOKUP(2,1/(ISNUMBER($A$2:$A$1048576)),ROW($A$2:$A$1048576))),FK72)</f>
        <v/>
      </c>
      <c r="FM72" s="39">
        <f>SWA71-(FK72-FK$106)/FK$107</f>
        <v/>
      </c>
      <c r="FN72" s="9" t="n">
        <v>291.7</v>
      </c>
      <c r="FO72" s="9" t="n">
        <v>81.37</v>
      </c>
      <c r="FP72" s="9" t="n">
        <v>48.39</v>
      </c>
      <c r="FQ72" s="9" t="n">
        <v>99.09999999999999</v>
      </c>
      <c r="FR72" s="9" t="n">
        <v>19.53</v>
      </c>
      <c r="FS72" s="9" t="n">
        <v>35.37</v>
      </c>
      <c r="FT72" s="9" t="n">
        <v>44.2</v>
      </c>
      <c r="FU72" s="9" t="n">
        <v>69.53</v>
      </c>
      <c r="FV72" s="9" t="n">
        <v>33.77</v>
      </c>
      <c r="FW72" s="9" t="n">
        <v>25.4</v>
      </c>
      <c r="FX72" s="9" t="n">
        <v>10.37</v>
      </c>
      <c r="FY72" s="9" t="n">
        <v>169.8</v>
      </c>
      <c r="FZ72" s="9" t="n">
        <v>85.23</v>
      </c>
      <c r="GA72" s="9" t="n">
        <v>50.2</v>
      </c>
      <c r="GB72" s="9" t="n">
        <v>4.2</v>
      </c>
      <c r="GC72" s="9" t="n">
        <v>0.93</v>
      </c>
      <c r="GD72" s="9" t="n">
        <v>22.22</v>
      </c>
      <c r="GE72" s="9" t="n">
        <v>23.33</v>
      </c>
      <c r="GF72" s="9" t="n">
        <v>6.3</v>
      </c>
      <c r="GG72" s="9" t="n">
        <v>27</v>
      </c>
      <c r="GH72" s="9" t="n">
        <v>0.67</v>
      </c>
      <c r="GI72" s="9" t="n">
        <v>0.33</v>
      </c>
      <c r="GJ72" s="9" t="n">
        <v>50</v>
      </c>
      <c r="GK72" s="9" t="n">
        <v>26.13</v>
      </c>
      <c r="GL72" s="9" t="n">
        <v>3.43</v>
      </c>
      <c r="GM72" s="9" t="n">
        <v>13.14</v>
      </c>
      <c r="GN72" s="9" t="n">
        <v>3.8</v>
      </c>
      <c r="GO72" s="9" t="n">
        <v>1.1</v>
      </c>
      <c r="GP72" s="9" t="n">
        <v>28.95</v>
      </c>
      <c r="GQ72" s="9" t="n">
        <v>2.1</v>
      </c>
      <c r="GR72" s="9" t="n">
        <v>0.5</v>
      </c>
      <c r="GS72" s="9" t="n">
        <v>23.81</v>
      </c>
      <c r="GT72" s="9" t="n">
        <v>0</v>
      </c>
      <c r="GU72" s="9" t="n">
        <v>0</v>
      </c>
      <c r="GV72" s="9" t="n">
        <v>0</v>
      </c>
      <c r="GW72" s="9" t="n">
        <v>14.43</v>
      </c>
      <c r="GX72" s="9" t="n">
        <v>5</v>
      </c>
      <c r="GY72" s="9" t="n">
        <v>34.64</v>
      </c>
      <c r="GZ72" s="9" t="n">
        <v>5.23</v>
      </c>
      <c r="HA72" s="9" t="n">
        <v>5.47</v>
      </c>
      <c r="HB72" s="9" t="n">
        <v>22.6</v>
      </c>
      <c r="HC72" s="9" t="n">
        <v>3.67</v>
      </c>
      <c r="HD72" s="9" t="n">
        <v>9.800000000000001</v>
      </c>
      <c r="HE72" s="9" t="n">
        <v>15.9</v>
      </c>
      <c r="HF72" s="9" t="n">
        <v>52.5</v>
      </c>
      <c r="HG72" s="9" t="n">
        <v>22.23</v>
      </c>
      <c r="HH72" s="9" t="n">
        <v>42.35</v>
      </c>
      <c r="HI72" s="9" t="n">
        <v>1.87</v>
      </c>
      <c r="HJ72" s="9" t="n">
        <v>1.17</v>
      </c>
      <c r="HK72" s="9" t="n">
        <v>11.43</v>
      </c>
      <c r="HL72" s="9" t="n">
        <v>3.63</v>
      </c>
      <c r="HM72" s="9" t="n">
        <v>31.78</v>
      </c>
      <c r="HN72" s="9" t="n">
        <v>60.73</v>
      </c>
      <c r="HO72" s="9" t="n">
        <v>35.83</v>
      </c>
      <c r="HP72" s="9" t="n">
        <v>59</v>
      </c>
      <c r="HQ72" s="9" t="n">
        <v>35.27</v>
      </c>
      <c r="HR72" s="9" t="n">
        <v>18.27</v>
      </c>
      <c r="HS72" s="9" t="n">
        <v>51.8</v>
      </c>
      <c r="HT72" s="9" t="n">
        <v>2.53</v>
      </c>
      <c r="HU72" s="9" t="n">
        <v>1.33</v>
      </c>
      <c r="HV72" s="9" t="n">
        <v>52.63</v>
      </c>
      <c r="HW72" s="9" t="n">
        <v>37.37</v>
      </c>
      <c r="HX72" s="9" t="n">
        <v>15.93</v>
      </c>
      <c r="HY72" s="9" t="n">
        <v>14.87</v>
      </c>
      <c r="HZ72" s="9" t="n">
        <v>2.37</v>
      </c>
      <c r="IA72" s="9" t="n">
        <v>0</v>
      </c>
      <c r="IB72" s="9" t="n">
        <v>124.67</v>
      </c>
      <c r="IC72" s="9" t="n">
        <v>85.93000000000001</v>
      </c>
      <c r="ID72" s="9" t="n">
        <v>68.93000000000001</v>
      </c>
      <c r="IE72" s="9" t="n">
        <v>51.9</v>
      </c>
      <c r="IF72" s="9" t="n">
        <v>48.53</v>
      </c>
      <c r="IG72" s="9" t="n">
        <v>93.51000000000001</v>
      </c>
      <c r="IH72" s="9" t="n">
        <v>132.33</v>
      </c>
      <c r="II72" s="9" t="n">
        <v>116.77</v>
      </c>
      <c r="IJ72" s="9" t="n">
        <v>88.23999999999999</v>
      </c>
      <c r="IK72" s="9" t="n">
        <v>48.13</v>
      </c>
      <c r="IL72" s="9" t="n">
        <v>24.9</v>
      </c>
      <c r="IM72" s="9" t="n">
        <v>51.73</v>
      </c>
      <c r="IN72" s="9" t="n">
        <v>47.63</v>
      </c>
      <c r="IO72" s="9" t="n">
        <v>29.57</v>
      </c>
      <c r="IP72" s="9" t="n">
        <v>62.07</v>
      </c>
      <c r="IQ72" s="9" t="n">
        <v>63.47</v>
      </c>
      <c r="IR72" s="9" t="n">
        <v>43.9</v>
      </c>
      <c r="IS72" s="9" t="n">
        <v>69.17</v>
      </c>
      <c r="IT72" s="33">
        <f>PERCENTRANK(IS$2:INDEX($IS:$IS,LOOKUP(2,1/(ISNUMBER($A$2:$A$1048576)),ROW($A$2:$A$1048576))),IS72)</f>
        <v/>
      </c>
      <c r="IU72" s="39">
        <f>1-(IS72-IS$106)/IS$107</f>
        <v/>
      </c>
      <c r="IV72" s="9" t="n">
        <v>0.73</v>
      </c>
      <c r="IW72" s="9" t="n">
        <v>0.37</v>
      </c>
      <c r="IX72" s="9" t="n">
        <v>50</v>
      </c>
      <c r="IY72" s="9" t="n">
        <v>20.43</v>
      </c>
      <c r="IZ72" s="9" t="n">
        <v>17.77</v>
      </c>
      <c r="JA72" s="9" t="n">
        <v>86.95</v>
      </c>
      <c r="JB72" s="9" t="n">
        <v>9.67</v>
      </c>
      <c r="JC72" s="9" t="n">
        <v>15.31</v>
      </c>
      <c r="JD72" s="9" t="n">
        <v>3.67</v>
      </c>
      <c r="JE72" s="9" t="n">
        <v>14.01</v>
      </c>
      <c r="JF72" s="9" t="n">
        <v>17.93</v>
      </c>
      <c r="JG72" s="9" t="n">
        <v>20.69</v>
      </c>
      <c r="JH72" s="9" t="n">
        <v>12.14</v>
      </c>
    </row>
    <row r="73">
      <c r="A73" s="12" t="n">
        <v>2023</v>
      </c>
      <c r="B73" s="31" t="inlineStr">
        <is>
          <t>Loudoun United</t>
        </is>
      </c>
      <c r="C73" s="12" t="n">
        <v>25</v>
      </c>
      <c r="D73" s="5">
        <f>(C73-AVERAGE($C$2:INDEX($C:$C,LOOKUP(2,1/(ISNUMBER($A$2:$A$1048576)),ROW($A$2:$A$1048576)))))/_xlfn.STDEV.P($C$2:INDEX($C:$C,LOOKUP(2,1/(ISNUMBER($A$2:$A$1048576)),ROW($A$2:$A$1048576))))</f>
        <v/>
      </c>
      <c r="E73" s="12" t="n">
        <v>11</v>
      </c>
      <c r="F73" s="6">
        <f>-E73</f>
        <v/>
      </c>
      <c r="G73" s="7">
        <f>(F73-AVERAGE($F$2:INDEX($F:$F,LOOKUP(2,1/(ISNUMBER($A$2:$A$1048576)),ROW($A$2:$A$1048576)))))/_xlfn.STDEV.P($F$2:INDEX($F:$F,LOOKUP(2,1/(ISNUMBER($A$2:$A$1048576)),ROW($A$2:$A$1048576))))</f>
        <v/>
      </c>
      <c r="H73" s="32">
        <f>sum(0.5*D73)+(0.5*G73)</f>
        <v/>
      </c>
      <c r="I73" s="12" t="inlineStr">
        <is>
          <t>East</t>
        </is>
      </c>
      <c r="J73" s="10">
        <f>sum(L73*L$105)+(N73*N$105)+(P73*P$105)+(T73*R$105)</f>
        <v/>
      </c>
      <c r="K73" s="33">
        <f>PERCENTRANK(J$2:INDEX($J:$J,LOOKUP(2,1/(ISNUMBER($A$2:$A$1048576)),ROW($A$2:$A$1048576))),J73)</f>
        <v/>
      </c>
      <c r="L73" s="10">
        <f>sum(AA73*0.66)+(AD73*0.55)+(AG73*0.59)+(CG73*0.51)+(CL73*0.6)+(EY73*0.31)</f>
        <v/>
      </c>
      <c r="M73" s="33">
        <f>PERCENTRANK(L$2:INDEX($L:$L,LOOKUP(2,1/(ISNUMBER($A$2:$A$1048576)),ROW($A$2:$A$1048576))),L73)</f>
        <v/>
      </c>
      <c r="N73" s="10">
        <f>sum(CT73*0.57)+(CW73*0.71)+(DJ73*0.08)+(FC73*0.33)+(FG73*0.69)+(FM73*0.26)+(IU73*0.54)+(AU73*0.4)</f>
        <v/>
      </c>
      <c r="O73" s="33">
        <f>PERCENTRANK(N$2:INDEX($N:$N,LOOKUP(2,1/(ISNUMBER($A$2:$A$1048576)),ROW($A$2:$A$1048576))),N73)</f>
        <v/>
      </c>
      <c r="P73" s="10">
        <f>sum(BG73*0.51)+(CD73*0.51)+(DR73*0.11)+(EF73*0.42)+(EK73*0.44)+(W73*0.6)</f>
        <v/>
      </c>
      <c r="Q73" s="33">
        <f>PERCENTRANK(P$2:INDEX($P:$P,LOOKUP(2,1/(ISNUMBER($A$2:$A$1048576)),ROW($A$2:$A$1048576))),P73)</f>
        <v/>
      </c>
      <c r="R73" s="10">
        <f>sum(Y73-FE73)</f>
        <v/>
      </c>
      <c r="S73" s="33">
        <f>PERCENTRANK(R$2:INDEX($R:$R,LOOKUP(2,1/(ISNUMBER($A$2:$A$1048576)),ROW($A$2:$A$1048576))),R73)</f>
        <v/>
      </c>
      <c r="T73" s="34">
        <f>sum(R73-R$106)/R$107</f>
        <v/>
      </c>
      <c r="U73" s="35">
        <f>sum(Y73/AI73)*100</f>
        <v/>
      </c>
      <c r="V73" s="33">
        <f>PERCENTRANK(U$2:INDEX($U:$U,LOOKUP(2,1/(ISNUMBER($A$2:$A$1048576)),ROW($A$2:$A$1048576))),U73)</f>
        <v/>
      </c>
      <c r="W73" s="36">
        <f>sum(U73-U$106)/U$107</f>
        <v/>
      </c>
      <c r="X73" s="9" t="n">
        <v>1.06</v>
      </c>
      <c r="Y73" s="9" t="n">
        <v>1.12</v>
      </c>
      <c r="Z73" s="33">
        <f>PERCENTRANK(Y$2:INDEX($Y:$Y,LOOKUP(2,1/(ISNUMBER($A$2:$A$1048576)),ROW($A$2:$A$1048576))),Y73)</f>
        <v/>
      </c>
      <c r="AA73" s="37">
        <f>sum(Y73-Y$106)/Y$107</f>
        <v/>
      </c>
      <c r="AB73" s="9" t="n">
        <v>10.21</v>
      </c>
      <c r="AC73" s="33">
        <f>PERCENTRANK(AB$2:INDEX($AB:$AB,LOOKUP(2,1/(ISNUMBER($A$2:$A$1048576)),ROW($A$2:$A$1048576))),AB73)</f>
        <v/>
      </c>
      <c r="AD73" s="38">
        <f>sum(AB73-AB$106)/AB$107</f>
        <v/>
      </c>
      <c r="AE73" s="9" t="n">
        <v>3.91</v>
      </c>
      <c r="AF73" s="33">
        <f>PERCENTRANK(AE$2:INDEX($AE:$AE,LOOKUP(2,1/(ISNUMBER($A$2:$A$1048576)),ROW($A$2:$A$1048576))),AE73)</f>
        <v/>
      </c>
      <c r="AG73" s="38">
        <f>sum(AE73-AE$106)/AE$107</f>
        <v/>
      </c>
      <c r="AH73" s="9" t="n">
        <v>38.33</v>
      </c>
      <c r="AI73" s="9" t="n">
        <v>419.06</v>
      </c>
      <c r="AJ73" s="9" t="n">
        <v>348.68</v>
      </c>
      <c r="AK73" s="9" t="n">
        <v>83.2</v>
      </c>
      <c r="AL73" s="9" t="n">
        <v>50.57</v>
      </c>
      <c r="AM73" s="9" t="n">
        <v>100.82</v>
      </c>
      <c r="AN73" s="9" t="n">
        <v>20.15</v>
      </c>
      <c r="AO73" s="9" t="n">
        <v>36.65</v>
      </c>
      <c r="AP73" s="9" t="n">
        <v>44.03</v>
      </c>
      <c r="AQ73" s="9" t="n">
        <v>80.84999999999999</v>
      </c>
      <c r="AR73" s="9" t="n">
        <v>39.65</v>
      </c>
      <c r="AS73" s="9" t="n">
        <v>31.06</v>
      </c>
      <c r="AT73" s="33">
        <f>PERCENTRANK(AS$2:INDEX($AS:$AS,LOOKUP(2,1/(ISNUMBER($A$2:$A$1048576)),ROW($A$2:$A$1048576))),AS73)</f>
        <v/>
      </c>
      <c r="AU73" s="39">
        <f>SUM(AS73-AS$106)/AS$107</f>
        <v/>
      </c>
      <c r="AV73" s="9" t="n">
        <v>10.15</v>
      </c>
      <c r="AW73" s="33">
        <f>PERCENTRANK(AV$2:INDEX($AV:$AV,LOOKUP(2,1/(ISNUMBER($A$2:$A$1048576)),ROW($A$2:$A$1048576))),AV73)</f>
        <v/>
      </c>
      <c r="AX73" s="9" t="n">
        <v>204.59</v>
      </c>
      <c r="AY73" s="9" t="n">
        <v>96.18000000000001</v>
      </c>
      <c r="AZ73" s="9" t="n">
        <v>47.01</v>
      </c>
      <c r="BA73" s="9" t="n">
        <v>4.24</v>
      </c>
      <c r="BB73" s="9" t="n">
        <v>1.24</v>
      </c>
      <c r="BC73" s="9" t="n">
        <v>29.17</v>
      </c>
      <c r="BD73" s="9" t="n">
        <v>26.12</v>
      </c>
      <c r="BE73" s="9" t="n">
        <v>6.09</v>
      </c>
      <c r="BF73" s="33">
        <f>PERCENTRANK(BE$2:INDEX($BE:$BE,LOOKUP(2,1/(ISNUMBER($A$2:$A$1048576)),ROW($A$2:$A$1048576))),BE73)</f>
        <v/>
      </c>
      <c r="BG73" s="40">
        <f>sum(BE73-BE$106)/BE$107</f>
        <v/>
      </c>
      <c r="BH73" s="9" t="n">
        <v>23.31</v>
      </c>
      <c r="BI73" s="9" t="n">
        <v>1.74</v>
      </c>
      <c r="BJ73" s="9" t="n">
        <v>0.88</v>
      </c>
      <c r="BK73" s="9" t="n">
        <v>50.85</v>
      </c>
      <c r="BL73" s="9" t="n">
        <v>25.5</v>
      </c>
      <c r="BM73" s="9" t="n">
        <v>2.85</v>
      </c>
      <c r="BN73" s="9" t="n">
        <v>11.19</v>
      </c>
      <c r="BO73" s="9" t="n">
        <v>4.21</v>
      </c>
      <c r="BP73" s="9" t="n">
        <v>0.97</v>
      </c>
      <c r="BQ73" s="9" t="n">
        <v>23.08</v>
      </c>
      <c r="BR73" s="9" t="n">
        <v>2.41</v>
      </c>
      <c r="BS73" s="9" t="n">
        <v>0.71</v>
      </c>
      <c r="BT73" s="9" t="n">
        <v>29.27</v>
      </c>
      <c r="BU73" s="9" t="n">
        <v>0.15</v>
      </c>
      <c r="BV73" s="9" t="n">
        <v>0.12</v>
      </c>
      <c r="BW73" s="9" t="n">
        <v>80</v>
      </c>
      <c r="BX73" s="9" t="n">
        <v>12.18</v>
      </c>
      <c r="BY73" s="9" t="n">
        <v>4.21</v>
      </c>
      <c r="BZ73" s="9" t="n">
        <v>34.54</v>
      </c>
      <c r="CA73" s="9" t="n">
        <v>4.06</v>
      </c>
      <c r="CB73" s="9" t="n">
        <v>6.97</v>
      </c>
      <c r="CC73" s="33">
        <f>PERCENTRANK(CD$2:INDEX($CD:$CD,LOOKUP(2,1/(ISNUMBER($A$2:$A$1048576)),ROW($A$2:$A$1048576))),CD73)</f>
        <v/>
      </c>
      <c r="CD73" s="40">
        <f>sum(CB73-CB$106)/CB$107</f>
        <v/>
      </c>
      <c r="CE73" s="9" t="n">
        <v>21.18</v>
      </c>
      <c r="CF73" s="33">
        <f>PERCENTRANK(CE$2:INDEX($CE:$CE,LOOKUP(2,1/(ISNUMBER($A$2:$A$1048576)),ROW($A$2:$A$1048576))),CE73)</f>
        <v/>
      </c>
      <c r="CG73" s="38">
        <f>sum(CE73-CE$106)/CE$107</f>
        <v/>
      </c>
      <c r="CH73" s="9" t="n">
        <v>3.21</v>
      </c>
      <c r="CI73" s="9" t="n">
        <v>7.38</v>
      </c>
      <c r="CJ73" s="9" t="n">
        <v>14.88</v>
      </c>
      <c r="CK73" s="33">
        <f>PERCENTRANK(CJ$2:INDEX($CJ:$CJ,LOOKUP(2,1/(ISNUMBER($A$2:$A$1048576)),ROW($A$2:$A$1048576))),CJ73)</f>
        <v/>
      </c>
      <c r="CL73" s="38">
        <f>sum(CJ73-CJ$106)/CJ$107</f>
        <v/>
      </c>
      <c r="CM73" s="9" t="n">
        <v>70.23999999999999</v>
      </c>
      <c r="CN73" s="9" t="n">
        <v>27.88</v>
      </c>
      <c r="CO73" s="9" t="n">
        <v>39.7</v>
      </c>
      <c r="CP73" s="9" t="n">
        <v>1.74</v>
      </c>
      <c r="CQ73" s="9" t="n">
        <v>1.79</v>
      </c>
      <c r="CR73" s="9" t="n">
        <v>12.03</v>
      </c>
      <c r="CS73" s="33">
        <f>PERCENTRANK(CR$2:INDEX($CR:$CR,LOOKUP(2,1/(ISNUMBER($A$2:$A$1048576)),ROW($A$2:$A$1048576))),CR73)</f>
        <v/>
      </c>
      <c r="CT73" s="39">
        <f>1-(CR73-CR$106)/CR$107</f>
        <v/>
      </c>
      <c r="CU73" s="9" t="n">
        <v>4.88</v>
      </c>
      <c r="CV73" s="33">
        <f>PERCENTRANK(CU$2:INDEX($CU:$CU,LOOKUP(2,1/(ISNUMBER($A$2:$A$1048576)),ROW($A$2:$A$1048576))),CU73)</f>
        <v/>
      </c>
      <c r="CW73" s="39">
        <f>1-(CU73-CU$106)/CU$107</f>
        <v/>
      </c>
      <c r="CX73" s="9" t="n">
        <v>40.59</v>
      </c>
      <c r="CY73" s="9" t="n">
        <v>68.15000000000001</v>
      </c>
      <c r="CZ73" s="9" t="n">
        <v>40.32</v>
      </c>
      <c r="DA73" s="9" t="n">
        <v>59.17</v>
      </c>
      <c r="DB73" s="9" t="n">
        <v>33.03</v>
      </c>
      <c r="DC73" s="9" t="n">
        <v>14.62</v>
      </c>
      <c r="DD73" s="9" t="n">
        <v>44.26</v>
      </c>
      <c r="DE73" s="9" t="n">
        <v>4.32</v>
      </c>
      <c r="DF73" s="9" t="n">
        <v>2.24</v>
      </c>
      <c r="DG73" s="9" t="n">
        <v>51.7</v>
      </c>
      <c r="DH73" s="9" t="n">
        <v>41.74</v>
      </c>
      <c r="DI73" s="33">
        <f>PERCENTRANK(DH$2:INDEX($DH:$DH,LOOKUP(2,1/(ISNUMBER($A$2:$A$1048576)),ROW($A$2:$A$1048576))),DH73)</f>
        <v/>
      </c>
      <c r="DJ73" s="39">
        <f>SUM(DH73-DH$106)/DH$107</f>
        <v/>
      </c>
      <c r="DK73" s="9" t="n">
        <v>15.71</v>
      </c>
      <c r="DL73" s="9" t="n">
        <v>13.18</v>
      </c>
      <c r="DM73" s="9" t="n">
        <v>2.56</v>
      </c>
      <c r="DN73" s="9" t="n">
        <v>0.18</v>
      </c>
      <c r="DO73" s="9" t="n">
        <v>138.62</v>
      </c>
      <c r="DP73" s="9" t="n">
        <v>99.56</v>
      </c>
      <c r="DQ73" s="33">
        <f>PERCENTRANK(DP$2:INDEX($DP:$DP,LOOKUP(2,1/(ISNUMBER($A$2:$A$1048576)),ROW($A$2:$A$1048576))),DP73)</f>
        <v/>
      </c>
      <c r="DR73" s="40">
        <f>sum(DP73-DP$106)/DP$107</f>
        <v/>
      </c>
      <c r="DS73" s="9" t="n">
        <v>71.81999999999999</v>
      </c>
      <c r="DT73" s="9" t="n">
        <v>61.26</v>
      </c>
      <c r="DU73" s="9" t="n">
        <v>57.94</v>
      </c>
      <c r="DV73" s="9" t="n">
        <v>94.58</v>
      </c>
      <c r="DW73" s="9" t="n">
        <v>159.88</v>
      </c>
      <c r="DX73" s="9" t="n">
        <v>142.12</v>
      </c>
      <c r="DY73" s="9" t="n">
        <v>88.89</v>
      </c>
      <c r="DZ73" s="9" t="n">
        <v>49.26</v>
      </c>
      <c r="EA73" s="9" t="n">
        <v>26.41</v>
      </c>
      <c r="EB73" s="9" t="n">
        <v>53.61</v>
      </c>
      <c r="EC73" s="9" t="n">
        <v>52.97</v>
      </c>
      <c r="ED73" s="9" t="n">
        <v>33.76</v>
      </c>
      <c r="EE73" s="33">
        <f>PERCENTRANK(ED$2:INDEX($ED:$ED,LOOKUP(2,1/(ISNUMBER($A$2:$A$1048576)),ROW($A$2:$A$1048576))),ED73)</f>
        <v/>
      </c>
      <c r="EF73" s="40">
        <f>sum(ED73-ED$106)/ED$107</f>
        <v/>
      </c>
      <c r="EG73" s="9" t="n">
        <v>63.74</v>
      </c>
      <c r="EH73" s="9" t="n">
        <v>71.94</v>
      </c>
      <c r="EI73" s="9" t="n">
        <v>50.24</v>
      </c>
      <c r="EJ73" s="33">
        <f>PERCENTRANK(EI$2:INDEX($EI:$EI,LOOKUP(2,1/(ISNUMBER($A$2:$A$1048576)),ROW($A$2:$A$1048576))),EI73)</f>
        <v/>
      </c>
      <c r="EK73" s="40">
        <f>sum(EI73-EI$106)/EI$107</f>
        <v/>
      </c>
      <c r="EL73" s="9" t="n">
        <v>69.83</v>
      </c>
      <c r="EM73" s="9" t="n">
        <v>3.47</v>
      </c>
      <c r="EN73" s="9" t="n">
        <v>1.53</v>
      </c>
      <c r="EO73" s="9" t="n">
        <v>44.07</v>
      </c>
      <c r="EP73" s="9" t="n">
        <v>20.59</v>
      </c>
      <c r="EQ73" s="9" t="n">
        <v>17.94</v>
      </c>
      <c r="ER73" s="9" t="n">
        <v>87.14</v>
      </c>
      <c r="ES73" s="9" t="n">
        <v>8.24</v>
      </c>
      <c r="ET73" s="9" t="n">
        <v>16.01</v>
      </c>
      <c r="EU73" s="9" t="n">
        <v>3.92</v>
      </c>
      <c r="EV73" s="9" t="n">
        <v>11.89</v>
      </c>
      <c r="EW73" s="9" t="n">
        <v>18.71</v>
      </c>
      <c r="EX73" s="33">
        <f>PERCENTRANK(EW$2:INDEX($EW:$EW,LOOKUP(2,1/(ISNUMBER($A$2:$A$1048576)),ROW($A$2:$A$1048576))),EW73)</f>
        <v/>
      </c>
      <c r="EY73" s="38">
        <f>1-(EW73-EW$106)/EW$107</f>
        <v/>
      </c>
      <c r="EZ73" s="9" t="n">
        <v>20.28</v>
      </c>
      <c r="FA73" s="9" t="n">
        <v>11.72</v>
      </c>
      <c r="FB73" s="33">
        <f>PERCENTRANK(FA$2:INDEX($FA:$FA,LOOKUP(2,1/(ISNUMBER($A$2:$A$1048576)),ROW($A$2:$A$1048576))),FA73)</f>
        <v/>
      </c>
      <c r="FC73" s="39">
        <f>1-(FA73-FA$106)/FA$107</f>
        <v/>
      </c>
      <c r="FD73" s="9" t="n">
        <v>1.79</v>
      </c>
      <c r="FE73" s="9" t="n">
        <v>1.83</v>
      </c>
      <c r="FF73" s="33">
        <f>PERCENTRANK(FE$2:INDEX($FE:$FE,LOOKUP(2,1/(ISNUMBER($A$2:$A$1048576)),ROW($A$2:$A$1048576))),FE73)</f>
        <v/>
      </c>
      <c r="FG73" s="39">
        <f>1-(FE73-FE$106)/FE$107</f>
        <v/>
      </c>
      <c r="FH73" s="9" t="n">
        <v>12.03</v>
      </c>
      <c r="FI73" s="9" t="n">
        <v>4.56</v>
      </c>
      <c r="FJ73" s="9" t="n">
        <v>37.9</v>
      </c>
      <c r="FK73" s="9" t="n">
        <v>415.97</v>
      </c>
      <c r="FL73" s="33">
        <f>PERCENTRANK(FK$2:INDEX($FK:$FK,LOOKUP(2,1/(ISNUMBER($A$2:$A$1048576)),ROW($A$2:$A$1048576))),FK73)</f>
        <v/>
      </c>
      <c r="FM73" s="39">
        <f>SWA72-(FK73-FK$106)/FK$107</f>
        <v/>
      </c>
      <c r="FN73" s="9" t="n">
        <v>343.38</v>
      </c>
      <c r="FO73" s="9" t="n">
        <v>82.55</v>
      </c>
      <c r="FP73" s="9" t="n">
        <v>49.43</v>
      </c>
      <c r="FQ73" s="9" t="n">
        <v>101.18</v>
      </c>
      <c r="FR73" s="9" t="n">
        <v>15.18</v>
      </c>
      <c r="FS73" s="9" t="n">
        <v>34.41</v>
      </c>
      <c r="FT73" s="9" t="n">
        <v>51.59</v>
      </c>
      <c r="FU73" s="9" t="n">
        <v>79.12</v>
      </c>
      <c r="FV73" s="9" t="n">
        <v>34.82</v>
      </c>
      <c r="FW73" s="9" t="n">
        <v>31.35</v>
      </c>
      <c r="FX73" s="9" t="n">
        <v>12.94</v>
      </c>
      <c r="FY73" s="9" t="n">
        <v>204.59</v>
      </c>
      <c r="FZ73" s="9" t="n">
        <v>99.5</v>
      </c>
      <c r="GA73" s="9" t="n">
        <v>48.63</v>
      </c>
      <c r="GB73" s="9" t="n">
        <v>4.68</v>
      </c>
      <c r="GC73" s="9" t="n">
        <v>1.21</v>
      </c>
      <c r="GD73" s="9" t="n">
        <v>25.79</v>
      </c>
      <c r="GE73" s="9" t="n">
        <v>30.15</v>
      </c>
      <c r="GF73" s="9" t="n">
        <v>7.15</v>
      </c>
      <c r="GG73" s="9" t="n">
        <v>23.71</v>
      </c>
      <c r="GH73" s="9" t="n">
        <v>1.65</v>
      </c>
      <c r="GI73" s="9" t="n">
        <v>0.74</v>
      </c>
      <c r="GJ73" s="9" t="n">
        <v>44.64</v>
      </c>
      <c r="GK73" s="9" t="n">
        <v>26.06</v>
      </c>
      <c r="GL73" s="9" t="n">
        <v>3.21</v>
      </c>
      <c r="GM73" s="9" t="n">
        <v>12.3</v>
      </c>
      <c r="GN73" s="9" t="n">
        <v>5.65</v>
      </c>
      <c r="GO73" s="9" t="n">
        <v>1.74</v>
      </c>
      <c r="GP73" s="9" t="n">
        <v>30.73</v>
      </c>
      <c r="GQ73" s="9" t="n">
        <v>2.88</v>
      </c>
      <c r="GR73" s="9" t="n">
        <v>0.53</v>
      </c>
      <c r="GS73" s="9" t="n">
        <v>18.37</v>
      </c>
      <c r="GT73" s="9" t="n">
        <v>0.18</v>
      </c>
      <c r="GU73" s="9" t="n">
        <v>0.15</v>
      </c>
      <c r="GV73" s="9" t="n">
        <v>83.33</v>
      </c>
      <c r="GW73" s="9" t="n">
        <v>14.18</v>
      </c>
      <c r="GX73" s="9" t="n">
        <v>3.82</v>
      </c>
      <c r="GY73" s="9" t="n">
        <v>26.97</v>
      </c>
      <c r="GZ73" s="9" t="n">
        <v>3.97</v>
      </c>
      <c r="HA73" s="9" t="n">
        <v>7.15</v>
      </c>
      <c r="HB73" s="9" t="n">
        <v>22.53</v>
      </c>
      <c r="HC73" s="9" t="n">
        <v>3.62</v>
      </c>
      <c r="HD73" s="9" t="n">
        <v>8.470000000000001</v>
      </c>
      <c r="HE73" s="9" t="n">
        <v>17.53</v>
      </c>
      <c r="HF73" s="9" t="n">
        <v>68.15000000000001</v>
      </c>
      <c r="HG73" s="9" t="n">
        <v>27.82</v>
      </c>
      <c r="HH73" s="9" t="n">
        <v>40.83</v>
      </c>
      <c r="HI73" s="9" t="n">
        <v>2.24</v>
      </c>
      <c r="HJ73" s="9" t="n">
        <v>1.06</v>
      </c>
      <c r="HK73" s="9" t="n">
        <v>10.21</v>
      </c>
      <c r="HL73" s="9" t="n">
        <v>4.15</v>
      </c>
      <c r="HM73" s="9" t="n">
        <v>40.63</v>
      </c>
      <c r="HN73" s="9" t="n">
        <v>70.23999999999999</v>
      </c>
      <c r="HO73" s="9" t="n">
        <v>42.35</v>
      </c>
      <c r="HP73" s="9" t="n">
        <v>60.3</v>
      </c>
      <c r="HQ73" s="9" t="n">
        <v>33.03</v>
      </c>
      <c r="HR73" s="9" t="n">
        <v>15.56</v>
      </c>
      <c r="HS73" s="9" t="n">
        <v>47.11</v>
      </c>
      <c r="HT73" s="9" t="n">
        <v>4.32</v>
      </c>
      <c r="HU73" s="9" t="n">
        <v>1.97</v>
      </c>
      <c r="HV73" s="9" t="n">
        <v>45.58</v>
      </c>
      <c r="HW73" s="9" t="n">
        <v>37.41</v>
      </c>
      <c r="HX73" s="9" t="n">
        <v>14.12</v>
      </c>
      <c r="HY73" s="9" t="n">
        <v>12.38</v>
      </c>
      <c r="HZ73" s="9" t="n">
        <v>2.29</v>
      </c>
      <c r="IA73" s="9" t="n">
        <v>0.09</v>
      </c>
      <c r="IB73" s="9" t="n">
        <v>139.65</v>
      </c>
      <c r="IC73" s="9" t="n">
        <v>98.84999999999999</v>
      </c>
      <c r="ID73" s="9" t="n">
        <v>70.79000000000001</v>
      </c>
      <c r="IE73" s="9" t="n">
        <v>65.88</v>
      </c>
      <c r="IF73" s="9" t="n">
        <v>62.21</v>
      </c>
      <c r="IG73" s="9" t="n">
        <v>94.42</v>
      </c>
      <c r="IH73" s="9" t="n">
        <v>156.41</v>
      </c>
      <c r="II73" s="9" t="n">
        <v>139.44</v>
      </c>
      <c r="IJ73" s="9" t="n">
        <v>89.15000000000001</v>
      </c>
      <c r="IK73" s="9" t="n">
        <v>50.88</v>
      </c>
      <c r="IL73" s="9" t="n">
        <v>26.97</v>
      </c>
      <c r="IM73" s="9" t="n">
        <v>53.01</v>
      </c>
      <c r="IN73" s="9" t="n">
        <v>54.94</v>
      </c>
      <c r="IO73" s="9" t="n">
        <v>35.03</v>
      </c>
      <c r="IP73" s="9" t="n">
        <v>63.76</v>
      </c>
      <c r="IQ73" s="9" t="n">
        <v>69.5</v>
      </c>
      <c r="IR73" s="9" t="n">
        <v>51.21</v>
      </c>
      <c r="IS73" s="9" t="n">
        <v>73.68000000000001</v>
      </c>
      <c r="IT73" s="33">
        <f>PERCENTRANK(IS$2:INDEX($IS:$IS,LOOKUP(2,1/(ISNUMBER($A$2:$A$1048576)),ROW($A$2:$A$1048576))),IS73)</f>
        <v/>
      </c>
      <c r="IU73" s="39">
        <f>1-(IS73-IS$106)/IS$107</f>
        <v/>
      </c>
      <c r="IV73" s="9" t="n">
        <v>3.32</v>
      </c>
      <c r="IW73" s="9" t="n">
        <v>1.15</v>
      </c>
      <c r="IX73" s="9" t="n">
        <v>34.51</v>
      </c>
      <c r="IY73" s="9" t="n">
        <v>21.5</v>
      </c>
      <c r="IZ73" s="9" t="n">
        <v>19.35</v>
      </c>
      <c r="JA73" s="9" t="n">
        <v>90.01000000000001</v>
      </c>
      <c r="JB73" s="9" t="n">
        <v>6.82</v>
      </c>
      <c r="JC73" s="9" t="n">
        <v>16.16</v>
      </c>
      <c r="JD73" s="9" t="n">
        <v>3.87</v>
      </c>
      <c r="JE73" s="9" t="n">
        <v>12.73</v>
      </c>
      <c r="JF73" s="9" t="n">
        <v>17.4</v>
      </c>
      <c r="JG73" s="9" t="n">
        <v>20.65</v>
      </c>
      <c r="JH73" s="9" t="n">
        <v>11.41</v>
      </c>
    </row>
    <row r="74">
      <c r="A74" s="12" t="n">
        <v>2024</v>
      </c>
      <c r="B74" s="31" t="inlineStr">
        <is>
          <t>Memphis 901</t>
        </is>
      </c>
      <c r="C74" s="12" t="n">
        <v>51</v>
      </c>
      <c r="D74" s="5">
        <f>(C74-AVERAGE($C$2:INDEX($C:$C,LOOKUP(2,1/(ISNUMBER($A$2:$A$1048576)),ROW($A$2:$A$1048576)))))/_xlfn.STDEV.P($C$2:INDEX($C:$C,LOOKUP(2,1/(ISNUMBER($A$2:$A$1048576)),ROW($A$2:$A$1048576))))</f>
        <v/>
      </c>
      <c r="E74" s="12" t="n">
        <v>3</v>
      </c>
      <c r="F74" s="6">
        <f>-E74</f>
        <v/>
      </c>
      <c r="G74" s="7">
        <f>(F74-AVERAGE($F$2:INDEX($F:$F,LOOKUP(2,1/(ISNUMBER($A$2:$A$1048576)),ROW($A$2:$A$1048576)))))/_xlfn.STDEV.P($F$2:INDEX($F:$F,LOOKUP(2,1/(ISNUMBER($A$2:$A$1048576)),ROW($A$2:$A$1048576))))</f>
        <v/>
      </c>
      <c r="H74" s="32">
        <f>sum(0.5*D74)+(0.5*G74)</f>
        <v/>
      </c>
      <c r="I74" s="12" t="inlineStr">
        <is>
          <t>West</t>
        </is>
      </c>
      <c r="J74" s="10">
        <f>sum(L74*L$105)+(N74*N$105)+(P74*P$105)+(T74*R$105)</f>
        <v/>
      </c>
      <c r="K74" s="33">
        <f>PERCENTRANK(J$2:INDEX($J:$J,LOOKUP(2,1/(ISNUMBER($A$2:$A$1048576)),ROW($A$2:$A$1048576))),J74)</f>
        <v/>
      </c>
      <c r="L74" s="10">
        <f>sum(AA74*0.66)+(AD74*0.55)+(AG74*0.59)+(CG74*0.51)+(CL74*0.6)+(EY74*0.31)</f>
        <v/>
      </c>
      <c r="M74" s="33">
        <f>PERCENTRANK(L$2:INDEX($L:$L,LOOKUP(2,1/(ISNUMBER($A$2:$A$1048576)),ROW($A$2:$A$1048576))),L74)</f>
        <v/>
      </c>
      <c r="N74" s="10">
        <f>sum(CT74*0.57)+(CW74*0.71)+(DJ74*0.08)+(FC74*0.33)+(FG74*0.69)+(FM74*0.26)+(IU74*0.54)+(AU74*0.4)</f>
        <v/>
      </c>
      <c r="O74" s="33">
        <f>PERCENTRANK(N$2:INDEX($N:$N,LOOKUP(2,1/(ISNUMBER($A$2:$A$1048576)),ROW($A$2:$A$1048576))),N74)</f>
        <v/>
      </c>
      <c r="P74" s="10">
        <f>sum(BG74*0.51)+(CD74*0.51)+(DR74*0.11)+(EF74*0.42)+(EK74*0.44)+(W74*0.6)</f>
        <v/>
      </c>
      <c r="Q74" s="33">
        <f>PERCENTRANK(P$2:INDEX($P:$P,LOOKUP(2,1/(ISNUMBER($A$2:$A$1048576)),ROW($A$2:$A$1048576))),P74)</f>
        <v/>
      </c>
      <c r="R74" s="10">
        <f>sum(Y74-FE74)</f>
        <v/>
      </c>
      <c r="S74" s="33">
        <f>PERCENTRANK(R$2:INDEX($R:$R,LOOKUP(2,1/(ISNUMBER($A$2:$A$1048576)),ROW($A$2:$A$1048576))),R74)</f>
        <v/>
      </c>
      <c r="T74" s="34">
        <f>sum(R74-R$106)/R$107</f>
        <v/>
      </c>
      <c r="U74" s="35">
        <f>sum(Y74/AI74)*100</f>
        <v/>
      </c>
      <c r="V74" s="33">
        <f>PERCENTRANK(U$2:INDEX($U:$U,LOOKUP(2,1/(ISNUMBER($A$2:$A$1048576)),ROW($A$2:$A$1048576))),U74)</f>
        <v/>
      </c>
      <c r="W74" s="36">
        <f>sum(U74-U$106)/U$107</f>
        <v/>
      </c>
      <c r="X74" s="9" t="n">
        <v>1.49</v>
      </c>
      <c r="Y74" s="9" t="n">
        <v>1.37</v>
      </c>
      <c r="Z74" s="33">
        <f>PERCENTRANK(Y$2:INDEX($Y:$Y,LOOKUP(2,1/(ISNUMBER($A$2:$A$1048576)),ROW($A$2:$A$1048576))),Y74)</f>
        <v/>
      </c>
      <c r="AA74" s="37">
        <f>sum(Y74-Y$106)/Y$107</f>
        <v/>
      </c>
      <c r="AB74" s="9" t="n">
        <v>13.06</v>
      </c>
      <c r="AC74" s="33">
        <f>PERCENTRANK(AB$2:INDEX($AB:$AB,LOOKUP(2,1/(ISNUMBER($A$2:$A$1048576)),ROW($A$2:$A$1048576))),AB74)</f>
        <v/>
      </c>
      <c r="AD74" s="38">
        <f>sum(AB74-AB$106)/AB$107</f>
        <v/>
      </c>
      <c r="AE74" s="9" t="n">
        <v>4.6</v>
      </c>
      <c r="AF74" s="33">
        <f>PERCENTRANK(AE$2:INDEX($AE:$AE,LOOKUP(2,1/(ISNUMBER($A$2:$A$1048576)),ROW($A$2:$A$1048576))),AE74)</f>
        <v/>
      </c>
      <c r="AG74" s="38">
        <f>sum(AE74-AE$106)/AE$107</f>
        <v/>
      </c>
      <c r="AH74" s="9" t="n">
        <v>35.23</v>
      </c>
      <c r="AI74" s="9" t="n">
        <v>401.86</v>
      </c>
      <c r="AJ74" s="9" t="n">
        <v>333.66</v>
      </c>
      <c r="AK74" s="9" t="n">
        <v>83.03</v>
      </c>
      <c r="AL74" s="9" t="n">
        <v>50.52</v>
      </c>
      <c r="AM74" s="9" t="n">
        <v>102.69</v>
      </c>
      <c r="AN74" s="9" t="n">
        <v>18.29</v>
      </c>
      <c r="AO74" s="9" t="n">
        <v>37.11</v>
      </c>
      <c r="AP74" s="9" t="n">
        <v>47.29</v>
      </c>
      <c r="AQ74" s="9" t="n">
        <v>78.63</v>
      </c>
      <c r="AR74" s="9" t="n">
        <v>36.69</v>
      </c>
      <c r="AS74" s="9" t="n">
        <v>31.86</v>
      </c>
      <c r="AT74" s="33">
        <f>PERCENTRANK(AS$2:INDEX($AS:$AS,LOOKUP(2,1/(ISNUMBER($A$2:$A$1048576)),ROW($A$2:$A$1048576))),AS74)</f>
        <v/>
      </c>
      <c r="AU74" s="39">
        <f>SUM(AS74-AS$106)/AS$107</f>
        <v/>
      </c>
      <c r="AV74" s="9" t="n">
        <v>10.09</v>
      </c>
      <c r="AW74" s="33">
        <f>PERCENTRANK(AV$2:INDEX($AV:$AV,LOOKUP(2,1/(ISNUMBER($A$2:$A$1048576)),ROW($A$2:$A$1048576))),AV74)</f>
        <v/>
      </c>
      <c r="AX74" s="9" t="n">
        <v>193.94</v>
      </c>
      <c r="AY74" s="9" t="n">
        <v>90.8</v>
      </c>
      <c r="AZ74" s="9" t="n">
        <v>46.82</v>
      </c>
      <c r="BA74" s="9" t="n">
        <v>5.6</v>
      </c>
      <c r="BB74" s="9" t="n">
        <v>1.57</v>
      </c>
      <c r="BC74" s="9" t="n">
        <v>28.06</v>
      </c>
      <c r="BD74" s="9" t="n">
        <v>27.49</v>
      </c>
      <c r="BE74" s="9" t="n">
        <v>8.4</v>
      </c>
      <c r="BF74" s="33">
        <f>PERCENTRANK(BE$2:INDEX($BE:$BE,LOOKUP(2,1/(ISNUMBER($A$2:$A$1048576)),ROW($A$2:$A$1048576))),BE74)</f>
        <v/>
      </c>
      <c r="BG74" s="40">
        <f>sum(BE74-BE$106)/BE$107</f>
        <v/>
      </c>
      <c r="BH74" s="9" t="n">
        <v>30.56</v>
      </c>
      <c r="BI74" s="9" t="n">
        <v>1.2</v>
      </c>
      <c r="BJ74" s="9" t="n">
        <v>0.71</v>
      </c>
      <c r="BK74" s="9" t="n">
        <v>59.52</v>
      </c>
      <c r="BL74" s="9" t="n">
        <v>27.2</v>
      </c>
      <c r="BM74" s="9" t="n">
        <v>3.46</v>
      </c>
      <c r="BN74" s="9" t="n">
        <v>12.71</v>
      </c>
      <c r="BO74" s="9" t="n">
        <v>4.49</v>
      </c>
      <c r="BP74" s="9" t="n">
        <v>1.34</v>
      </c>
      <c r="BQ74" s="9" t="n">
        <v>29.94</v>
      </c>
      <c r="BR74" s="9" t="n">
        <v>2.06</v>
      </c>
      <c r="BS74" s="9" t="n">
        <v>0.46</v>
      </c>
      <c r="BT74" s="9" t="n">
        <v>22.22</v>
      </c>
      <c r="BU74" s="9" t="n">
        <v>0.09</v>
      </c>
      <c r="BV74" s="9" t="n">
        <v>0.09</v>
      </c>
      <c r="BW74" s="9" t="n">
        <v>100</v>
      </c>
      <c r="BX74" s="9" t="n">
        <v>11.26</v>
      </c>
      <c r="BY74" s="9" t="n">
        <v>3.8</v>
      </c>
      <c r="BZ74" s="9" t="n">
        <v>33.76</v>
      </c>
      <c r="CA74" s="9" t="n">
        <v>3.77</v>
      </c>
      <c r="CB74" s="9" t="n">
        <v>8.34</v>
      </c>
      <c r="CC74" s="33">
        <f>PERCENTRANK(CD$2:INDEX($CD:$CD,LOOKUP(2,1/(ISNUMBER($A$2:$A$1048576)),ROW($A$2:$A$1048576))),CD74)</f>
        <v/>
      </c>
      <c r="CD74" s="40">
        <f>sum(CB74-CB$106)/CB$107</f>
        <v/>
      </c>
      <c r="CE74" s="9" t="n">
        <v>23.46</v>
      </c>
      <c r="CF74" s="33">
        <f>PERCENTRANK(CE$2:INDEX($CE:$CE,LOOKUP(2,1/(ISNUMBER($A$2:$A$1048576)),ROW($A$2:$A$1048576))),CE74)</f>
        <v/>
      </c>
      <c r="CG74" s="38">
        <f>sum(CE74-CE$106)/CE$107</f>
        <v/>
      </c>
      <c r="CH74" s="9" t="n">
        <v>3.94</v>
      </c>
      <c r="CI74" s="9" t="n">
        <v>6.63</v>
      </c>
      <c r="CJ74" s="9" t="n">
        <v>17.31</v>
      </c>
      <c r="CK74" s="33">
        <f>PERCENTRANK(CJ$2:INDEX($CJ:$CJ,LOOKUP(2,1/(ISNUMBER($A$2:$A$1048576)),ROW($A$2:$A$1048576))),CJ74)</f>
        <v/>
      </c>
      <c r="CL74" s="38">
        <f>sum(CJ74-CJ$106)/CJ$107</f>
        <v/>
      </c>
      <c r="CM74" s="9" t="n">
        <v>63.46</v>
      </c>
      <c r="CN74" s="9" t="n">
        <v>24.06</v>
      </c>
      <c r="CO74" s="9" t="n">
        <v>37.91</v>
      </c>
      <c r="CP74" s="9" t="n">
        <v>2.17</v>
      </c>
      <c r="CQ74" s="9" t="n">
        <v>1.2</v>
      </c>
      <c r="CR74" s="9" t="n">
        <v>10.43</v>
      </c>
      <c r="CS74" s="33">
        <f>PERCENTRANK(CR$2:INDEX($CR:$CR,LOOKUP(2,1/(ISNUMBER($A$2:$A$1048576)),ROW($A$2:$A$1048576))),CR74)</f>
        <v/>
      </c>
      <c r="CT74" s="39">
        <f>1-(CR74-CR$106)/CR$107</f>
        <v/>
      </c>
      <c r="CU74" s="9" t="n">
        <v>4.09</v>
      </c>
      <c r="CV74" s="33">
        <f>PERCENTRANK(CU$2:INDEX($CU:$CU,LOOKUP(2,1/(ISNUMBER($A$2:$A$1048576)),ROW($A$2:$A$1048576))),CU74)</f>
        <v/>
      </c>
      <c r="CW74" s="39">
        <f>1-(CU74-CU$106)/CU$107</f>
        <v/>
      </c>
      <c r="CX74" s="9" t="n">
        <v>39.18</v>
      </c>
      <c r="CY74" s="9" t="n">
        <v>64.59999999999999</v>
      </c>
      <c r="CZ74" s="9" t="n">
        <v>38.83</v>
      </c>
      <c r="DA74" s="9" t="n">
        <v>60.11</v>
      </c>
      <c r="DB74" s="9" t="n">
        <v>35.83</v>
      </c>
      <c r="DC74" s="9" t="n">
        <v>15</v>
      </c>
      <c r="DD74" s="9" t="n">
        <v>41.87</v>
      </c>
      <c r="DE74" s="9" t="n">
        <v>3.6</v>
      </c>
      <c r="DF74" s="9" t="n">
        <v>2.06</v>
      </c>
      <c r="DG74" s="9" t="n">
        <v>57.14</v>
      </c>
      <c r="DH74" s="9" t="n">
        <v>38.37</v>
      </c>
      <c r="DI74" s="33">
        <f>PERCENTRANK(DH$2:INDEX($DH:$DH,LOOKUP(2,1/(ISNUMBER($A$2:$A$1048576)),ROW($A$2:$A$1048576))),DH74)</f>
        <v/>
      </c>
      <c r="DJ74" s="39">
        <f>SUM(DH74-DH$106)/DH$107</f>
        <v/>
      </c>
      <c r="DK74" s="9" t="n">
        <v>16.71</v>
      </c>
      <c r="DL74" s="9" t="n">
        <v>14.06</v>
      </c>
      <c r="DM74" s="9" t="n">
        <v>2.86</v>
      </c>
      <c r="DN74" s="9" t="n">
        <v>0.26</v>
      </c>
      <c r="DO74" s="9" t="n">
        <v>141.23</v>
      </c>
      <c r="DP74" s="9" t="n">
        <v>101.09</v>
      </c>
      <c r="DQ74" s="33">
        <f>PERCENTRANK(DP$2:INDEX($DP:$DP,LOOKUP(2,1/(ISNUMBER($A$2:$A$1048576)),ROW($A$2:$A$1048576))),DP74)</f>
        <v/>
      </c>
      <c r="DR74" s="40">
        <f>sum(DP74-DP$106)/DP$107</f>
        <v/>
      </c>
      <c r="DS74" s="9" t="n">
        <v>71.58</v>
      </c>
      <c r="DT74" s="9" t="n">
        <v>63.4</v>
      </c>
      <c r="DU74" s="9" t="n">
        <v>59.69</v>
      </c>
      <c r="DV74" s="9" t="n">
        <v>94.14</v>
      </c>
      <c r="DW74" s="9" t="n">
        <v>143.49</v>
      </c>
      <c r="DX74" s="9" t="n">
        <v>128.46</v>
      </c>
      <c r="DY74" s="9" t="n">
        <v>89.53</v>
      </c>
      <c r="DZ74" s="9" t="n">
        <v>50.77</v>
      </c>
      <c r="EA74" s="9" t="n">
        <v>26.91</v>
      </c>
      <c r="EB74" s="9" t="n">
        <v>53.01</v>
      </c>
      <c r="EC74" s="9" t="n">
        <v>55.23</v>
      </c>
      <c r="ED74" s="9" t="n">
        <v>35.94</v>
      </c>
      <c r="EE74" s="33">
        <f>PERCENTRANK(ED$2:INDEX($ED:$ED,LOOKUP(2,1/(ISNUMBER($A$2:$A$1048576)),ROW($A$2:$A$1048576))),ED74)</f>
        <v/>
      </c>
      <c r="EF74" s="40">
        <f>sum(ED74-ED$106)/ED$107</f>
        <v/>
      </c>
      <c r="EG74" s="9" t="n">
        <v>65.08</v>
      </c>
      <c r="EH74" s="9" t="n">
        <v>73.45999999999999</v>
      </c>
      <c r="EI74" s="9" t="n">
        <v>53.34</v>
      </c>
      <c r="EJ74" s="33">
        <f>PERCENTRANK(EI$2:INDEX($EI:$EI,LOOKUP(2,1/(ISNUMBER($A$2:$A$1048576)),ROW($A$2:$A$1048576))),EI74)</f>
        <v/>
      </c>
      <c r="EK74" s="40">
        <f>sum(EI74-EI$106)/EI$107</f>
        <v/>
      </c>
      <c r="EL74" s="9" t="n">
        <v>72.62</v>
      </c>
      <c r="EM74" s="9" t="n">
        <v>2.43</v>
      </c>
      <c r="EN74" s="9" t="n">
        <v>1.2</v>
      </c>
      <c r="EO74" s="9" t="n">
        <v>49.41</v>
      </c>
      <c r="EP74" s="9" t="n">
        <v>20.83</v>
      </c>
      <c r="EQ74" s="9" t="n">
        <v>18.71</v>
      </c>
      <c r="ER74" s="9" t="n">
        <v>89.84999999999999</v>
      </c>
      <c r="ES74" s="9" t="n">
        <v>7.57</v>
      </c>
      <c r="ET74" s="9" t="n">
        <v>16.03</v>
      </c>
      <c r="EU74" s="9" t="n">
        <v>3.8</v>
      </c>
      <c r="EV74" s="9" t="n">
        <v>13.11</v>
      </c>
      <c r="EW74" s="9" t="n">
        <v>19.66</v>
      </c>
      <c r="EX74" s="33">
        <f>PERCENTRANK(EW$2:INDEX($EW:$EW,LOOKUP(2,1/(ISNUMBER($A$2:$A$1048576)),ROW($A$2:$A$1048576))),EW74)</f>
        <v/>
      </c>
      <c r="EY74" s="38">
        <f>1-(EW74-EW$106)/EW$107</f>
        <v/>
      </c>
      <c r="EZ74" s="9" t="n">
        <v>20.84</v>
      </c>
      <c r="FA74" s="9" t="n">
        <v>11.02</v>
      </c>
      <c r="FB74" s="33">
        <f>PERCENTRANK(FA$2:INDEX($FA:$FA,LOOKUP(2,1/(ISNUMBER($A$2:$A$1048576)),ROW($A$2:$A$1048576))),FA74)</f>
        <v/>
      </c>
      <c r="FC74" s="39">
        <f>1-(FA74-FA$106)/FA$107</f>
        <v/>
      </c>
      <c r="FD74" s="9" t="n">
        <v>1.2</v>
      </c>
      <c r="FE74" s="9" t="n">
        <v>1.28</v>
      </c>
      <c r="FF74" s="33">
        <f>PERCENTRANK(FE$2:INDEX($FE:$FE,LOOKUP(2,1/(ISNUMBER($A$2:$A$1048576)),ROW($A$2:$A$1048576))),FE74)</f>
        <v/>
      </c>
      <c r="FG74" s="39">
        <f>1-(FE74-FE$106)/FE$107</f>
        <v/>
      </c>
      <c r="FH74" s="9" t="n">
        <v>10.43</v>
      </c>
      <c r="FI74" s="9" t="n">
        <v>3.91</v>
      </c>
      <c r="FJ74" s="9" t="n">
        <v>37.53</v>
      </c>
      <c r="FK74" s="9" t="n">
        <v>381.54</v>
      </c>
      <c r="FL74" s="33">
        <f>PERCENTRANK(FK$2:INDEX($FK:$FK,LOOKUP(2,1/(ISNUMBER($A$2:$A$1048576)),ROW($A$2:$A$1048576))),FK74)</f>
        <v/>
      </c>
      <c r="FM74" s="39">
        <f>SWA73-(FK74-FK$106)/FK$107</f>
        <v/>
      </c>
      <c r="FN74" s="9" t="n">
        <v>309.2</v>
      </c>
      <c r="FO74" s="9" t="n">
        <v>81.04000000000001</v>
      </c>
      <c r="FP74" s="9" t="n">
        <v>49.48</v>
      </c>
      <c r="FQ74" s="9" t="n">
        <v>103.6</v>
      </c>
      <c r="FR74" s="9" t="n">
        <v>17.03</v>
      </c>
      <c r="FS74" s="9" t="n">
        <v>37.83</v>
      </c>
      <c r="FT74" s="9" t="n">
        <v>48.74</v>
      </c>
      <c r="FU74" s="9" t="n">
        <v>79.31</v>
      </c>
      <c r="FV74" s="9" t="n">
        <v>37.23</v>
      </c>
      <c r="FW74" s="9" t="n">
        <v>31.74</v>
      </c>
      <c r="FX74" s="9" t="n">
        <v>10.34</v>
      </c>
      <c r="FY74" s="9" t="n">
        <v>193.94</v>
      </c>
      <c r="FZ74" s="9" t="n">
        <v>94.56999999999999</v>
      </c>
      <c r="GA74" s="9" t="n">
        <v>48.76</v>
      </c>
      <c r="GB74" s="9" t="n">
        <v>3.91</v>
      </c>
      <c r="GC74" s="9" t="n">
        <v>1.06</v>
      </c>
      <c r="GD74" s="9" t="n">
        <v>27.01</v>
      </c>
      <c r="GE74" s="9" t="n">
        <v>25</v>
      </c>
      <c r="GF74" s="9" t="n">
        <v>5.63</v>
      </c>
      <c r="GG74" s="9" t="n">
        <v>22.51</v>
      </c>
      <c r="GH74" s="9" t="n">
        <v>0.86</v>
      </c>
      <c r="GI74" s="9" t="n">
        <v>0.46</v>
      </c>
      <c r="GJ74" s="9" t="n">
        <v>53.33</v>
      </c>
      <c r="GK74" s="9" t="n">
        <v>28.11</v>
      </c>
      <c r="GL74" s="9" t="n">
        <v>3.63</v>
      </c>
      <c r="GM74" s="9" t="n">
        <v>12.91</v>
      </c>
      <c r="GN74" s="9" t="n">
        <v>5.2</v>
      </c>
      <c r="GO74" s="9" t="n">
        <v>1.66</v>
      </c>
      <c r="GP74" s="9" t="n">
        <v>31.87</v>
      </c>
      <c r="GQ74" s="9" t="n">
        <v>3.29</v>
      </c>
      <c r="GR74" s="9" t="n">
        <v>0.8</v>
      </c>
      <c r="GS74" s="9" t="n">
        <v>24.35</v>
      </c>
      <c r="GT74" s="9" t="n">
        <v>0.2</v>
      </c>
      <c r="GU74" s="9" t="n">
        <v>0.14</v>
      </c>
      <c r="GV74" s="9" t="n">
        <v>71.43000000000001</v>
      </c>
      <c r="GW74" s="9" t="n">
        <v>13.14</v>
      </c>
      <c r="GX74" s="9" t="n">
        <v>4.17</v>
      </c>
      <c r="GY74" s="9" t="n">
        <v>31.74</v>
      </c>
      <c r="GZ74" s="9" t="n">
        <v>3.91</v>
      </c>
      <c r="HA74" s="9" t="n">
        <v>7.11</v>
      </c>
      <c r="HB74" s="9" t="n">
        <v>23.57</v>
      </c>
      <c r="HC74" s="9" t="n">
        <v>3.74</v>
      </c>
      <c r="HD74" s="9" t="n">
        <v>7.6</v>
      </c>
      <c r="HE74" s="9" t="n">
        <v>15.86</v>
      </c>
      <c r="HF74" s="9" t="n">
        <v>64.56999999999999</v>
      </c>
      <c r="HG74" s="9" t="n">
        <v>25.74</v>
      </c>
      <c r="HH74" s="9" t="n">
        <v>39.87</v>
      </c>
      <c r="HI74" s="9" t="n">
        <v>2.83</v>
      </c>
      <c r="HJ74" s="9" t="n">
        <v>1.49</v>
      </c>
      <c r="HK74" s="9" t="n">
        <v>13.06</v>
      </c>
      <c r="HL74" s="9" t="n">
        <v>4.94</v>
      </c>
      <c r="HM74" s="9" t="n">
        <v>37.86</v>
      </c>
      <c r="HN74" s="9" t="n">
        <v>63.49</v>
      </c>
      <c r="HO74" s="9" t="n">
        <v>39.4</v>
      </c>
      <c r="HP74" s="9" t="n">
        <v>62.06</v>
      </c>
      <c r="HQ74" s="9" t="n">
        <v>35.83</v>
      </c>
      <c r="HR74" s="9" t="n">
        <v>17.46</v>
      </c>
      <c r="HS74" s="9" t="n">
        <v>48.72</v>
      </c>
      <c r="HT74" s="9" t="n">
        <v>2.31</v>
      </c>
      <c r="HU74" s="9" t="n">
        <v>1.34</v>
      </c>
      <c r="HV74" s="9" t="n">
        <v>58.02</v>
      </c>
      <c r="HW74" s="9" t="n">
        <v>34.23</v>
      </c>
      <c r="HX74" s="9" t="n">
        <v>12.54</v>
      </c>
      <c r="HY74" s="9" t="n">
        <v>13.89</v>
      </c>
      <c r="HZ74" s="9" t="n">
        <v>2.57</v>
      </c>
      <c r="IA74" s="9" t="n">
        <v>0.11</v>
      </c>
      <c r="IB74" s="9" t="n">
        <v>138.17</v>
      </c>
      <c r="IC74" s="9" t="n">
        <v>95.8</v>
      </c>
      <c r="ID74" s="9" t="n">
        <v>69.33</v>
      </c>
      <c r="IE74" s="9" t="n">
        <v>53.14</v>
      </c>
      <c r="IF74" s="9" t="n">
        <v>49.97</v>
      </c>
      <c r="IG74" s="9" t="n">
        <v>94.03</v>
      </c>
      <c r="IH74" s="9" t="n">
        <v>139.23</v>
      </c>
      <c r="II74" s="9" t="n">
        <v>123.29</v>
      </c>
      <c r="IJ74" s="9" t="n">
        <v>88.55</v>
      </c>
      <c r="IK74" s="9" t="n">
        <v>49.03</v>
      </c>
      <c r="IL74" s="9" t="n">
        <v>24.34</v>
      </c>
      <c r="IM74" s="9" t="n">
        <v>49.65</v>
      </c>
      <c r="IN74" s="9" t="n">
        <v>52.83</v>
      </c>
      <c r="IO74" s="9" t="n">
        <v>32.49</v>
      </c>
      <c r="IP74" s="9" t="n">
        <v>61.49</v>
      </c>
      <c r="IQ74" s="9" t="n">
        <v>65.56999999999999</v>
      </c>
      <c r="IR74" s="9" t="n">
        <v>45.8</v>
      </c>
      <c r="IS74" s="9" t="n">
        <v>69.84999999999999</v>
      </c>
      <c r="IT74" s="33">
        <f>PERCENTRANK(IS$2:INDEX($IS:$IS,LOOKUP(2,1/(ISNUMBER($A$2:$A$1048576)),ROW($A$2:$A$1048576))),IS74)</f>
        <v/>
      </c>
      <c r="IU74" s="39">
        <f>1-(IS74-IS$106)/IS$107</f>
        <v/>
      </c>
      <c r="IV74" s="9" t="n">
        <v>1.43</v>
      </c>
      <c r="IW74" s="9" t="n">
        <v>0.49</v>
      </c>
      <c r="IX74" s="9" t="n">
        <v>34</v>
      </c>
      <c r="IY74" s="9" t="n">
        <v>22.14</v>
      </c>
      <c r="IZ74" s="9" t="n">
        <v>19.63</v>
      </c>
      <c r="JA74" s="9" t="n">
        <v>88.65000000000001</v>
      </c>
      <c r="JB74" s="9" t="n">
        <v>8.34</v>
      </c>
      <c r="JC74" s="9" t="n">
        <v>15.38</v>
      </c>
      <c r="JD74" s="9" t="n">
        <v>3.63</v>
      </c>
      <c r="JE74" s="9" t="n">
        <v>13.8</v>
      </c>
      <c r="JF74" s="9" t="n">
        <v>17.55</v>
      </c>
      <c r="JG74" s="9" t="n">
        <v>20.9</v>
      </c>
      <c r="JH74" s="9" t="n">
        <v>11.85</v>
      </c>
    </row>
    <row r="75">
      <c r="A75" s="12" t="n">
        <v>2023</v>
      </c>
      <c r="B75" s="31" t="inlineStr">
        <is>
          <t>Hartford Athletic</t>
        </is>
      </c>
      <c r="C75" s="12" t="n">
        <v>18</v>
      </c>
      <c r="D75" s="5">
        <f>(C75-AVERAGE($C$2:INDEX($C:$C,LOOKUP(2,1/(ISNUMBER($A$2:$A$1048576)),ROW($A$2:$A$1048576)))))/_xlfn.STDEV.P($C$2:INDEX($C:$C,LOOKUP(2,1/(ISNUMBER($A$2:$A$1048576)),ROW($A$2:$A$1048576))))</f>
        <v/>
      </c>
      <c r="E75" s="12" t="n">
        <v>12</v>
      </c>
      <c r="F75" s="6">
        <f>-E75</f>
        <v/>
      </c>
      <c r="G75" s="7">
        <f>(F75-AVERAGE($F$2:INDEX($F:$F,LOOKUP(2,1/(ISNUMBER($A$2:$A$1048576)),ROW($A$2:$A$1048576)))))/_xlfn.STDEV.P($F$2:INDEX($F:$F,LOOKUP(2,1/(ISNUMBER($A$2:$A$1048576)),ROW($A$2:$A$1048576))))</f>
        <v/>
      </c>
      <c r="H75" s="32">
        <f>sum(0.5*D75)+(0.5*G75)</f>
        <v/>
      </c>
      <c r="I75" s="12" t="inlineStr">
        <is>
          <t>East</t>
        </is>
      </c>
      <c r="J75" s="10">
        <f>sum(L75*L$105)+(N75*N$105)+(P75*P$105)+(T75*R$105)</f>
        <v/>
      </c>
      <c r="K75" s="33">
        <f>PERCENTRANK(J$2:INDEX($J:$J,LOOKUP(2,1/(ISNUMBER($A$2:$A$1048576)),ROW($A$2:$A$1048576))),J75)</f>
        <v/>
      </c>
      <c r="L75" s="10">
        <f>sum(AA75*0.66)+(AD75*0.55)+(AG75*0.59)+(CG75*0.51)+(CL75*0.6)+(EY75*0.31)</f>
        <v/>
      </c>
      <c r="M75" s="33">
        <f>PERCENTRANK(L$2:INDEX($L:$L,LOOKUP(2,1/(ISNUMBER($A$2:$A$1048576)),ROW($A$2:$A$1048576))),L75)</f>
        <v/>
      </c>
      <c r="N75" s="10">
        <f>sum(CT75*0.57)+(CW75*0.71)+(DJ75*0.08)+(FC75*0.33)+(FG75*0.69)+(FM75*0.26)+(IU75*0.54)+(AU75*0.4)</f>
        <v/>
      </c>
      <c r="O75" s="33">
        <f>PERCENTRANK(N$2:INDEX($N:$N,LOOKUP(2,1/(ISNUMBER($A$2:$A$1048576)),ROW($A$2:$A$1048576))),N75)</f>
        <v/>
      </c>
      <c r="P75" s="10">
        <f>sum(BG75*0.51)+(CD75*0.51)+(DR75*0.11)+(EF75*0.42)+(EK75*0.44)+(W75*0.6)</f>
        <v/>
      </c>
      <c r="Q75" s="33">
        <f>PERCENTRANK(P$2:INDEX($P:$P,LOOKUP(2,1/(ISNUMBER($A$2:$A$1048576)),ROW($A$2:$A$1048576))),P75)</f>
        <v/>
      </c>
      <c r="R75" s="10">
        <f>sum(Y75-FE75)</f>
        <v/>
      </c>
      <c r="S75" s="33">
        <f>PERCENTRANK(R$2:INDEX($R:$R,LOOKUP(2,1/(ISNUMBER($A$2:$A$1048576)),ROW($A$2:$A$1048576))),R75)</f>
        <v/>
      </c>
      <c r="T75" s="34">
        <f>sum(R75-R$106)/R$107</f>
        <v/>
      </c>
      <c r="U75" s="35">
        <f>sum(Y75/AI75)*100</f>
        <v/>
      </c>
      <c r="V75" s="33">
        <f>PERCENTRANK(U$2:INDEX($U:$U,LOOKUP(2,1/(ISNUMBER($A$2:$A$1048576)),ROW($A$2:$A$1048576))),U75)</f>
        <v/>
      </c>
      <c r="W75" s="36">
        <f>sum(U75-U$106)/U$107</f>
        <v/>
      </c>
      <c r="X75" s="9" t="n">
        <v>1.18</v>
      </c>
      <c r="Y75" s="9" t="n">
        <v>1.19</v>
      </c>
      <c r="Z75" s="33">
        <f>PERCENTRANK(Y$2:INDEX($Y:$Y,LOOKUP(2,1/(ISNUMBER($A$2:$A$1048576)),ROW($A$2:$A$1048576))),Y75)</f>
        <v/>
      </c>
      <c r="AA75" s="37">
        <f>sum(Y75-Y$106)/Y$107</f>
        <v/>
      </c>
      <c r="AB75" s="9" t="n">
        <v>9.56</v>
      </c>
      <c r="AC75" s="33">
        <f>PERCENTRANK(AB$2:INDEX($AB:$AB,LOOKUP(2,1/(ISNUMBER($A$2:$A$1048576)),ROW($A$2:$A$1048576))),AB75)</f>
        <v/>
      </c>
      <c r="AD75" s="38">
        <f>sum(AB75-AB$106)/AB$107</f>
        <v/>
      </c>
      <c r="AE75" s="9" t="n">
        <v>3.47</v>
      </c>
      <c r="AF75" s="33">
        <f>PERCENTRANK(AE$2:INDEX($AE:$AE,LOOKUP(2,1/(ISNUMBER($A$2:$A$1048576)),ROW($A$2:$A$1048576))),AE75)</f>
        <v/>
      </c>
      <c r="AG75" s="38">
        <f>sum(AE75-AE$106)/AE$107</f>
        <v/>
      </c>
      <c r="AH75" s="9" t="n">
        <v>36.31</v>
      </c>
      <c r="AI75" s="9" t="n">
        <v>402.68</v>
      </c>
      <c r="AJ75" s="9" t="n">
        <v>336.38</v>
      </c>
      <c r="AK75" s="9" t="n">
        <v>83.54000000000001</v>
      </c>
      <c r="AL75" s="9" t="n">
        <v>49.4</v>
      </c>
      <c r="AM75" s="9" t="n">
        <v>95.06</v>
      </c>
      <c r="AN75" s="9" t="n">
        <v>17.94</v>
      </c>
      <c r="AO75" s="9" t="n">
        <v>32.47</v>
      </c>
      <c r="AP75" s="9" t="n">
        <v>44.65</v>
      </c>
      <c r="AQ75" s="9" t="n">
        <v>71.94</v>
      </c>
      <c r="AR75" s="9" t="n">
        <v>35.24</v>
      </c>
      <c r="AS75" s="9" t="n">
        <v>26.68</v>
      </c>
      <c r="AT75" s="33">
        <f>PERCENTRANK(AS$2:INDEX($AS:$AS,LOOKUP(2,1/(ISNUMBER($A$2:$A$1048576)),ROW($A$2:$A$1048576))),AS75)</f>
        <v/>
      </c>
      <c r="AU75" s="39">
        <f>SUM(AS75-AS$106)/AS$107</f>
        <v/>
      </c>
      <c r="AV75" s="9" t="n">
        <v>10.03</v>
      </c>
      <c r="AW75" s="33">
        <f>PERCENTRANK(AV$2:INDEX($AV:$AV,LOOKUP(2,1/(ISNUMBER($A$2:$A$1048576)),ROW($A$2:$A$1048576))),AV75)</f>
        <v/>
      </c>
      <c r="AX75" s="9" t="n">
        <v>194.74</v>
      </c>
      <c r="AY75" s="9" t="n">
        <v>93.12</v>
      </c>
      <c r="AZ75" s="9" t="n">
        <v>47.82</v>
      </c>
      <c r="BA75" s="9" t="n">
        <v>4.18</v>
      </c>
      <c r="BB75" s="9" t="n">
        <v>1.29</v>
      </c>
      <c r="BC75" s="9" t="n">
        <v>30.99</v>
      </c>
      <c r="BD75" s="9" t="n">
        <v>27.06</v>
      </c>
      <c r="BE75" s="9" t="n">
        <v>6.03</v>
      </c>
      <c r="BF75" s="33">
        <f>PERCENTRANK(BE$2:INDEX($BE:$BE,LOOKUP(2,1/(ISNUMBER($A$2:$A$1048576)),ROW($A$2:$A$1048576))),BE75)</f>
        <v/>
      </c>
      <c r="BG75" s="40">
        <f>sum(BE75-BE$106)/BE$107</f>
        <v/>
      </c>
      <c r="BH75" s="9" t="n">
        <v>22.28</v>
      </c>
      <c r="BI75" s="9" t="n">
        <v>1.62</v>
      </c>
      <c r="BJ75" s="9" t="n">
        <v>0.59</v>
      </c>
      <c r="BK75" s="9" t="n">
        <v>36.36</v>
      </c>
      <c r="BL75" s="9" t="n">
        <v>25.38</v>
      </c>
      <c r="BM75" s="9" t="n">
        <v>2.5</v>
      </c>
      <c r="BN75" s="9" t="n">
        <v>9.85</v>
      </c>
      <c r="BO75" s="9" t="n">
        <v>4.32</v>
      </c>
      <c r="BP75" s="9" t="n">
        <v>1.12</v>
      </c>
      <c r="BQ75" s="9" t="n">
        <v>25.85</v>
      </c>
      <c r="BR75" s="9" t="n">
        <v>1.91</v>
      </c>
      <c r="BS75" s="9" t="n">
        <v>0.29</v>
      </c>
      <c r="BT75" s="9" t="n">
        <v>15.38</v>
      </c>
      <c r="BU75" s="9" t="n">
        <v>0.15</v>
      </c>
      <c r="BV75" s="9" t="n">
        <v>0.15</v>
      </c>
      <c r="BW75" s="9" t="n">
        <v>100</v>
      </c>
      <c r="BX75" s="9" t="n">
        <v>14.56</v>
      </c>
      <c r="BY75" s="9" t="n">
        <v>4.5</v>
      </c>
      <c r="BZ75" s="9" t="n">
        <v>30.91</v>
      </c>
      <c r="CA75" s="9" t="n">
        <v>4.82</v>
      </c>
      <c r="CB75" s="9" t="n">
        <v>6.03</v>
      </c>
      <c r="CC75" s="33">
        <f>PERCENTRANK(CD$2:INDEX($CD:$CD,LOOKUP(2,1/(ISNUMBER($A$2:$A$1048576)),ROW($A$2:$A$1048576))),CD75)</f>
        <v/>
      </c>
      <c r="CD75" s="40">
        <f>sum(CB75-CB$106)/CB$107</f>
        <v/>
      </c>
      <c r="CE75" s="9" t="n">
        <v>23.24</v>
      </c>
      <c r="CF75" s="33">
        <f>PERCENTRANK(CE$2:INDEX($CE:$CE,LOOKUP(2,1/(ISNUMBER($A$2:$A$1048576)),ROW($A$2:$A$1048576))),CE75)</f>
        <v/>
      </c>
      <c r="CG75" s="38">
        <f>sum(CE75-CE$106)/CE$107</f>
        <v/>
      </c>
      <c r="CH75" s="9" t="n">
        <v>3.74</v>
      </c>
      <c r="CI75" s="9" t="n">
        <v>8.76</v>
      </c>
      <c r="CJ75" s="9" t="n">
        <v>14.88</v>
      </c>
      <c r="CK75" s="33">
        <f>PERCENTRANK(CJ$2:INDEX($CJ:$CJ,LOOKUP(2,1/(ISNUMBER($A$2:$A$1048576)),ROW($A$2:$A$1048576))),CJ75)</f>
        <v/>
      </c>
      <c r="CL75" s="38">
        <f>sum(CJ75-CJ$106)/CJ$107</f>
        <v/>
      </c>
      <c r="CM75" s="9" t="n">
        <v>61.71</v>
      </c>
      <c r="CN75" s="9" t="n">
        <v>27.24</v>
      </c>
      <c r="CO75" s="9" t="n">
        <v>44.14</v>
      </c>
      <c r="CP75" s="9" t="n">
        <v>2.62</v>
      </c>
      <c r="CQ75" s="9" t="n">
        <v>2.32</v>
      </c>
      <c r="CR75" s="9" t="n">
        <v>13.71</v>
      </c>
      <c r="CS75" s="33">
        <f>PERCENTRANK(CR$2:INDEX($CR:$CR,LOOKUP(2,1/(ISNUMBER($A$2:$A$1048576)),ROW($A$2:$A$1048576))),CR75)</f>
        <v/>
      </c>
      <c r="CT75" s="39">
        <f>1-(CR75-CR$106)/CR$107</f>
        <v/>
      </c>
      <c r="CU75" s="9" t="n">
        <v>5.21</v>
      </c>
      <c r="CV75" s="33">
        <f>PERCENTRANK(CU$2:INDEX($CU:$CU,LOOKUP(2,1/(ISNUMBER($A$2:$A$1048576)),ROW($A$2:$A$1048576))),CU75)</f>
        <v/>
      </c>
      <c r="CW75" s="39">
        <f>1-(CU75-CU$106)/CU$107</f>
        <v/>
      </c>
      <c r="CX75" s="9" t="n">
        <v>37.98</v>
      </c>
      <c r="CY75" s="9" t="n">
        <v>63.97</v>
      </c>
      <c r="CZ75" s="9" t="n">
        <v>37.53</v>
      </c>
      <c r="DA75" s="9" t="n">
        <v>58.67</v>
      </c>
      <c r="DB75" s="9" t="n">
        <v>38.59</v>
      </c>
      <c r="DC75" s="9" t="n">
        <v>16.47</v>
      </c>
      <c r="DD75" s="9" t="n">
        <v>42.68</v>
      </c>
      <c r="DE75" s="9" t="n">
        <v>6.06</v>
      </c>
      <c r="DF75" s="9" t="n">
        <v>2.94</v>
      </c>
      <c r="DG75" s="9" t="n">
        <v>48.54</v>
      </c>
      <c r="DH75" s="9" t="n">
        <v>37.59</v>
      </c>
      <c r="DI75" s="33">
        <f>PERCENTRANK(DH$2:INDEX($DH:$DH,LOOKUP(2,1/(ISNUMBER($A$2:$A$1048576)),ROW($A$2:$A$1048576))),DH75)</f>
        <v/>
      </c>
      <c r="DJ75" s="39">
        <f>SUM(DH75-DH$106)/DH$107</f>
        <v/>
      </c>
      <c r="DK75" s="9" t="n">
        <v>16.12</v>
      </c>
      <c r="DL75" s="9" t="n">
        <v>13.29</v>
      </c>
      <c r="DM75" s="9" t="n">
        <v>2.79</v>
      </c>
      <c r="DN75" s="9" t="n">
        <v>0.09</v>
      </c>
      <c r="DO75" s="9" t="n">
        <v>132.65</v>
      </c>
      <c r="DP75" s="9" t="n">
        <v>96.15000000000001</v>
      </c>
      <c r="DQ75" s="33">
        <f>PERCENTRANK(DP$2:INDEX($DP:$DP,LOOKUP(2,1/(ISNUMBER($A$2:$A$1048576)),ROW($A$2:$A$1048576))),DP75)</f>
        <v/>
      </c>
      <c r="DR75" s="40">
        <f>sum(DP75-DP$106)/DP$107</f>
        <v/>
      </c>
      <c r="DS75" s="9" t="n">
        <v>72.48</v>
      </c>
      <c r="DT75" s="9" t="n">
        <v>59.32</v>
      </c>
      <c r="DU75" s="9" t="n">
        <v>55.53</v>
      </c>
      <c r="DV75" s="9" t="n">
        <v>93.59999999999999</v>
      </c>
      <c r="DW75" s="9" t="n">
        <v>154.18</v>
      </c>
      <c r="DX75" s="9" t="n">
        <v>137.68</v>
      </c>
      <c r="DY75" s="9" t="n">
        <v>89.3</v>
      </c>
      <c r="DZ75" s="9" t="n">
        <v>43.47</v>
      </c>
      <c r="EA75" s="9" t="n">
        <v>22.94</v>
      </c>
      <c r="EB75" s="9" t="n">
        <v>52.77</v>
      </c>
      <c r="EC75" s="9" t="n">
        <v>52.76</v>
      </c>
      <c r="ED75" s="9" t="n">
        <v>35.68</v>
      </c>
      <c r="EE75" s="33">
        <f>PERCENTRANK(ED$2:INDEX($ED:$ED,LOOKUP(2,1/(ISNUMBER($A$2:$A$1048576)),ROW($A$2:$A$1048576))),ED75)</f>
        <v/>
      </c>
      <c r="EF75" s="40">
        <f>sum(ED75-ED$106)/ED$107</f>
        <v/>
      </c>
      <c r="EG75" s="9" t="n">
        <v>67.61</v>
      </c>
      <c r="EH75" s="9" t="n">
        <v>67.53</v>
      </c>
      <c r="EI75" s="9" t="n">
        <v>48.71</v>
      </c>
      <c r="EJ75" s="33">
        <f>PERCENTRANK(EI$2:INDEX($EI:$EI,LOOKUP(2,1/(ISNUMBER($A$2:$A$1048576)),ROW($A$2:$A$1048576))),EI75)</f>
        <v/>
      </c>
      <c r="EK75" s="40">
        <f>sum(EI75-EI$106)/EI$107</f>
        <v/>
      </c>
      <c r="EL75" s="9" t="n">
        <v>72.13</v>
      </c>
      <c r="EM75" s="9" t="n">
        <v>3.06</v>
      </c>
      <c r="EN75" s="9" t="n">
        <v>1.09</v>
      </c>
      <c r="EO75" s="9" t="n">
        <v>35.58</v>
      </c>
      <c r="EP75" s="9" t="n">
        <v>20.09</v>
      </c>
      <c r="EQ75" s="9" t="n">
        <v>17.91</v>
      </c>
      <c r="ER75" s="9" t="n">
        <v>89.17</v>
      </c>
      <c r="ES75" s="9" t="n">
        <v>8.82</v>
      </c>
      <c r="ET75" s="9" t="n">
        <v>15.76</v>
      </c>
      <c r="EU75" s="9" t="n">
        <v>4.01</v>
      </c>
      <c r="EV75" s="9" t="n">
        <v>11.57</v>
      </c>
      <c r="EW75" s="9" t="n">
        <v>18.09</v>
      </c>
      <c r="EX75" s="33">
        <f>PERCENTRANK(EW$2:INDEX($EW:$EW,LOOKUP(2,1/(ISNUMBER($A$2:$A$1048576)),ROW($A$2:$A$1048576))),EW75)</f>
        <v/>
      </c>
      <c r="EY75" s="38">
        <f>1-(EW75-EW$106)/EW$107</f>
        <v/>
      </c>
      <c r="EZ75" s="9" t="n">
        <v>20.21</v>
      </c>
      <c r="FA75" s="9" t="n">
        <v>12.13</v>
      </c>
      <c r="FB75" s="33">
        <f>PERCENTRANK(FA$2:INDEX($FA:$FA,LOOKUP(2,1/(ISNUMBER($A$2:$A$1048576)),ROW($A$2:$A$1048576))),FA75)</f>
        <v/>
      </c>
      <c r="FC75" s="39">
        <f>1-(FA75-FA$106)/FA$107</f>
        <v/>
      </c>
      <c r="FD75" s="9" t="n">
        <v>2.32</v>
      </c>
      <c r="FE75" s="9" t="n">
        <v>1.78</v>
      </c>
      <c r="FF75" s="33">
        <f>PERCENTRANK(FE$2:INDEX($FE:$FE,LOOKUP(2,1/(ISNUMBER($A$2:$A$1048576)),ROW($A$2:$A$1048576))),FE75)</f>
        <v/>
      </c>
      <c r="FG75" s="39">
        <f>1-(FE75-FE$106)/FE$107</f>
        <v/>
      </c>
      <c r="FH75" s="9" t="n">
        <v>13.71</v>
      </c>
      <c r="FI75" s="9" t="n">
        <v>4.94</v>
      </c>
      <c r="FJ75" s="9" t="n">
        <v>36.05</v>
      </c>
      <c r="FK75" s="9" t="n">
        <v>414.76</v>
      </c>
      <c r="FL75" s="33">
        <f>PERCENTRANK(FK$2:INDEX($FK:$FK,LOOKUP(2,1/(ISNUMBER($A$2:$A$1048576)),ROW($A$2:$A$1048576))),FK75)</f>
        <v/>
      </c>
      <c r="FM75" s="39">
        <f>SWA74-(FK75-FK$106)/FK$107</f>
        <v/>
      </c>
      <c r="FN75" s="9" t="n">
        <v>349.06</v>
      </c>
      <c r="FO75" s="9" t="n">
        <v>84.16</v>
      </c>
      <c r="FP75" s="9" t="n">
        <v>50.6</v>
      </c>
      <c r="FQ75" s="9" t="n">
        <v>96.34999999999999</v>
      </c>
      <c r="FR75" s="9" t="n">
        <v>17.82</v>
      </c>
      <c r="FS75" s="9" t="n">
        <v>31.38</v>
      </c>
      <c r="FT75" s="9" t="n">
        <v>47.15</v>
      </c>
      <c r="FU75" s="9" t="n">
        <v>75.97</v>
      </c>
      <c r="FV75" s="9" t="n">
        <v>35.44</v>
      </c>
      <c r="FW75" s="9" t="n">
        <v>28.62</v>
      </c>
      <c r="FX75" s="9" t="n">
        <v>11.91</v>
      </c>
      <c r="FY75" s="9" t="n">
        <v>194.74</v>
      </c>
      <c r="FZ75" s="9" t="n">
        <v>92.68000000000001</v>
      </c>
      <c r="GA75" s="9" t="n">
        <v>47.59</v>
      </c>
      <c r="GB75" s="9" t="n">
        <v>5.44</v>
      </c>
      <c r="GC75" s="9" t="n">
        <v>1.24</v>
      </c>
      <c r="GD75" s="9" t="n">
        <v>22.7</v>
      </c>
      <c r="GE75" s="9" t="n">
        <v>29.88</v>
      </c>
      <c r="GF75" s="9" t="n">
        <v>7.62</v>
      </c>
      <c r="GG75" s="9" t="n">
        <v>25.49</v>
      </c>
      <c r="GH75" s="9" t="n">
        <v>1.79</v>
      </c>
      <c r="GI75" s="9" t="n">
        <v>1.06</v>
      </c>
      <c r="GJ75" s="9" t="n">
        <v>59.02</v>
      </c>
      <c r="GK75" s="9" t="n">
        <v>29.09</v>
      </c>
      <c r="GL75" s="9" t="n">
        <v>4.24</v>
      </c>
      <c r="GM75" s="9" t="n">
        <v>14.56</v>
      </c>
      <c r="GN75" s="9" t="n">
        <v>5.97</v>
      </c>
      <c r="GO75" s="9" t="n">
        <v>1.79</v>
      </c>
      <c r="GP75" s="9" t="n">
        <v>30.05</v>
      </c>
      <c r="GQ75" s="9" t="n">
        <v>2.35</v>
      </c>
      <c r="GR75" s="9" t="n">
        <v>0.65</v>
      </c>
      <c r="GS75" s="9" t="n">
        <v>27.5</v>
      </c>
      <c r="GT75" s="9" t="n">
        <v>0.21</v>
      </c>
      <c r="GU75" s="9" t="n">
        <v>0.18</v>
      </c>
      <c r="GV75" s="9" t="n">
        <v>85.70999999999999</v>
      </c>
      <c r="GW75" s="9" t="n">
        <v>14.97</v>
      </c>
      <c r="GX75" s="9" t="n">
        <v>4.85</v>
      </c>
      <c r="GY75" s="9" t="n">
        <v>32.42</v>
      </c>
      <c r="GZ75" s="9" t="n">
        <v>4.71</v>
      </c>
      <c r="HA75" s="9" t="n">
        <v>7.71</v>
      </c>
      <c r="HB75" s="9" t="n">
        <v>24.12</v>
      </c>
      <c r="HC75" s="9" t="n">
        <v>4.21</v>
      </c>
      <c r="HD75" s="9" t="n">
        <v>9.380000000000001</v>
      </c>
      <c r="HE75" s="9" t="n">
        <v>18.26</v>
      </c>
      <c r="HF75" s="9" t="n">
        <v>63.97</v>
      </c>
      <c r="HG75" s="9" t="n">
        <v>26.44</v>
      </c>
      <c r="HH75" s="9" t="n">
        <v>41.33</v>
      </c>
      <c r="HI75" s="9" t="n">
        <v>1.59</v>
      </c>
      <c r="HJ75" s="9" t="n">
        <v>1.18</v>
      </c>
      <c r="HK75" s="9" t="n">
        <v>9.56</v>
      </c>
      <c r="HL75" s="9" t="n">
        <v>3.79</v>
      </c>
      <c r="HM75" s="9" t="n">
        <v>39.69</v>
      </c>
      <c r="HN75" s="9" t="n">
        <v>61.71</v>
      </c>
      <c r="HO75" s="9" t="n">
        <v>34.47</v>
      </c>
      <c r="HP75" s="9" t="n">
        <v>55.86</v>
      </c>
      <c r="HQ75" s="9" t="n">
        <v>38.59</v>
      </c>
      <c r="HR75" s="9" t="n">
        <v>18.53</v>
      </c>
      <c r="HS75" s="9" t="n">
        <v>48.02</v>
      </c>
      <c r="HT75" s="9" t="n">
        <v>3.74</v>
      </c>
      <c r="HU75" s="9" t="n">
        <v>1.85</v>
      </c>
      <c r="HV75" s="9" t="n">
        <v>49.61</v>
      </c>
      <c r="HW75" s="9" t="n">
        <v>36.18</v>
      </c>
      <c r="HX75" s="9" t="n">
        <v>14.21</v>
      </c>
      <c r="HY75" s="9" t="n">
        <v>12.24</v>
      </c>
      <c r="HZ75" s="9" t="n">
        <v>2.26</v>
      </c>
      <c r="IA75" s="9" t="n">
        <v>0.09</v>
      </c>
      <c r="IB75" s="9" t="n">
        <v>134</v>
      </c>
      <c r="IC75" s="9" t="n">
        <v>99.18000000000001</v>
      </c>
      <c r="ID75" s="9" t="n">
        <v>74.01000000000001</v>
      </c>
      <c r="IE75" s="9" t="n">
        <v>59.65</v>
      </c>
      <c r="IF75" s="9" t="n">
        <v>56.29</v>
      </c>
      <c r="IG75" s="9" t="n">
        <v>94.38</v>
      </c>
      <c r="IH75" s="9" t="n">
        <v>162.59</v>
      </c>
      <c r="II75" s="9" t="n">
        <v>144.94</v>
      </c>
      <c r="IJ75" s="9" t="n">
        <v>89.15000000000001</v>
      </c>
      <c r="IK75" s="9" t="n">
        <v>43.62</v>
      </c>
      <c r="IL75" s="9" t="n">
        <v>23.79</v>
      </c>
      <c r="IM75" s="9" t="n">
        <v>54.55</v>
      </c>
      <c r="IN75" s="9" t="n">
        <v>54.62</v>
      </c>
      <c r="IO75" s="9" t="n">
        <v>39.35</v>
      </c>
      <c r="IP75" s="9" t="n">
        <v>72.05</v>
      </c>
      <c r="IQ75" s="9" t="n">
        <v>69.12</v>
      </c>
      <c r="IR75" s="9" t="n">
        <v>52.03</v>
      </c>
      <c r="IS75" s="9" t="n">
        <v>75.28</v>
      </c>
      <c r="IT75" s="33">
        <f>PERCENTRANK(IS$2:INDEX($IS:$IS,LOOKUP(2,1/(ISNUMBER($A$2:$A$1048576)),ROW($A$2:$A$1048576))),IS75)</f>
        <v/>
      </c>
      <c r="IU75" s="39">
        <f>1-(IS75-IS$106)/IS$107</f>
        <v/>
      </c>
      <c r="IV75" s="9" t="n">
        <v>3.91</v>
      </c>
      <c r="IW75" s="9" t="n">
        <v>1.76</v>
      </c>
      <c r="IX75" s="9" t="n">
        <v>45.11</v>
      </c>
      <c r="IY75" s="9" t="n">
        <v>19.91</v>
      </c>
      <c r="IZ75" s="9" t="n">
        <v>17.74</v>
      </c>
      <c r="JA75" s="9" t="n">
        <v>89.06999999999999</v>
      </c>
      <c r="JB75" s="9" t="n">
        <v>8.5</v>
      </c>
      <c r="JC75" s="9" t="n">
        <v>15.97</v>
      </c>
      <c r="JD75" s="9" t="n">
        <v>4.01</v>
      </c>
      <c r="JE75" s="9" t="n">
        <v>11.15</v>
      </c>
      <c r="JF75" s="9" t="n">
        <v>17.71</v>
      </c>
      <c r="JG75" s="9" t="n">
        <v>20.24</v>
      </c>
      <c r="JH75" s="9" t="n">
        <v>12.46</v>
      </c>
    </row>
    <row r="76">
      <c r="A76" s="12" t="n">
        <v>2023</v>
      </c>
      <c r="B76" s="31" t="inlineStr">
        <is>
          <t>Tampa Bay Rowdies</t>
        </is>
      </c>
      <c r="C76" s="12" t="n">
        <v>63</v>
      </c>
      <c r="D76" s="5">
        <f>(C76-AVERAGE($C$2:INDEX($C:$C,LOOKUP(2,1/(ISNUMBER($A$2:$A$1048576)),ROW($A$2:$A$1048576)))))/_xlfn.STDEV.P($C$2:INDEX($C:$C,LOOKUP(2,1/(ISNUMBER($A$2:$A$1048576)),ROW($A$2:$A$1048576))))</f>
        <v/>
      </c>
      <c r="E76" s="12" t="n">
        <v>2</v>
      </c>
      <c r="F76" s="6">
        <f>-E76</f>
        <v/>
      </c>
      <c r="G76" s="7">
        <f>(F76-AVERAGE($F$2:INDEX($F:$F,LOOKUP(2,1/(ISNUMBER($A$2:$A$1048576)),ROW($A$2:$A$1048576)))))/_xlfn.STDEV.P($F$2:INDEX($F:$F,LOOKUP(2,1/(ISNUMBER($A$2:$A$1048576)),ROW($A$2:$A$1048576))))</f>
        <v/>
      </c>
      <c r="H76" s="32">
        <f>sum(0.5*D76)+(0.5*G76)</f>
        <v/>
      </c>
      <c r="I76" s="12" t="inlineStr">
        <is>
          <t>East</t>
        </is>
      </c>
      <c r="J76" s="10">
        <f>sum(L76*L$105)+(N76*N$105)+(P76*P$105)+(T76*R$105)</f>
        <v/>
      </c>
      <c r="K76" s="33">
        <f>PERCENTRANK(J$2:INDEX($J:$J,LOOKUP(2,1/(ISNUMBER($A$2:$A$1048576)),ROW($A$2:$A$1048576))),J76)</f>
        <v/>
      </c>
      <c r="L76" s="10">
        <f>sum(AA76*0.66)+(AD76*0.55)+(AG76*0.59)+(CG76*0.51)+(CL76*0.6)+(EY76*0.31)</f>
        <v/>
      </c>
      <c r="M76" s="33">
        <f>PERCENTRANK(L$2:INDEX($L:$L,LOOKUP(2,1/(ISNUMBER($A$2:$A$1048576)),ROW($A$2:$A$1048576))),L76)</f>
        <v/>
      </c>
      <c r="N76" s="10">
        <f>sum(CT76*0.57)+(CW76*0.71)+(DJ76*0.08)+(FC76*0.33)+(FG76*0.69)+(FM76*0.26)+(IU76*0.54)+(AU76*0.4)</f>
        <v/>
      </c>
      <c r="O76" s="33">
        <f>PERCENTRANK(N$2:INDEX($N:$N,LOOKUP(2,1/(ISNUMBER($A$2:$A$1048576)),ROW($A$2:$A$1048576))),N76)</f>
        <v/>
      </c>
      <c r="P76" s="10">
        <f>sum(BG76*0.51)+(CD76*0.51)+(DR76*0.11)+(EF76*0.42)+(EK76*0.44)+(W76*0.6)</f>
        <v/>
      </c>
      <c r="Q76" s="33">
        <f>PERCENTRANK(P$2:INDEX($P:$P,LOOKUP(2,1/(ISNUMBER($A$2:$A$1048576)),ROW($A$2:$A$1048576))),P76)</f>
        <v/>
      </c>
      <c r="R76" s="10">
        <f>sum(Y76-FE76)</f>
        <v/>
      </c>
      <c r="S76" s="33">
        <f>PERCENTRANK(R$2:INDEX($R:$R,LOOKUP(2,1/(ISNUMBER($A$2:$A$1048576)),ROW($A$2:$A$1048576))),R76)</f>
        <v/>
      </c>
      <c r="T76" s="34">
        <f>sum(R76-R$106)/R$107</f>
        <v/>
      </c>
      <c r="U76" s="35">
        <f>sum(Y76/AI76)*100</f>
        <v/>
      </c>
      <c r="V76" s="33">
        <f>PERCENTRANK(U$2:INDEX($U:$U,LOOKUP(2,1/(ISNUMBER($A$2:$A$1048576)),ROW($A$2:$A$1048576))),U76)</f>
        <v/>
      </c>
      <c r="W76" s="36">
        <f>sum(U76-U$106)/U$107</f>
        <v/>
      </c>
      <c r="X76" s="9" t="n">
        <v>1.71</v>
      </c>
      <c r="Y76" s="9" t="n">
        <v>1.41</v>
      </c>
      <c r="Z76" s="33">
        <f>PERCENTRANK(Y$2:INDEX($Y:$Y,LOOKUP(2,1/(ISNUMBER($A$2:$A$1048576)),ROW($A$2:$A$1048576))),Y76)</f>
        <v/>
      </c>
      <c r="AA76" s="37">
        <f>sum(Y76-Y$106)/Y$107</f>
        <v/>
      </c>
      <c r="AB76" s="9" t="n">
        <v>10.63</v>
      </c>
      <c r="AC76" s="33">
        <f>PERCENTRANK(AB$2:INDEX($AB:$AB,LOOKUP(2,1/(ISNUMBER($A$2:$A$1048576)),ROW($A$2:$A$1048576))),AB76)</f>
        <v/>
      </c>
      <c r="AD76" s="38">
        <f>sum(AB76-AB$106)/AB$107</f>
        <v/>
      </c>
      <c r="AE76" s="9" t="n">
        <v>4.11</v>
      </c>
      <c r="AF76" s="33">
        <f>PERCENTRANK(AE$2:INDEX($AE:$AE,LOOKUP(2,1/(ISNUMBER($A$2:$A$1048576)),ROW($A$2:$A$1048576))),AE76)</f>
        <v/>
      </c>
      <c r="AG76" s="38">
        <f>sum(AE76-AE$106)/AE$107</f>
        <v/>
      </c>
      <c r="AH76" s="9" t="n">
        <v>38.71</v>
      </c>
      <c r="AI76" s="9" t="n">
        <v>415.17</v>
      </c>
      <c r="AJ76" s="9" t="n">
        <v>350.11</v>
      </c>
      <c r="AK76" s="9" t="n">
        <v>84.33</v>
      </c>
      <c r="AL76" s="9" t="n">
        <v>49.56</v>
      </c>
      <c r="AM76" s="9" t="n">
        <v>94.26000000000001</v>
      </c>
      <c r="AN76" s="9" t="n">
        <v>16.69</v>
      </c>
      <c r="AO76" s="9" t="n">
        <v>34.06</v>
      </c>
      <c r="AP76" s="9" t="n">
        <v>43.51</v>
      </c>
      <c r="AQ76" s="9" t="n">
        <v>72.26000000000001</v>
      </c>
      <c r="AR76" s="9" t="n">
        <v>32.66</v>
      </c>
      <c r="AS76" s="9" t="n">
        <v>29.6</v>
      </c>
      <c r="AT76" s="33">
        <f>PERCENTRANK(AS$2:INDEX($AS:$AS,LOOKUP(2,1/(ISNUMBER($A$2:$A$1048576)),ROW($A$2:$A$1048576))),AS76)</f>
        <v/>
      </c>
      <c r="AU76" s="39">
        <f>SUM(AS76-AS$106)/AS$107</f>
        <v/>
      </c>
      <c r="AV76" s="9" t="n">
        <v>10</v>
      </c>
      <c r="AW76" s="33">
        <f>PERCENTRANK(AV$2:INDEX($AV:$AV,LOOKUP(2,1/(ISNUMBER($A$2:$A$1048576)),ROW($A$2:$A$1048576))),AV76)</f>
        <v/>
      </c>
      <c r="AX76" s="9" t="n">
        <v>174.46</v>
      </c>
      <c r="AY76" s="9" t="n">
        <v>87.73999999999999</v>
      </c>
      <c r="AZ76" s="9" t="n">
        <v>50.29</v>
      </c>
      <c r="BA76" s="9" t="n">
        <v>3.86</v>
      </c>
      <c r="BB76" s="9" t="n">
        <v>1.03</v>
      </c>
      <c r="BC76" s="9" t="n">
        <v>26.67</v>
      </c>
      <c r="BD76" s="9" t="n">
        <v>27.06</v>
      </c>
      <c r="BE76" s="9" t="n">
        <v>6.06</v>
      </c>
      <c r="BF76" s="33">
        <f>PERCENTRANK(BE$2:INDEX($BE:$BE,LOOKUP(2,1/(ISNUMBER($A$2:$A$1048576)),ROW($A$2:$A$1048576))),BE76)</f>
        <v/>
      </c>
      <c r="BG76" s="40">
        <f>sum(BE76-BE$106)/BE$107</f>
        <v/>
      </c>
      <c r="BH76" s="9" t="n">
        <v>22.39</v>
      </c>
      <c r="BI76" s="9" t="n">
        <v>1.71</v>
      </c>
      <c r="BJ76" s="9" t="n">
        <v>0.83</v>
      </c>
      <c r="BK76" s="9" t="n">
        <v>48.33</v>
      </c>
      <c r="BL76" s="9" t="n">
        <v>26.71</v>
      </c>
      <c r="BM76" s="9" t="n">
        <v>3.09</v>
      </c>
      <c r="BN76" s="9" t="n">
        <v>11.55</v>
      </c>
      <c r="BO76" s="9" t="n">
        <v>4.91</v>
      </c>
      <c r="BP76" s="9" t="n">
        <v>1.31</v>
      </c>
      <c r="BQ76" s="9" t="n">
        <v>26.74</v>
      </c>
      <c r="BR76" s="9" t="n">
        <v>2.51</v>
      </c>
      <c r="BS76" s="9" t="n">
        <v>0.49</v>
      </c>
      <c r="BT76" s="9" t="n">
        <v>19.32</v>
      </c>
      <c r="BU76" s="9" t="n">
        <v>0.2</v>
      </c>
      <c r="BV76" s="9" t="n">
        <v>0.14</v>
      </c>
      <c r="BW76" s="9" t="n">
        <v>71.43000000000001</v>
      </c>
      <c r="BX76" s="9" t="n">
        <v>11.69</v>
      </c>
      <c r="BY76" s="9" t="n">
        <v>4.14</v>
      </c>
      <c r="BZ76" s="9" t="n">
        <v>35.45</v>
      </c>
      <c r="CA76" s="9" t="n">
        <v>3.94</v>
      </c>
      <c r="CB76" s="9" t="n">
        <v>6</v>
      </c>
      <c r="CC76" s="33">
        <f>PERCENTRANK(CD$2:INDEX($CD:$CD,LOOKUP(2,1/(ISNUMBER($A$2:$A$1048576)),ROW($A$2:$A$1048576))),CD76)</f>
        <v/>
      </c>
      <c r="CD76" s="40">
        <f>sum(CB76-CB$106)/CB$107</f>
        <v/>
      </c>
      <c r="CE76" s="9" t="n">
        <v>20.8</v>
      </c>
      <c r="CF76" s="33">
        <f>PERCENTRANK(CE$2:INDEX($CE:$CE,LOOKUP(2,1/(ISNUMBER($A$2:$A$1048576)),ROW($A$2:$A$1048576))),CE76)</f>
        <v/>
      </c>
      <c r="CG76" s="38">
        <f>sum(CE76-CE$106)/CE$107</f>
        <v/>
      </c>
      <c r="CH76" s="9" t="n">
        <v>4.34</v>
      </c>
      <c r="CI76" s="9" t="n">
        <v>6.69</v>
      </c>
      <c r="CJ76" s="9" t="n">
        <v>14.63</v>
      </c>
      <c r="CK76" s="33">
        <f>PERCENTRANK(CJ$2:INDEX($CJ:$CJ,LOOKUP(2,1/(ISNUMBER($A$2:$A$1048576)),ROW($A$2:$A$1048576))),CJ76)</f>
        <v/>
      </c>
      <c r="CL76" s="38">
        <f>sum(CJ76-CJ$106)/CJ$107</f>
        <v/>
      </c>
      <c r="CM76" s="9" t="n">
        <v>61.46</v>
      </c>
      <c r="CN76" s="9" t="n">
        <v>26.37</v>
      </c>
      <c r="CO76" s="9" t="n">
        <v>42.91</v>
      </c>
      <c r="CP76" s="9" t="n">
        <v>1.8</v>
      </c>
      <c r="CQ76" s="9" t="n">
        <v>1.2</v>
      </c>
      <c r="CR76" s="9" t="n">
        <v>10.77</v>
      </c>
      <c r="CS76" s="33">
        <f>PERCENTRANK(CR$2:INDEX($CR:$CR,LOOKUP(2,1/(ISNUMBER($A$2:$A$1048576)),ROW($A$2:$A$1048576))),CR76)</f>
        <v/>
      </c>
      <c r="CT76" s="39">
        <f>1-(CR76-CR$106)/CR$107</f>
        <v/>
      </c>
      <c r="CU76" s="9" t="n">
        <v>3.97</v>
      </c>
      <c r="CV76" s="33">
        <f>PERCENTRANK(CU$2:INDEX($CU:$CU,LOOKUP(2,1/(ISNUMBER($A$2:$A$1048576)),ROW($A$2:$A$1048576))),CU76)</f>
        <v/>
      </c>
      <c r="CW76" s="39">
        <f>1-(CU76-CU$106)/CU$107</f>
        <v/>
      </c>
      <c r="CX76" s="9" t="n">
        <v>36.87</v>
      </c>
      <c r="CY76" s="9" t="n">
        <v>54.57</v>
      </c>
      <c r="CZ76" s="9" t="n">
        <v>32.54</v>
      </c>
      <c r="DA76" s="9" t="n">
        <v>59.63</v>
      </c>
      <c r="DB76" s="9" t="n">
        <v>31.54</v>
      </c>
      <c r="DC76" s="9" t="n">
        <v>16.89</v>
      </c>
      <c r="DD76" s="9" t="n">
        <v>53.53</v>
      </c>
      <c r="DE76" s="9" t="n">
        <v>2.57</v>
      </c>
      <c r="DF76" s="9" t="n">
        <v>1.37</v>
      </c>
      <c r="DG76" s="9" t="n">
        <v>53.33</v>
      </c>
      <c r="DH76" s="9" t="n">
        <v>38.43</v>
      </c>
      <c r="DI76" s="33">
        <f>PERCENTRANK(DH$2:INDEX($DH:$DH,LOOKUP(2,1/(ISNUMBER($A$2:$A$1048576)),ROW($A$2:$A$1048576))),DH76)</f>
        <v/>
      </c>
      <c r="DJ76" s="39">
        <f>SUM(DH76-DH$106)/DH$107</f>
        <v/>
      </c>
      <c r="DK76" s="9" t="n">
        <v>14.2</v>
      </c>
      <c r="DL76" s="9" t="n">
        <v>11.71</v>
      </c>
      <c r="DM76" s="9" t="n">
        <v>1.97</v>
      </c>
      <c r="DN76" s="9" t="n">
        <v>0.06</v>
      </c>
      <c r="DO76" s="9" t="n">
        <v>133.57</v>
      </c>
      <c r="DP76" s="9" t="n">
        <v>97.94</v>
      </c>
      <c r="DQ76" s="33">
        <f>PERCENTRANK(DP$2:INDEX($DP:$DP,LOOKUP(2,1/(ISNUMBER($A$2:$A$1048576)),ROW($A$2:$A$1048576))),DP76)</f>
        <v/>
      </c>
      <c r="DR76" s="40">
        <f>sum(DP76-DP$106)/DP$107</f>
        <v/>
      </c>
      <c r="DS76" s="9" t="n">
        <v>73.33</v>
      </c>
      <c r="DT76" s="9" t="n">
        <v>63.11</v>
      </c>
      <c r="DU76" s="9" t="n">
        <v>59.91</v>
      </c>
      <c r="DV76" s="9" t="n">
        <v>94.93000000000001</v>
      </c>
      <c r="DW76" s="9" t="n">
        <v>164.49</v>
      </c>
      <c r="DX76" s="9" t="n">
        <v>148.26</v>
      </c>
      <c r="DY76" s="9" t="n">
        <v>90.13</v>
      </c>
      <c r="DZ76" s="9" t="n">
        <v>45.51</v>
      </c>
      <c r="EA76" s="9" t="n">
        <v>24.63</v>
      </c>
      <c r="EB76" s="9" t="n">
        <v>54.11</v>
      </c>
      <c r="EC76" s="9" t="n">
        <v>53.66</v>
      </c>
      <c r="ED76" s="9" t="n">
        <v>36.69</v>
      </c>
      <c r="EE76" s="33">
        <f>PERCENTRANK(ED$2:INDEX($ED:$ED,LOOKUP(2,1/(ISNUMBER($A$2:$A$1048576)),ROW($A$2:$A$1048576))),ED76)</f>
        <v/>
      </c>
      <c r="EF76" s="40">
        <f>sum(ED76-ED$106)/ED$107</f>
        <v/>
      </c>
      <c r="EG76" s="9" t="n">
        <v>68.37</v>
      </c>
      <c r="EH76" s="9" t="n">
        <v>71.2</v>
      </c>
      <c r="EI76" s="9" t="n">
        <v>53.57</v>
      </c>
      <c r="EJ76" s="33">
        <f>PERCENTRANK(EI$2:INDEX($EI:$EI,LOOKUP(2,1/(ISNUMBER($A$2:$A$1048576)),ROW($A$2:$A$1048576))),EI76)</f>
        <v/>
      </c>
      <c r="EK76" s="40">
        <f>sum(EI76-EI$106)/EI$107</f>
        <v/>
      </c>
      <c r="EL76" s="9" t="n">
        <v>75.23999999999999</v>
      </c>
      <c r="EM76" s="9" t="n">
        <v>2.43</v>
      </c>
      <c r="EN76" s="9" t="n">
        <v>0.71</v>
      </c>
      <c r="EO76" s="9" t="n">
        <v>29.41</v>
      </c>
      <c r="EP76" s="9" t="n">
        <v>19.03</v>
      </c>
      <c r="EQ76" s="9" t="n">
        <v>16.77</v>
      </c>
      <c r="ER76" s="9" t="n">
        <v>88.14</v>
      </c>
      <c r="ES76" s="9" t="n">
        <v>7.63</v>
      </c>
      <c r="ET76" s="9" t="n">
        <v>15.83</v>
      </c>
      <c r="EU76" s="9" t="n">
        <v>4.14</v>
      </c>
      <c r="EV76" s="9" t="n">
        <v>11.6</v>
      </c>
      <c r="EW76" s="9" t="n">
        <v>17.33</v>
      </c>
      <c r="EX76" s="33">
        <f>PERCENTRANK(EW$2:INDEX($EW:$EW,LOOKUP(2,1/(ISNUMBER($A$2:$A$1048576)),ROW($A$2:$A$1048576))),EW76)</f>
        <v/>
      </c>
      <c r="EY76" s="38">
        <f>1-(EW76-EW$106)/EW$107</f>
        <v/>
      </c>
      <c r="EZ76" s="9" t="n">
        <v>21.14</v>
      </c>
      <c r="FA76" s="9" t="n">
        <v>13.42</v>
      </c>
      <c r="FB76" s="33">
        <f>PERCENTRANK(FA$2:INDEX($FA:$FA,LOOKUP(2,1/(ISNUMBER($A$2:$A$1048576)),ROW($A$2:$A$1048576))),FA76)</f>
        <v/>
      </c>
      <c r="FC76" s="39">
        <f>1-(FA76-FA$106)/FA$107</f>
        <v/>
      </c>
      <c r="FD76" s="9" t="n">
        <v>1.2</v>
      </c>
      <c r="FE76" s="9" t="n">
        <v>1.26</v>
      </c>
      <c r="FF76" s="33">
        <f>PERCENTRANK(FE$2:INDEX($FE:$FE,LOOKUP(2,1/(ISNUMBER($A$2:$A$1048576)),ROW($A$2:$A$1048576))),FE76)</f>
        <v/>
      </c>
      <c r="FG76" s="39">
        <f>1-(FE76-FE$106)/FE$107</f>
        <v/>
      </c>
      <c r="FH76" s="9" t="n">
        <v>10.77</v>
      </c>
      <c r="FI76" s="9" t="n">
        <v>3.77</v>
      </c>
      <c r="FJ76" s="9" t="n">
        <v>35.01</v>
      </c>
      <c r="FK76" s="9" t="n">
        <v>429.37</v>
      </c>
      <c r="FL76" s="33">
        <f>PERCENTRANK(FK$2:INDEX($FK:$FK,LOOKUP(2,1/(ISNUMBER($A$2:$A$1048576)),ROW($A$2:$A$1048576))),FK76)</f>
        <v/>
      </c>
      <c r="FM76" s="39">
        <f>SWA75-(FK76-FK$106)/FK$107</f>
        <v/>
      </c>
      <c r="FN76" s="9" t="n">
        <v>364.49</v>
      </c>
      <c r="FO76" s="9" t="n">
        <v>84.89</v>
      </c>
      <c r="FP76" s="9" t="n">
        <v>50.44</v>
      </c>
      <c r="FQ76" s="9" t="n">
        <v>91.91</v>
      </c>
      <c r="FR76" s="9" t="n">
        <v>15.69</v>
      </c>
      <c r="FS76" s="9" t="n">
        <v>32.4</v>
      </c>
      <c r="FT76" s="9" t="n">
        <v>43.83</v>
      </c>
      <c r="FU76" s="9" t="n">
        <v>72.89</v>
      </c>
      <c r="FV76" s="9" t="n">
        <v>33.51</v>
      </c>
      <c r="FW76" s="9" t="n">
        <v>29.09</v>
      </c>
      <c r="FX76" s="9" t="n">
        <v>10.29</v>
      </c>
      <c r="FY76" s="9" t="n">
        <v>174.46</v>
      </c>
      <c r="FZ76" s="9" t="n">
        <v>80</v>
      </c>
      <c r="GA76" s="9" t="n">
        <v>45.86</v>
      </c>
      <c r="GB76" s="9" t="n">
        <v>4.66</v>
      </c>
      <c r="GC76" s="9" t="n">
        <v>1.54</v>
      </c>
      <c r="GD76" s="9" t="n">
        <v>33.13</v>
      </c>
      <c r="GE76" s="9" t="n">
        <v>25.91</v>
      </c>
      <c r="GF76" s="9" t="n">
        <v>6.86</v>
      </c>
      <c r="GG76" s="9" t="n">
        <v>26.46</v>
      </c>
      <c r="GH76" s="9" t="n">
        <v>1.51</v>
      </c>
      <c r="GI76" s="9" t="n">
        <v>0.74</v>
      </c>
      <c r="GJ76" s="9" t="n">
        <v>49.06</v>
      </c>
      <c r="GK76" s="9" t="n">
        <v>24.09</v>
      </c>
      <c r="GL76" s="9" t="n">
        <v>2.8</v>
      </c>
      <c r="GM76" s="9" t="n">
        <v>11.63</v>
      </c>
      <c r="GN76" s="9" t="n">
        <v>4.66</v>
      </c>
      <c r="GO76" s="9" t="n">
        <v>1</v>
      </c>
      <c r="GP76" s="9" t="n">
        <v>21.47</v>
      </c>
      <c r="GQ76" s="9" t="n">
        <v>2</v>
      </c>
      <c r="GR76" s="9" t="n">
        <v>0.51</v>
      </c>
      <c r="GS76" s="9" t="n">
        <v>25.71</v>
      </c>
      <c r="GT76" s="9" t="n">
        <v>0.11</v>
      </c>
      <c r="GU76" s="9" t="n">
        <v>0.09</v>
      </c>
      <c r="GV76" s="9" t="n">
        <v>75</v>
      </c>
      <c r="GW76" s="9" t="n">
        <v>13.14</v>
      </c>
      <c r="GX76" s="9" t="n">
        <v>4.11</v>
      </c>
      <c r="GY76" s="9" t="n">
        <v>31.3</v>
      </c>
      <c r="GZ76" s="9" t="n">
        <v>4.2</v>
      </c>
      <c r="HA76" s="9" t="n">
        <v>6.94</v>
      </c>
      <c r="HB76" s="9" t="n">
        <v>22.06</v>
      </c>
      <c r="HC76" s="9" t="n">
        <v>3.11</v>
      </c>
      <c r="HD76" s="9" t="n">
        <v>8.539999999999999</v>
      </c>
      <c r="HE76" s="9" t="n">
        <v>14.89</v>
      </c>
      <c r="HF76" s="9" t="n">
        <v>54.57</v>
      </c>
      <c r="HG76" s="9" t="n">
        <v>22.03</v>
      </c>
      <c r="HH76" s="9" t="n">
        <v>40.37</v>
      </c>
      <c r="HI76" s="9" t="n">
        <v>2.34</v>
      </c>
      <c r="HJ76" s="9" t="n">
        <v>1.71</v>
      </c>
      <c r="HK76" s="9" t="n">
        <v>10.63</v>
      </c>
      <c r="HL76" s="9" t="n">
        <v>4.37</v>
      </c>
      <c r="HM76" s="9" t="n">
        <v>41.13</v>
      </c>
      <c r="HN76" s="9" t="n">
        <v>61.46</v>
      </c>
      <c r="HO76" s="9" t="n">
        <v>35.09</v>
      </c>
      <c r="HP76" s="9" t="n">
        <v>57.09</v>
      </c>
      <c r="HQ76" s="9" t="n">
        <v>31.54</v>
      </c>
      <c r="HR76" s="9" t="n">
        <v>12</v>
      </c>
      <c r="HS76" s="9" t="n">
        <v>38.04</v>
      </c>
      <c r="HT76" s="9" t="n">
        <v>4.63</v>
      </c>
      <c r="HU76" s="9" t="n">
        <v>1.91</v>
      </c>
      <c r="HV76" s="9" t="n">
        <v>41.36</v>
      </c>
      <c r="HW76" s="9" t="n">
        <v>34.31</v>
      </c>
      <c r="HX76" s="9" t="n">
        <v>13.37</v>
      </c>
      <c r="HY76" s="9" t="n">
        <v>12.74</v>
      </c>
      <c r="HZ76" s="9" t="n">
        <v>2.23</v>
      </c>
      <c r="IA76" s="9" t="n">
        <v>0.06</v>
      </c>
      <c r="IB76" s="9" t="n">
        <v>141.43</v>
      </c>
      <c r="IC76" s="9" t="n">
        <v>104.97</v>
      </c>
      <c r="ID76" s="9" t="n">
        <v>74.22</v>
      </c>
      <c r="IE76" s="9" t="n">
        <v>65.73999999999999</v>
      </c>
      <c r="IF76" s="9" t="n">
        <v>63</v>
      </c>
      <c r="IG76" s="9" t="n">
        <v>95.83</v>
      </c>
      <c r="IH76" s="9" t="n">
        <v>162.57</v>
      </c>
      <c r="II76" s="9" t="n">
        <v>145.6</v>
      </c>
      <c r="IJ76" s="9" t="n">
        <v>89.56</v>
      </c>
      <c r="IK76" s="9" t="n">
        <v>48.46</v>
      </c>
      <c r="IL76" s="9" t="n">
        <v>26.49</v>
      </c>
      <c r="IM76" s="9" t="n">
        <v>54.66</v>
      </c>
      <c r="IN76" s="9" t="n">
        <v>54.34</v>
      </c>
      <c r="IO76" s="9" t="n">
        <v>37.03</v>
      </c>
      <c r="IP76" s="9" t="n">
        <v>68.14</v>
      </c>
      <c r="IQ76" s="9" t="n">
        <v>71.83</v>
      </c>
      <c r="IR76" s="9" t="n">
        <v>53.43</v>
      </c>
      <c r="IS76" s="9" t="n">
        <v>74.38</v>
      </c>
      <c r="IT76" s="33">
        <f>PERCENTRANK(IS$2:INDEX($IS:$IS,LOOKUP(2,1/(ISNUMBER($A$2:$A$1048576)),ROW($A$2:$A$1048576))),IS76)</f>
        <v/>
      </c>
      <c r="IU76" s="39">
        <f>1-(IS76-IS$106)/IS$107</f>
        <v/>
      </c>
      <c r="IV76" s="9" t="n">
        <v>3.11</v>
      </c>
      <c r="IW76" s="9" t="n">
        <v>1.23</v>
      </c>
      <c r="IX76" s="9" t="n">
        <v>39.45</v>
      </c>
      <c r="IY76" s="9" t="n">
        <v>19.17</v>
      </c>
      <c r="IZ76" s="9" t="n">
        <v>17.77</v>
      </c>
      <c r="JA76" s="9" t="n">
        <v>92.7</v>
      </c>
      <c r="JB76" s="9" t="n">
        <v>7.86</v>
      </c>
      <c r="JC76" s="9" t="n">
        <v>16.06</v>
      </c>
      <c r="JD76" s="9" t="n">
        <v>4.38</v>
      </c>
      <c r="JE76" s="9" t="n">
        <v>11.76</v>
      </c>
      <c r="JF76" s="9" t="n">
        <v>18.84</v>
      </c>
      <c r="JG76" s="9" t="n">
        <v>20.22</v>
      </c>
      <c r="JH76" s="9" t="n">
        <v>11.83</v>
      </c>
    </row>
    <row r="77">
      <c r="A77" s="12" t="n">
        <v>2024</v>
      </c>
      <c r="B77" s="31" t="inlineStr">
        <is>
          <t>Oakland Roots</t>
        </is>
      </c>
      <c r="C77" s="12" t="n">
        <v>44</v>
      </c>
      <c r="D77" s="5">
        <f>(C77-AVERAGE($C$2:INDEX($C:$C,LOOKUP(2,1/(ISNUMBER($A$2:$A$1048576)),ROW($A$2:$A$1048576)))))/_xlfn.STDEV.P($C$2:INDEX($C:$C,LOOKUP(2,1/(ISNUMBER($A$2:$A$1048576)),ROW($A$2:$A$1048576))))</f>
        <v/>
      </c>
      <c r="E77" s="12" t="n">
        <v>7</v>
      </c>
      <c r="F77" s="6">
        <f>-E77</f>
        <v/>
      </c>
      <c r="G77" s="7">
        <f>(F77-AVERAGE($F$2:INDEX($F:$F,LOOKUP(2,1/(ISNUMBER($A$2:$A$1048576)),ROW($A$2:$A$1048576)))))/_xlfn.STDEV.P($F$2:INDEX($F:$F,LOOKUP(2,1/(ISNUMBER($A$2:$A$1048576)),ROW($A$2:$A$1048576))))</f>
        <v/>
      </c>
      <c r="H77" s="32">
        <f>sum(0.5*D77)+(0.5*G77)</f>
        <v/>
      </c>
      <c r="I77" s="12" t="inlineStr">
        <is>
          <t>West</t>
        </is>
      </c>
      <c r="J77" s="10">
        <f>sum(L77*L$105)+(N77*N$105)+(P77*P$105)+(T77*R$105)</f>
        <v/>
      </c>
      <c r="K77" s="33">
        <f>PERCENTRANK(J$2:INDEX($J:$J,LOOKUP(2,1/(ISNUMBER($A$2:$A$1048576)),ROW($A$2:$A$1048576))),J77)</f>
        <v/>
      </c>
      <c r="L77" s="10">
        <f>sum(AA77*0.66)+(AD77*0.55)+(AG77*0.59)+(CG77*0.51)+(CL77*0.6)+(EY77*0.31)</f>
        <v/>
      </c>
      <c r="M77" s="33">
        <f>PERCENTRANK(L$2:INDEX($L:$L,LOOKUP(2,1/(ISNUMBER($A$2:$A$1048576)),ROW($A$2:$A$1048576))),L77)</f>
        <v/>
      </c>
      <c r="N77" s="10">
        <f>sum(CT77*0.57)+(CW77*0.71)+(DJ77*0.08)+(FC77*0.33)+(FG77*0.69)+(FM77*0.26)+(IU77*0.54)+(AU77*0.4)</f>
        <v/>
      </c>
      <c r="O77" s="33">
        <f>PERCENTRANK(N$2:INDEX($N:$N,LOOKUP(2,1/(ISNUMBER($A$2:$A$1048576)),ROW($A$2:$A$1048576))),N77)</f>
        <v/>
      </c>
      <c r="P77" s="10">
        <f>sum(BG77*0.51)+(CD77*0.51)+(DR77*0.11)+(EF77*0.42)+(EK77*0.44)+(W77*0.6)</f>
        <v/>
      </c>
      <c r="Q77" s="33">
        <f>PERCENTRANK(P$2:INDEX($P:$P,LOOKUP(2,1/(ISNUMBER($A$2:$A$1048576)),ROW($A$2:$A$1048576))),P77)</f>
        <v/>
      </c>
      <c r="R77" s="10">
        <f>sum(Y77-FE77)</f>
        <v/>
      </c>
      <c r="S77" s="33">
        <f>PERCENTRANK(R$2:INDEX($R:$R,LOOKUP(2,1/(ISNUMBER($A$2:$A$1048576)),ROW($A$2:$A$1048576))),R77)</f>
        <v/>
      </c>
      <c r="T77" s="34">
        <f>sum(R77-R$106)/R$107</f>
        <v/>
      </c>
      <c r="U77" s="35">
        <f>sum(Y77/AI77)*100</f>
        <v/>
      </c>
      <c r="V77" s="33">
        <f>PERCENTRANK(U$2:INDEX($U:$U,LOOKUP(2,1/(ISNUMBER($A$2:$A$1048576)),ROW($A$2:$A$1048576))),U77)</f>
        <v/>
      </c>
      <c r="W77" s="36">
        <f>sum(U77-U$106)/U$107</f>
        <v/>
      </c>
      <c r="X77" s="9" t="n">
        <v>1.06</v>
      </c>
      <c r="Y77" s="9" t="n">
        <v>1.15</v>
      </c>
      <c r="Z77" s="33">
        <f>PERCENTRANK(Y$2:INDEX($Y:$Y,LOOKUP(2,1/(ISNUMBER($A$2:$A$1048576)),ROW($A$2:$A$1048576))),Y77)</f>
        <v/>
      </c>
      <c r="AA77" s="37">
        <f>sum(Y77-Y$106)/Y$107</f>
        <v/>
      </c>
      <c r="AB77" s="9" t="n">
        <v>9.91</v>
      </c>
      <c r="AC77" s="33">
        <f>PERCENTRANK(AB$2:INDEX($AB:$AB,LOOKUP(2,1/(ISNUMBER($A$2:$A$1048576)),ROW($A$2:$A$1048576))),AB77)</f>
        <v/>
      </c>
      <c r="AD77" s="38">
        <f>sum(AB77-AB$106)/AB$107</f>
        <v/>
      </c>
      <c r="AE77" s="9" t="n">
        <v>3.23</v>
      </c>
      <c r="AF77" s="33">
        <f>PERCENTRANK(AE$2:INDEX($AE:$AE,LOOKUP(2,1/(ISNUMBER($A$2:$A$1048576)),ROW($A$2:$A$1048576))),AE77)</f>
        <v/>
      </c>
      <c r="AG77" s="38">
        <f>sum(AE77-AE$106)/AE$107</f>
        <v/>
      </c>
      <c r="AH77" s="9" t="n">
        <v>32.56</v>
      </c>
      <c r="AI77" s="9" t="n">
        <v>373.49</v>
      </c>
      <c r="AJ77" s="9" t="n">
        <v>301.77</v>
      </c>
      <c r="AK77" s="9" t="n">
        <v>80.8</v>
      </c>
      <c r="AL77" s="9" t="n">
        <v>46.52</v>
      </c>
      <c r="AM77" s="9" t="n">
        <v>103.46</v>
      </c>
      <c r="AN77" s="9" t="n">
        <v>17.51</v>
      </c>
      <c r="AO77" s="9" t="n">
        <v>38.31</v>
      </c>
      <c r="AP77" s="9" t="n">
        <v>47.63</v>
      </c>
      <c r="AQ77" s="9" t="n">
        <v>79.43000000000001</v>
      </c>
      <c r="AR77" s="9" t="n">
        <v>37.06</v>
      </c>
      <c r="AS77" s="9" t="n">
        <v>32.37</v>
      </c>
      <c r="AT77" s="33">
        <f>PERCENTRANK(AS$2:INDEX($AS:$AS,LOOKUP(2,1/(ISNUMBER($A$2:$A$1048576)),ROW($A$2:$A$1048576))),AS77)</f>
        <v/>
      </c>
      <c r="AU77" s="39">
        <f>SUM(AS77-AS$106)/AS$107</f>
        <v/>
      </c>
      <c r="AV77" s="9" t="n">
        <v>10</v>
      </c>
      <c r="AW77" s="33">
        <f>PERCENTRANK(AV$2:INDEX($AV:$AV,LOOKUP(2,1/(ISNUMBER($A$2:$A$1048576)),ROW($A$2:$A$1048576))),AV77)</f>
        <v/>
      </c>
      <c r="AX77" s="9" t="n">
        <v>195</v>
      </c>
      <c r="AY77" s="9" t="n">
        <v>92.03</v>
      </c>
      <c r="AZ77" s="9" t="n">
        <v>47.19</v>
      </c>
      <c r="BA77" s="9" t="n">
        <v>4.14</v>
      </c>
      <c r="BB77" s="9" t="n">
        <v>0.97</v>
      </c>
      <c r="BC77" s="9" t="n">
        <v>23.45</v>
      </c>
      <c r="BD77" s="9" t="n">
        <v>26.74</v>
      </c>
      <c r="BE77" s="9" t="n">
        <v>6.17</v>
      </c>
      <c r="BF77" s="33">
        <f>PERCENTRANK(BE$2:INDEX($BE:$BE,LOOKUP(2,1/(ISNUMBER($A$2:$A$1048576)),ROW($A$2:$A$1048576))),BE77)</f>
        <v/>
      </c>
      <c r="BG77" s="40">
        <f>sum(BE77-BE$106)/BE$107</f>
        <v/>
      </c>
      <c r="BH77" s="9" t="n">
        <v>23.08</v>
      </c>
      <c r="BI77" s="9" t="n">
        <v>0.89</v>
      </c>
      <c r="BJ77" s="9" t="n">
        <v>0.49</v>
      </c>
      <c r="BK77" s="9" t="n">
        <v>54.84</v>
      </c>
      <c r="BL77" s="9" t="n">
        <v>26.46</v>
      </c>
      <c r="BM77" s="9" t="n">
        <v>2.8</v>
      </c>
      <c r="BN77" s="9" t="n">
        <v>10.58</v>
      </c>
      <c r="BO77" s="9" t="n">
        <v>3.91</v>
      </c>
      <c r="BP77" s="9" t="n">
        <v>0.86</v>
      </c>
      <c r="BQ77" s="9" t="n">
        <v>21.9</v>
      </c>
      <c r="BR77" s="9" t="n">
        <v>2.6</v>
      </c>
      <c r="BS77" s="9" t="n">
        <v>0.71</v>
      </c>
      <c r="BT77" s="9" t="n">
        <v>27.47</v>
      </c>
      <c r="BU77" s="9" t="n">
        <v>0.14</v>
      </c>
      <c r="BV77" s="9" t="n">
        <v>0.09</v>
      </c>
      <c r="BW77" s="9" t="n">
        <v>60</v>
      </c>
      <c r="BX77" s="9" t="n">
        <v>11.83</v>
      </c>
      <c r="BY77" s="9" t="n">
        <v>3.4</v>
      </c>
      <c r="BZ77" s="9" t="n">
        <v>28.74</v>
      </c>
      <c r="CA77" s="9" t="n">
        <v>3.54</v>
      </c>
      <c r="CB77" s="9" t="n">
        <v>6.06</v>
      </c>
      <c r="CC77" s="33">
        <f>PERCENTRANK(CD$2:INDEX($CD:$CD,LOOKUP(2,1/(ISNUMBER($A$2:$A$1048576)),ROW($A$2:$A$1048576))),CD77)</f>
        <v/>
      </c>
      <c r="CD77" s="40">
        <f>sum(CB77-CB$106)/CB$107</f>
        <v/>
      </c>
      <c r="CE77" s="9" t="n">
        <v>21.6</v>
      </c>
      <c r="CF77" s="33">
        <f>PERCENTRANK(CE$2:INDEX($CE:$CE,LOOKUP(2,1/(ISNUMBER($A$2:$A$1048576)),ROW($A$2:$A$1048576))),CE77)</f>
        <v/>
      </c>
      <c r="CG77" s="38">
        <f>sum(CE77-CE$106)/CE$107</f>
        <v/>
      </c>
      <c r="CH77" s="9" t="n">
        <v>2.46</v>
      </c>
      <c r="CI77" s="9" t="n">
        <v>7.6</v>
      </c>
      <c r="CJ77" s="9" t="n">
        <v>13.57</v>
      </c>
      <c r="CK77" s="33">
        <f>PERCENTRANK(CJ$2:INDEX($CJ:$CJ,LOOKUP(2,1/(ISNUMBER($A$2:$A$1048576)),ROW($A$2:$A$1048576))),CJ77)</f>
        <v/>
      </c>
      <c r="CL77" s="38">
        <f>sum(CJ77-CJ$106)/CJ$107</f>
        <v/>
      </c>
      <c r="CM77" s="9" t="n">
        <v>62.14</v>
      </c>
      <c r="CN77" s="9" t="n">
        <v>22.09</v>
      </c>
      <c r="CO77" s="9" t="n">
        <v>35.54</v>
      </c>
      <c r="CP77" s="9" t="n">
        <v>2.4</v>
      </c>
      <c r="CQ77" s="9" t="n">
        <v>1.69</v>
      </c>
      <c r="CR77" s="9" t="n">
        <v>11.2</v>
      </c>
      <c r="CS77" s="33">
        <f>PERCENTRANK(CR$2:INDEX($CR:$CR,LOOKUP(2,1/(ISNUMBER($A$2:$A$1048576)),ROW($A$2:$A$1048576))),CR77)</f>
        <v/>
      </c>
      <c r="CT77" s="39">
        <f>1-(CR77-CR$106)/CR$107</f>
        <v/>
      </c>
      <c r="CU77" s="9" t="n">
        <v>4.57</v>
      </c>
      <c r="CV77" s="33">
        <f>PERCENTRANK(CU$2:INDEX($CU:$CU,LOOKUP(2,1/(ISNUMBER($A$2:$A$1048576)),ROW($A$2:$A$1048576))),CU77)</f>
        <v/>
      </c>
      <c r="CW77" s="39">
        <f>1-(CU77-CU$106)/CU$107</f>
        <v/>
      </c>
      <c r="CX77" s="9" t="n">
        <v>40.82</v>
      </c>
      <c r="CY77" s="9" t="n">
        <v>67.29000000000001</v>
      </c>
      <c r="CZ77" s="9" t="n">
        <v>40.4</v>
      </c>
      <c r="DA77" s="9" t="n">
        <v>60.04</v>
      </c>
      <c r="DB77" s="9" t="n">
        <v>35.77</v>
      </c>
      <c r="DC77" s="9" t="n">
        <v>16.06</v>
      </c>
      <c r="DD77" s="9" t="n">
        <v>44.89</v>
      </c>
      <c r="DE77" s="9" t="n">
        <v>2.69</v>
      </c>
      <c r="DF77" s="9" t="n">
        <v>1.31</v>
      </c>
      <c r="DG77" s="9" t="n">
        <v>48.94</v>
      </c>
      <c r="DH77" s="9" t="n">
        <v>37.83</v>
      </c>
      <c r="DI77" s="33">
        <f>PERCENTRANK(DH$2:INDEX($DH:$DH,LOOKUP(2,1/(ISNUMBER($A$2:$A$1048576)),ROW($A$2:$A$1048576))),DH77)</f>
        <v/>
      </c>
      <c r="DJ77" s="39">
        <f>SUM(DH77-DH$106)/DH$107</f>
        <v/>
      </c>
      <c r="DK77" s="9" t="n">
        <v>13.2</v>
      </c>
      <c r="DL77" s="9" t="n">
        <v>13.4</v>
      </c>
      <c r="DM77" s="9" t="n">
        <v>2.66</v>
      </c>
      <c r="DN77" s="9" t="n">
        <v>0.17</v>
      </c>
      <c r="DO77" s="9" t="n">
        <v>132.69</v>
      </c>
      <c r="DP77" s="9" t="n">
        <v>91.14</v>
      </c>
      <c r="DQ77" s="33">
        <f>PERCENTRANK(DP$2:INDEX($DP:$DP,LOOKUP(2,1/(ISNUMBER($A$2:$A$1048576)),ROW($A$2:$A$1048576))),DP77)</f>
        <v/>
      </c>
      <c r="DR77" s="40">
        <f>sum(DP77-DP$106)/DP$107</f>
        <v/>
      </c>
      <c r="DS77" s="9" t="n">
        <v>68.69</v>
      </c>
      <c r="DT77" s="9" t="n">
        <v>58.09</v>
      </c>
      <c r="DU77" s="9" t="n">
        <v>54.6</v>
      </c>
      <c r="DV77" s="9" t="n">
        <v>94</v>
      </c>
      <c r="DW77" s="9" t="n">
        <v>133.51</v>
      </c>
      <c r="DX77" s="9" t="n">
        <v>117.23</v>
      </c>
      <c r="DY77" s="9" t="n">
        <v>87.8</v>
      </c>
      <c r="DZ77" s="9" t="n">
        <v>53.97</v>
      </c>
      <c r="EA77" s="9" t="n">
        <v>27.91</v>
      </c>
      <c r="EB77" s="9" t="n">
        <v>51.72</v>
      </c>
      <c r="EC77" s="9" t="n">
        <v>54.49</v>
      </c>
      <c r="ED77" s="9" t="n">
        <v>34.03</v>
      </c>
      <c r="EE77" s="33">
        <f>PERCENTRANK(ED$2:INDEX($ED:$ED,LOOKUP(2,1/(ISNUMBER($A$2:$A$1048576)),ROW($A$2:$A$1048576))),ED77)</f>
        <v/>
      </c>
      <c r="EF77" s="40">
        <f>sum(ED77-ED$106)/ED$107</f>
        <v/>
      </c>
      <c r="EG77" s="9" t="n">
        <v>62.45</v>
      </c>
      <c r="EH77" s="9" t="n">
        <v>70.77</v>
      </c>
      <c r="EI77" s="9" t="n">
        <v>50.09</v>
      </c>
      <c r="EJ77" s="33">
        <f>PERCENTRANK(EI$2:INDEX($EI:$EI,LOOKUP(2,1/(ISNUMBER($A$2:$A$1048576)),ROW($A$2:$A$1048576))),EI77)</f>
        <v/>
      </c>
      <c r="EK77" s="40">
        <f>sum(EI77-EI$106)/EI$107</f>
        <v/>
      </c>
      <c r="EL77" s="9" t="n">
        <v>70.77</v>
      </c>
      <c r="EM77" s="9" t="n">
        <v>1.57</v>
      </c>
      <c r="EN77" s="9" t="n">
        <v>0.6</v>
      </c>
      <c r="EO77" s="9" t="n">
        <v>38.18</v>
      </c>
      <c r="EP77" s="9" t="n">
        <v>19.94</v>
      </c>
      <c r="EQ77" s="9" t="n">
        <v>17.97</v>
      </c>
      <c r="ER77" s="9" t="n">
        <v>90.11</v>
      </c>
      <c r="ES77" s="9" t="n">
        <v>8.06</v>
      </c>
      <c r="ET77" s="9" t="n">
        <v>15.83</v>
      </c>
      <c r="EU77" s="9" t="n">
        <v>3.59</v>
      </c>
      <c r="EV77" s="9" t="n">
        <v>15.02</v>
      </c>
      <c r="EW77" s="9" t="n">
        <v>19.28</v>
      </c>
      <c r="EX77" s="33">
        <f>PERCENTRANK(EW$2:INDEX($EW:$EW,LOOKUP(2,1/(ISNUMBER($A$2:$A$1048576)),ROW($A$2:$A$1048576))),EW77)</f>
        <v/>
      </c>
      <c r="EY77" s="38">
        <f>1-(EW77-EW$106)/EW$107</f>
        <v/>
      </c>
      <c r="EZ77" s="9" t="n">
        <v>21.02</v>
      </c>
      <c r="FA77" s="9" t="n">
        <v>11.61</v>
      </c>
      <c r="FB77" s="33">
        <f>PERCENTRANK(FA$2:INDEX($FA:$FA,LOOKUP(2,1/(ISNUMBER($A$2:$A$1048576)),ROW($A$2:$A$1048576))),FA77)</f>
        <v/>
      </c>
      <c r="FC77" s="39">
        <f>1-(FA77-FA$106)/FA$107</f>
        <v/>
      </c>
      <c r="FD77" s="9" t="n">
        <v>1.69</v>
      </c>
      <c r="FE77" s="9" t="n">
        <v>1.38</v>
      </c>
      <c r="FF77" s="33">
        <f>PERCENTRANK(FE$2:INDEX($FE:$FE,LOOKUP(2,1/(ISNUMBER($A$2:$A$1048576)),ROW($A$2:$A$1048576))),FE77)</f>
        <v/>
      </c>
      <c r="FG77" s="39">
        <f>1-(FE77-FE$106)/FE$107</f>
        <v/>
      </c>
      <c r="FH77" s="9" t="n">
        <v>11.2</v>
      </c>
      <c r="FI77" s="9" t="n">
        <v>4.49</v>
      </c>
      <c r="FJ77" s="9" t="n">
        <v>40.05</v>
      </c>
      <c r="FK77" s="9" t="n">
        <v>426.71</v>
      </c>
      <c r="FL77" s="33">
        <f>PERCENTRANK(FK$2:INDEX($FK:$FK,LOOKUP(2,1/(ISNUMBER($A$2:$A$1048576)),ROW($A$2:$A$1048576))),FK77)</f>
        <v/>
      </c>
      <c r="FM77" s="39">
        <f>SWA76-(FK77-FK$106)/FK$107</f>
        <v/>
      </c>
      <c r="FN77" s="9" t="n">
        <v>354.2</v>
      </c>
      <c r="FO77" s="9" t="n">
        <v>83.01000000000001</v>
      </c>
      <c r="FP77" s="9" t="n">
        <v>53.48</v>
      </c>
      <c r="FQ77" s="9" t="n">
        <v>104.31</v>
      </c>
      <c r="FR77" s="9" t="n">
        <v>18.09</v>
      </c>
      <c r="FS77" s="9" t="n">
        <v>37.17</v>
      </c>
      <c r="FT77" s="9" t="n">
        <v>49.06</v>
      </c>
      <c r="FU77" s="9" t="n">
        <v>79.70999999999999</v>
      </c>
      <c r="FV77" s="9" t="n">
        <v>36.37</v>
      </c>
      <c r="FW77" s="9" t="n">
        <v>32.31</v>
      </c>
      <c r="FX77" s="9" t="n">
        <v>11.03</v>
      </c>
      <c r="FY77" s="9" t="n">
        <v>195</v>
      </c>
      <c r="FZ77" s="9" t="n">
        <v>94.8</v>
      </c>
      <c r="GA77" s="9" t="n">
        <v>48.62</v>
      </c>
      <c r="GB77" s="9" t="n">
        <v>4.77</v>
      </c>
      <c r="GC77" s="9" t="n">
        <v>1.63</v>
      </c>
      <c r="GD77" s="9" t="n">
        <v>34.13</v>
      </c>
      <c r="GE77" s="9" t="n">
        <v>28.46</v>
      </c>
      <c r="GF77" s="9" t="n">
        <v>6.94</v>
      </c>
      <c r="GG77" s="9" t="n">
        <v>24.4</v>
      </c>
      <c r="GH77" s="9" t="n">
        <v>1.03</v>
      </c>
      <c r="GI77" s="9" t="n">
        <v>0.49</v>
      </c>
      <c r="GJ77" s="9" t="n">
        <v>47.22</v>
      </c>
      <c r="GK77" s="9" t="n">
        <v>27.26</v>
      </c>
      <c r="GL77" s="9" t="n">
        <v>3.2</v>
      </c>
      <c r="GM77" s="9" t="n">
        <v>11.74</v>
      </c>
      <c r="GN77" s="9" t="n">
        <v>5</v>
      </c>
      <c r="GO77" s="9" t="n">
        <v>1.2</v>
      </c>
      <c r="GP77" s="9" t="n">
        <v>24</v>
      </c>
      <c r="GQ77" s="9" t="n">
        <v>1.94</v>
      </c>
      <c r="GR77" s="9" t="n">
        <v>0.37</v>
      </c>
      <c r="GS77" s="9" t="n">
        <v>19.12</v>
      </c>
      <c r="GT77" s="9" t="n">
        <v>0.11</v>
      </c>
      <c r="GU77" s="9" t="n">
        <v>0.11</v>
      </c>
      <c r="GV77" s="9" t="n">
        <v>100</v>
      </c>
      <c r="GW77" s="9" t="n">
        <v>15.51</v>
      </c>
      <c r="GX77" s="9" t="n">
        <v>4.97</v>
      </c>
      <c r="GY77" s="9" t="n">
        <v>32.04</v>
      </c>
      <c r="GZ77" s="9" t="n">
        <v>4.89</v>
      </c>
      <c r="HA77" s="9" t="n">
        <v>7.2</v>
      </c>
      <c r="HB77" s="9" t="n">
        <v>24.83</v>
      </c>
      <c r="HC77" s="9" t="n">
        <v>4</v>
      </c>
      <c r="HD77" s="9" t="n">
        <v>9.460000000000001</v>
      </c>
      <c r="HE77" s="9" t="n">
        <v>17.17</v>
      </c>
      <c r="HF77" s="9" t="n">
        <v>67.29000000000001</v>
      </c>
      <c r="HG77" s="9" t="n">
        <v>26.89</v>
      </c>
      <c r="HH77" s="9" t="n">
        <v>39.96</v>
      </c>
      <c r="HI77" s="9" t="n">
        <v>1.77</v>
      </c>
      <c r="HJ77" s="9" t="n">
        <v>1.06</v>
      </c>
      <c r="HK77" s="9" t="n">
        <v>9.91</v>
      </c>
      <c r="HL77" s="9" t="n">
        <v>3.31</v>
      </c>
      <c r="HM77" s="9" t="n">
        <v>33.43</v>
      </c>
      <c r="HN77" s="9" t="n">
        <v>62.14</v>
      </c>
      <c r="HO77" s="9" t="n">
        <v>40.06</v>
      </c>
      <c r="HP77" s="9" t="n">
        <v>64.45999999999999</v>
      </c>
      <c r="HQ77" s="9" t="n">
        <v>35.77</v>
      </c>
      <c r="HR77" s="9" t="n">
        <v>16.31</v>
      </c>
      <c r="HS77" s="9" t="n">
        <v>45.61</v>
      </c>
      <c r="HT77" s="9" t="n">
        <v>2.34</v>
      </c>
      <c r="HU77" s="9" t="n">
        <v>1.31</v>
      </c>
      <c r="HV77" s="9" t="n">
        <v>56.1</v>
      </c>
      <c r="HW77" s="9" t="n">
        <v>36.03</v>
      </c>
      <c r="HX77" s="9" t="n">
        <v>14.37</v>
      </c>
      <c r="HY77" s="9" t="n">
        <v>14.54</v>
      </c>
      <c r="HZ77" s="9" t="n">
        <v>2.83</v>
      </c>
      <c r="IA77" s="9" t="n">
        <v>0.14</v>
      </c>
      <c r="IB77" s="9" t="n">
        <v>148.6</v>
      </c>
      <c r="IC77" s="9" t="n">
        <v>109</v>
      </c>
      <c r="ID77" s="9" t="n">
        <v>73.34999999999999</v>
      </c>
      <c r="IE77" s="9" t="n">
        <v>66.66</v>
      </c>
      <c r="IF77" s="9" t="n">
        <v>63.17</v>
      </c>
      <c r="IG77" s="9" t="n">
        <v>94.77</v>
      </c>
      <c r="IH77" s="9" t="n">
        <v>154.91</v>
      </c>
      <c r="II77" s="9" t="n">
        <v>135.91</v>
      </c>
      <c r="IJ77" s="9" t="n">
        <v>87.73999999999999</v>
      </c>
      <c r="IK77" s="9" t="n">
        <v>51.03</v>
      </c>
      <c r="IL77" s="9" t="n">
        <v>27.54</v>
      </c>
      <c r="IM77" s="9" t="n">
        <v>53.98</v>
      </c>
      <c r="IN77" s="9" t="n">
        <v>57.09</v>
      </c>
      <c r="IO77" s="9" t="n">
        <v>38.51</v>
      </c>
      <c r="IP77" s="9" t="n">
        <v>67.47</v>
      </c>
      <c r="IQ77" s="9" t="n">
        <v>75.77</v>
      </c>
      <c r="IR77" s="9" t="n">
        <v>55.89</v>
      </c>
      <c r="IS77" s="9" t="n">
        <v>73.76000000000001</v>
      </c>
      <c r="IT77" s="33">
        <f>PERCENTRANK(IS$2:INDEX($IS:$IS,LOOKUP(2,1/(ISNUMBER($A$2:$A$1048576)),ROW($A$2:$A$1048576))),IS77)</f>
        <v/>
      </c>
      <c r="IU77" s="39">
        <f>1-(IS77-IS$106)/IS$107</f>
        <v/>
      </c>
      <c r="IV77" s="9" t="n">
        <v>1.43</v>
      </c>
      <c r="IW77" s="9" t="n">
        <v>0.6</v>
      </c>
      <c r="IX77" s="9" t="n">
        <v>42</v>
      </c>
      <c r="IY77" s="9" t="n">
        <v>19.29</v>
      </c>
      <c r="IZ77" s="9" t="n">
        <v>17.49</v>
      </c>
      <c r="JA77" s="9" t="n">
        <v>90.67</v>
      </c>
      <c r="JB77" s="9" t="n">
        <v>7.71</v>
      </c>
      <c r="JC77" s="9" t="n">
        <v>15.78</v>
      </c>
      <c r="JD77" s="9" t="n">
        <v>4.12</v>
      </c>
      <c r="JE77" s="9" t="n">
        <v>12.43</v>
      </c>
      <c r="JF77" s="9" t="n">
        <v>18.69</v>
      </c>
      <c r="JG77" s="9" t="n">
        <v>20.05</v>
      </c>
      <c r="JH77" s="9" t="n">
        <v>9.56</v>
      </c>
    </row>
    <row r="78">
      <c r="A78" s="12" t="n">
        <v>2023</v>
      </c>
      <c r="B78" s="31" t="inlineStr">
        <is>
          <t>Orange County SC</t>
        </is>
      </c>
      <c r="C78" s="12" t="n">
        <v>57</v>
      </c>
      <c r="D78" s="5">
        <f>(C78-AVERAGE($C$2:INDEX($C:$C,LOOKUP(2,1/(ISNUMBER($A$2:$A$1048576)),ROW($A$2:$A$1048576)))))/_xlfn.STDEV.P($C$2:INDEX($C:$C,LOOKUP(2,1/(ISNUMBER($A$2:$A$1048576)),ROW($A$2:$A$1048576))))</f>
        <v/>
      </c>
      <c r="E78" s="12" t="n">
        <v>2</v>
      </c>
      <c r="F78" s="6">
        <f>-E78</f>
        <v/>
      </c>
      <c r="G78" s="7">
        <f>(F78-AVERAGE($F$2:INDEX($F:$F,LOOKUP(2,1/(ISNUMBER($A$2:$A$1048576)),ROW($A$2:$A$1048576)))))/_xlfn.STDEV.P($F$2:INDEX($F:$F,LOOKUP(2,1/(ISNUMBER($A$2:$A$1048576)),ROW($A$2:$A$1048576))))</f>
        <v/>
      </c>
      <c r="H78" s="32">
        <f>sum(0.5*D78)+(0.5*G78)</f>
        <v/>
      </c>
      <c r="I78" s="12" t="inlineStr">
        <is>
          <t>West</t>
        </is>
      </c>
      <c r="J78" s="10">
        <f>sum(L78*L$105)+(N78*N$105)+(P78*P$105)+(T78*R$105)</f>
        <v/>
      </c>
      <c r="K78" s="33">
        <f>PERCENTRANK(J$2:INDEX($J:$J,LOOKUP(2,1/(ISNUMBER($A$2:$A$1048576)),ROW($A$2:$A$1048576))),J78)</f>
        <v/>
      </c>
      <c r="L78" s="10">
        <f>sum(AA78*0.66)+(AD78*0.55)+(AG78*0.59)+(CG78*0.51)+(CL78*0.6)+(EY78*0.31)</f>
        <v/>
      </c>
      <c r="M78" s="33">
        <f>PERCENTRANK(L$2:INDEX($L:$L,LOOKUP(2,1/(ISNUMBER($A$2:$A$1048576)),ROW($A$2:$A$1048576))),L78)</f>
        <v/>
      </c>
      <c r="N78" s="10">
        <f>sum(CT78*0.57)+(CW78*0.71)+(DJ78*0.08)+(FC78*0.33)+(FG78*0.69)+(FM78*0.26)+(IU78*0.54)+(AU78*0.4)</f>
        <v/>
      </c>
      <c r="O78" s="33">
        <f>PERCENTRANK(N$2:INDEX($N:$N,LOOKUP(2,1/(ISNUMBER($A$2:$A$1048576)),ROW($A$2:$A$1048576))),N78)</f>
        <v/>
      </c>
      <c r="P78" s="10">
        <f>sum(BG78*0.51)+(CD78*0.51)+(DR78*0.11)+(EF78*0.42)+(EK78*0.44)+(W78*0.6)</f>
        <v/>
      </c>
      <c r="Q78" s="33">
        <f>PERCENTRANK(P$2:INDEX($P:$P,LOOKUP(2,1/(ISNUMBER($A$2:$A$1048576)),ROW($A$2:$A$1048576))),P78)</f>
        <v/>
      </c>
      <c r="R78" s="10">
        <f>sum(Y78-FE78)</f>
        <v/>
      </c>
      <c r="S78" s="33">
        <f>PERCENTRANK(R$2:INDEX($R:$R,LOOKUP(2,1/(ISNUMBER($A$2:$A$1048576)),ROW($A$2:$A$1048576))),R78)</f>
        <v/>
      </c>
      <c r="T78" s="34">
        <f>sum(R78-R$106)/R$107</f>
        <v/>
      </c>
      <c r="U78" s="35">
        <f>sum(Y78/AI78)*100</f>
        <v/>
      </c>
      <c r="V78" s="33">
        <f>PERCENTRANK(U$2:INDEX($U:$U,LOOKUP(2,1/(ISNUMBER($A$2:$A$1048576)),ROW($A$2:$A$1048576))),U78)</f>
        <v/>
      </c>
      <c r="W78" s="36">
        <f>sum(U78-U$106)/U$107</f>
        <v/>
      </c>
      <c r="X78" s="9" t="n">
        <v>1.33</v>
      </c>
      <c r="Y78" s="9" t="n">
        <v>1.38</v>
      </c>
      <c r="Z78" s="33">
        <f>PERCENTRANK(Y$2:INDEX($Y:$Y,LOOKUP(2,1/(ISNUMBER($A$2:$A$1048576)),ROW($A$2:$A$1048576))),Y78)</f>
        <v/>
      </c>
      <c r="AA78" s="37">
        <f>sum(Y78-Y$106)/Y$107</f>
        <v/>
      </c>
      <c r="AB78" s="9" t="n">
        <v>11.36</v>
      </c>
      <c r="AC78" s="33">
        <f>PERCENTRANK(AB$2:INDEX($AB:$AB,LOOKUP(2,1/(ISNUMBER($A$2:$A$1048576)),ROW($A$2:$A$1048576))),AB78)</f>
        <v/>
      </c>
      <c r="AD78" s="38">
        <f>sum(AB78-AB$106)/AB$107</f>
        <v/>
      </c>
      <c r="AE78" s="9" t="n">
        <v>4.25</v>
      </c>
      <c r="AF78" s="33">
        <f>PERCENTRANK(AE$2:INDEX($AE:$AE,LOOKUP(2,1/(ISNUMBER($A$2:$A$1048576)),ROW($A$2:$A$1048576))),AE78)</f>
        <v/>
      </c>
      <c r="AG78" s="38">
        <f>sum(AE78-AE$106)/AE$107</f>
        <v/>
      </c>
      <c r="AH78" s="9" t="n">
        <v>37.41</v>
      </c>
      <c r="AI78" s="9" t="n">
        <v>387.75</v>
      </c>
      <c r="AJ78" s="9" t="n">
        <v>318.22</v>
      </c>
      <c r="AK78" s="9" t="n">
        <v>82.06999999999999</v>
      </c>
      <c r="AL78" s="9" t="n">
        <v>45.73</v>
      </c>
      <c r="AM78" s="9" t="n">
        <v>100.08</v>
      </c>
      <c r="AN78" s="9" t="n">
        <v>19.86</v>
      </c>
      <c r="AO78" s="9" t="n">
        <v>35.25</v>
      </c>
      <c r="AP78" s="9" t="n">
        <v>44.97</v>
      </c>
      <c r="AQ78" s="9" t="n">
        <v>78.03</v>
      </c>
      <c r="AR78" s="9" t="n">
        <v>37.08</v>
      </c>
      <c r="AS78" s="9" t="n">
        <v>31.17</v>
      </c>
      <c r="AT78" s="33">
        <f>PERCENTRANK(AS$2:INDEX($AS:$AS,LOOKUP(2,1/(ISNUMBER($A$2:$A$1048576)),ROW($A$2:$A$1048576))),AS78)</f>
        <v/>
      </c>
      <c r="AU78" s="39">
        <f>SUM(AS78-AS$106)/AS$107</f>
        <v/>
      </c>
      <c r="AV78" s="9" t="n">
        <v>9.779999999999999</v>
      </c>
      <c r="AW78" s="33">
        <f>PERCENTRANK(AV$2:INDEX($AV:$AV,LOOKUP(2,1/(ISNUMBER($A$2:$A$1048576)),ROW($A$2:$A$1048576))),AV78)</f>
        <v/>
      </c>
      <c r="AX78" s="9" t="n">
        <v>187.67</v>
      </c>
      <c r="AY78" s="9" t="n">
        <v>90.69</v>
      </c>
      <c r="AZ78" s="9" t="n">
        <v>48.33</v>
      </c>
      <c r="BA78" s="9" t="n">
        <v>4.78</v>
      </c>
      <c r="BB78" s="9" t="n">
        <v>1.28</v>
      </c>
      <c r="BC78" s="9" t="n">
        <v>26.74</v>
      </c>
      <c r="BD78" s="9" t="n">
        <v>24.44</v>
      </c>
      <c r="BE78" s="9" t="n">
        <v>6.58</v>
      </c>
      <c r="BF78" s="33">
        <f>PERCENTRANK(BE$2:INDEX($BE:$BE,LOOKUP(2,1/(ISNUMBER($A$2:$A$1048576)),ROW($A$2:$A$1048576))),BE78)</f>
        <v/>
      </c>
      <c r="BG78" s="40">
        <f>sum(BE78-BE$106)/BE$107</f>
        <v/>
      </c>
      <c r="BH78" s="9" t="n">
        <v>26.93</v>
      </c>
      <c r="BI78" s="9" t="n">
        <v>1.81</v>
      </c>
      <c r="BJ78" s="9" t="n">
        <v>0.8100000000000001</v>
      </c>
      <c r="BK78" s="9" t="n">
        <v>44.62</v>
      </c>
      <c r="BL78" s="9" t="n">
        <v>26.94</v>
      </c>
      <c r="BM78" s="9" t="n">
        <v>3.14</v>
      </c>
      <c r="BN78" s="9" t="n">
        <v>11.65</v>
      </c>
      <c r="BO78" s="9" t="n">
        <v>4.47</v>
      </c>
      <c r="BP78" s="9" t="n">
        <v>1.44</v>
      </c>
      <c r="BQ78" s="9" t="n">
        <v>32.3</v>
      </c>
      <c r="BR78" s="9" t="n">
        <v>2.75</v>
      </c>
      <c r="BS78" s="9" t="n">
        <v>0.5</v>
      </c>
      <c r="BT78" s="9" t="n">
        <v>18.18</v>
      </c>
      <c r="BU78" s="9" t="n">
        <v>0.17</v>
      </c>
      <c r="BV78" s="9" t="n">
        <v>0.14</v>
      </c>
      <c r="BW78" s="9" t="n">
        <v>83.33</v>
      </c>
      <c r="BX78" s="9" t="n">
        <v>11.22</v>
      </c>
      <c r="BY78" s="9" t="n">
        <v>3.39</v>
      </c>
      <c r="BZ78" s="9" t="n">
        <v>30.2</v>
      </c>
      <c r="CA78" s="9" t="n">
        <v>3.22</v>
      </c>
      <c r="CB78" s="9" t="n">
        <v>7.89</v>
      </c>
      <c r="CC78" s="33">
        <f>PERCENTRANK(CD$2:INDEX($CD:$CD,LOOKUP(2,1/(ISNUMBER($A$2:$A$1048576)),ROW($A$2:$A$1048576))),CD78)</f>
        <v/>
      </c>
      <c r="CD78" s="40">
        <f>sum(CB78-CB$106)/CB$107</f>
        <v/>
      </c>
      <c r="CE78" s="9" t="n">
        <v>21.44</v>
      </c>
      <c r="CF78" s="33">
        <f>PERCENTRANK(CE$2:INDEX($CE:$CE,LOOKUP(2,1/(ISNUMBER($A$2:$A$1048576)),ROW($A$2:$A$1048576))),CE78)</f>
        <v/>
      </c>
      <c r="CG78" s="38">
        <f>sum(CE78-CE$106)/CE$107</f>
        <v/>
      </c>
      <c r="CH78" s="9" t="n">
        <v>3.67</v>
      </c>
      <c r="CI78" s="9" t="n">
        <v>6.14</v>
      </c>
      <c r="CJ78" s="9" t="n">
        <v>15.72</v>
      </c>
      <c r="CK78" s="33">
        <f>PERCENTRANK(CJ$2:INDEX($CJ:$CJ,LOOKUP(2,1/(ISNUMBER($A$2:$A$1048576)),ROW($A$2:$A$1048576))),CJ78)</f>
        <v/>
      </c>
      <c r="CL78" s="38">
        <f>sum(CJ78-CJ$106)/CJ$107</f>
        <v/>
      </c>
      <c r="CM78" s="9" t="n">
        <v>60.5</v>
      </c>
      <c r="CN78" s="9" t="n">
        <v>25.42</v>
      </c>
      <c r="CO78" s="9" t="n">
        <v>42.01</v>
      </c>
      <c r="CP78" s="9" t="n">
        <v>1.89</v>
      </c>
      <c r="CQ78" s="9" t="n">
        <v>1.14</v>
      </c>
      <c r="CR78" s="9" t="n">
        <v>10.06</v>
      </c>
      <c r="CS78" s="33">
        <f>PERCENTRANK(CR$2:INDEX($CR:$CR,LOOKUP(2,1/(ISNUMBER($A$2:$A$1048576)),ROW($A$2:$A$1048576))),CR78)</f>
        <v/>
      </c>
      <c r="CT78" s="39">
        <f>1-(CR78-CR$106)/CR$107</f>
        <v/>
      </c>
      <c r="CU78" s="9" t="n">
        <v>3.08</v>
      </c>
      <c r="CV78" s="33">
        <f>PERCENTRANK(CU$2:INDEX($CU:$CU,LOOKUP(2,1/(ISNUMBER($A$2:$A$1048576)),ROW($A$2:$A$1048576))),CU78)</f>
        <v/>
      </c>
      <c r="CW78" s="39">
        <f>1-(CU78-CU$106)/CU$107</f>
        <v/>
      </c>
      <c r="CX78" s="9" t="n">
        <v>30.66</v>
      </c>
      <c r="CY78" s="9" t="n">
        <v>66.33</v>
      </c>
      <c r="CZ78" s="9" t="n">
        <v>38.83</v>
      </c>
      <c r="DA78" s="9" t="n">
        <v>58.54</v>
      </c>
      <c r="DB78" s="9" t="n">
        <v>32.56</v>
      </c>
      <c r="DC78" s="9" t="n">
        <v>14.42</v>
      </c>
      <c r="DD78" s="9" t="n">
        <v>44.28</v>
      </c>
      <c r="DE78" s="9" t="n">
        <v>3.69</v>
      </c>
      <c r="DF78" s="9" t="n">
        <v>1.61</v>
      </c>
      <c r="DG78" s="9" t="n">
        <v>43.61</v>
      </c>
      <c r="DH78" s="9" t="n">
        <v>38.78</v>
      </c>
      <c r="DI78" s="33">
        <f>PERCENTRANK(DH$2:INDEX($DH:$DH,LOOKUP(2,1/(ISNUMBER($A$2:$A$1048576)),ROW($A$2:$A$1048576))),DH78)</f>
        <v/>
      </c>
      <c r="DJ78" s="39">
        <f>SUM(DH78-DH$106)/DH$107</f>
        <v/>
      </c>
      <c r="DK78" s="9" t="n">
        <v>15.61</v>
      </c>
      <c r="DL78" s="9" t="n">
        <v>13.11</v>
      </c>
      <c r="DM78" s="9" t="n">
        <v>2.64</v>
      </c>
      <c r="DN78" s="9" t="n">
        <v>0.08</v>
      </c>
      <c r="DO78" s="9" t="n">
        <v>130.58</v>
      </c>
      <c r="DP78" s="9" t="n">
        <v>92.14</v>
      </c>
      <c r="DQ78" s="33">
        <f>PERCENTRANK(DP$2:INDEX($DP:$DP,LOOKUP(2,1/(ISNUMBER($A$2:$A$1048576)),ROW($A$2:$A$1048576))),DP78)</f>
        <v/>
      </c>
      <c r="DR78" s="40">
        <f>sum(DP78-DP$106)/DP$107</f>
        <v/>
      </c>
      <c r="DS78" s="9" t="n">
        <v>70.56</v>
      </c>
      <c r="DT78" s="9" t="n">
        <v>55.22</v>
      </c>
      <c r="DU78" s="9" t="n">
        <v>51.67</v>
      </c>
      <c r="DV78" s="9" t="n">
        <v>93.56</v>
      </c>
      <c r="DW78" s="9" t="n">
        <v>142.89</v>
      </c>
      <c r="DX78" s="9" t="n">
        <v>125.64</v>
      </c>
      <c r="DY78" s="9" t="n">
        <v>87.93000000000001</v>
      </c>
      <c r="DZ78" s="9" t="n">
        <v>50.58</v>
      </c>
      <c r="EA78" s="9" t="n">
        <v>26.17</v>
      </c>
      <c r="EB78" s="9" t="n">
        <v>51.73</v>
      </c>
      <c r="EC78" s="9" t="n">
        <v>50.03</v>
      </c>
      <c r="ED78" s="9" t="n">
        <v>31.39</v>
      </c>
      <c r="EE78" s="33">
        <f>PERCENTRANK(ED$2:INDEX($ED:$ED,LOOKUP(2,1/(ISNUMBER($A$2:$A$1048576)),ROW($A$2:$A$1048576))),ED78)</f>
        <v/>
      </c>
      <c r="EF78" s="40">
        <f>sum(ED78-ED$106)/ED$107</f>
        <v/>
      </c>
      <c r="EG78" s="9" t="n">
        <v>62.74</v>
      </c>
      <c r="EH78" s="9" t="n">
        <v>65.19</v>
      </c>
      <c r="EI78" s="9" t="n">
        <v>45</v>
      </c>
      <c r="EJ78" s="33">
        <f>PERCENTRANK(EI$2:INDEX($EI:$EI,LOOKUP(2,1/(ISNUMBER($A$2:$A$1048576)),ROW($A$2:$A$1048576))),EI78)</f>
        <v/>
      </c>
      <c r="EK78" s="40">
        <f>sum(EI78-EI$106)/EI$107</f>
        <v/>
      </c>
      <c r="EL78" s="9" t="n">
        <v>69.02</v>
      </c>
      <c r="EM78" s="9" t="n">
        <v>3.14</v>
      </c>
      <c r="EN78" s="9" t="n">
        <v>1.17</v>
      </c>
      <c r="EO78" s="9" t="n">
        <v>37.17</v>
      </c>
      <c r="EP78" s="9" t="n">
        <v>20.5</v>
      </c>
      <c r="EQ78" s="9" t="n">
        <v>18.28</v>
      </c>
      <c r="ER78" s="9" t="n">
        <v>89.16</v>
      </c>
      <c r="ES78" s="9" t="n">
        <v>8.17</v>
      </c>
      <c r="ET78" s="9" t="n">
        <v>16.48</v>
      </c>
      <c r="EU78" s="9" t="n">
        <v>3.72</v>
      </c>
      <c r="EV78" s="9" t="n">
        <v>13.55</v>
      </c>
      <c r="EW78" s="9" t="n">
        <v>18.38</v>
      </c>
      <c r="EX78" s="33">
        <f>PERCENTRANK(EW$2:INDEX($EW:$EW,LOOKUP(2,1/(ISNUMBER($A$2:$A$1048576)),ROW($A$2:$A$1048576))),EW78)</f>
        <v/>
      </c>
      <c r="EY78" s="38">
        <f>1-(EW78-EW$106)/EW$107</f>
        <v/>
      </c>
      <c r="EZ78" s="9" t="n">
        <v>20.32</v>
      </c>
      <c r="FA78" s="9" t="n">
        <v>12.69</v>
      </c>
      <c r="FB78" s="33">
        <f>PERCENTRANK(FA$2:INDEX($FA:$FA,LOOKUP(2,1/(ISNUMBER($A$2:$A$1048576)),ROW($A$2:$A$1048576))),FA78)</f>
        <v/>
      </c>
      <c r="FC78" s="39">
        <f>1-(FA78-FA$106)/FA$107</f>
        <v/>
      </c>
      <c r="FD78" s="9" t="n">
        <v>1.14</v>
      </c>
      <c r="FE78" s="9" t="n">
        <v>0.97</v>
      </c>
      <c r="FF78" s="33">
        <f>PERCENTRANK(FE$2:INDEX($FE:$FE,LOOKUP(2,1/(ISNUMBER($A$2:$A$1048576)),ROW($A$2:$A$1048576))),FE78)</f>
        <v/>
      </c>
      <c r="FG78" s="39">
        <f>1-(FE78-FE$106)/FE$107</f>
        <v/>
      </c>
      <c r="FH78" s="9" t="n">
        <v>10.06</v>
      </c>
      <c r="FI78" s="9" t="n">
        <v>3.03</v>
      </c>
      <c r="FJ78" s="9" t="n">
        <v>30.11</v>
      </c>
      <c r="FK78" s="9" t="n">
        <v>466.61</v>
      </c>
      <c r="FL78" s="33">
        <f>PERCENTRANK(FK$2:INDEX($FK:$FK,LOOKUP(2,1/(ISNUMBER($A$2:$A$1048576)),ROW($A$2:$A$1048576))),FK78)</f>
        <v/>
      </c>
      <c r="FM78" s="39">
        <f>SWA77-(FK78-FK$106)/FK$107</f>
        <v/>
      </c>
      <c r="FN78" s="9" t="n">
        <v>392.81</v>
      </c>
      <c r="FO78" s="9" t="n">
        <v>84.18000000000001</v>
      </c>
      <c r="FP78" s="9" t="n">
        <v>54.27</v>
      </c>
      <c r="FQ78" s="9" t="n">
        <v>101.11</v>
      </c>
      <c r="FR78" s="9" t="n">
        <v>17.25</v>
      </c>
      <c r="FS78" s="9" t="n">
        <v>35.08</v>
      </c>
      <c r="FT78" s="9" t="n">
        <v>48.78</v>
      </c>
      <c r="FU78" s="9" t="n">
        <v>78.19</v>
      </c>
      <c r="FV78" s="9" t="n">
        <v>34.47</v>
      </c>
      <c r="FW78" s="9" t="n">
        <v>31.19</v>
      </c>
      <c r="FX78" s="9" t="n">
        <v>12.53</v>
      </c>
      <c r="FY78" s="9" t="n">
        <v>187.67</v>
      </c>
      <c r="FZ78" s="9" t="n">
        <v>89.64</v>
      </c>
      <c r="GA78" s="9" t="n">
        <v>47.76</v>
      </c>
      <c r="GB78" s="9" t="n">
        <v>4.89</v>
      </c>
      <c r="GC78" s="9" t="n">
        <v>1</v>
      </c>
      <c r="GD78" s="9" t="n">
        <v>20.45</v>
      </c>
      <c r="GE78" s="9" t="n">
        <v>27.14</v>
      </c>
      <c r="GF78" s="9" t="n">
        <v>6.19</v>
      </c>
      <c r="GG78" s="9" t="n">
        <v>22.82</v>
      </c>
      <c r="GH78" s="9" t="n">
        <v>1.58</v>
      </c>
      <c r="GI78" s="9" t="n">
        <v>0.64</v>
      </c>
      <c r="GJ78" s="9" t="n">
        <v>40.35</v>
      </c>
      <c r="GK78" s="9" t="n">
        <v>26.19</v>
      </c>
      <c r="GL78" s="9" t="n">
        <v>2.89</v>
      </c>
      <c r="GM78" s="9" t="n">
        <v>11.03</v>
      </c>
      <c r="GN78" s="9" t="n">
        <v>4.5</v>
      </c>
      <c r="GO78" s="9" t="n">
        <v>1.19</v>
      </c>
      <c r="GP78" s="9" t="n">
        <v>26.54</v>
      </c>
      <c r="GQ78" s="9" t="n">
        <v>2.75</v>
      </c>
      <c r="GR78" s="9" t="n">
        <v>0.5600000000000001</v>
      </c>
      <c r="GS78" s="9" t="n">
        <v>20.2</v>
      </c>
      <c r="GT78" s="9" t="n">
        <v>0.06</v>
      </c>
      <c r="GU78" s="9" t="n">
        <v>0.06</v>
      </c>
      <c r="GV78" s="9" t="n">
        <v>100</v>
      </c>
      <c r="GW78" s="9" t="n">
        <v>13.83</v>
      </c>
      <c r="GX78" s="9" t="n">
        <v>3.92</v>
      </c>
      <c r="GY78" s="9" t="n">
        <v>28.31</v>
      </c>
      <c r="GZ78" s="9" t="n">
        <v>4.31</v>
      </c>
      <c r="HA78" s="9" t="n">
        <v>5.97</v>
      </c>
      <c r="HB78" s="9" t="n">
        <v>22.22</v>
      </c>
      <c r="HC78" s="9" t="n">
        <v>2.94</v>
      </c>
      <c r="HD78" s="9" t="n">
        <v>8.890000000000001</v>
      </c>
      <c r="HE78" s="9" t="n">
        <v>14.06</v>
      </c>
      <c r="HF78" s="9" t="n">
        <v>66.33</v>
      </c>
      <c r="HG78" s="9" t="n">
        <v>27.5</v>
      </c>
      <c r="HH78" s="9" t="n">
        <v>41.46</v>
      </c>
      <c r="HI78" s="9" t="n">
        <v>1.72</v>
      </c>
      <c r="HJ78" s="9" t="n">
        <v>1.33</v>
      </c>
      <c r="HK78" s="9" t="n">
        <v>11.36</v>
      </c>
      <c r="HL78" s="9" t="n">
        <v>4.33</v>
      </c>
      <c r="HM78" s="9" t="n">
        <v>38.14</v>
      </c>
      <c r="HN78" s="9" t="n">
        <v>60.5</v>
      </c>
      <c r="HO78" s="9" t="n">
        <v>35.08</v>
      </c>
      <c r="HP78" s="9" t="n">
        <v>57.99</v>
      </c>
      <c r="HQ78" s="9" t="n">
        <v>32.56</v>
      </c>
      <c r="HR78" s="9" t="n">
        <v>15.36</v>
      </c>
      <c r="HS78" s="9" t="n">
        <v>47.18</v>
      </c>
      <c r="HT78" s="9" t="n">
        <v>3.53</v>
      </c>
      <c r="HU78" s="9" t="n">
        <v>1.78</v>
      </c>
      <c r="HV78" s="9" t="n">
        <v>50.39</v>
      </c>
      <c r="HW78" s="9" t="n">
        <v>38.44</v>
      </c>
      <c r="HX78" s="9" t="n">
        <v>13.47</v>
      </c>
      <c r="HY78" s="9" t="n">
        <v>14.17</v>
      </c>
      <c r="HZ78" s="9" t="n">
        <v>2.86</v>
      </c>
      <c r="IA78" s="9" t="n">
        <v>0.19</v>
      </c>
      <c r="IB78" s="9" t="n">
        <v>148.53</v>
      </c>
      <c r="IC78" s="9" t="n">
        <v>108.81</v>
      </c>
      <c r="ID78" s="9" t="n">
        <v>73.26000000000001</v>
      </c>
      <c r="IE78" s="9" t="n">
        <v>69.78</v>
      </c>
      <c r="IF78" s="9" t="n">
        <v>65.86</v>
      </c>
      <c r="IG78" s="9" t="n">
        <v>94.39</v>
      </c>
      <c r="IH78" s="9" t="n">
        <v>184.36</v>
      </c>
      <c r="II78" s="9" t="n">
        <v>165.94</v>
      </c>
      <c r="IJ78" s="9" t="n">
        <v>90.01000000000001</v>
      </c>
      <c r="IK78" s="9" t="n">
        <v>50.14</v>
      </c>
      <c r="IL78" s="9" t="n">
        <v>26.83</v>
      </c>
      <c r="IM78" s="9" t="n">
        <v>53.52</v>
      </c>
      <c r="IN78" s="9" t="n">
        <v>58</v>
      </c>
      <c r="IO78" s="9" t="n">
        <v>38.56</v>
      </c>
      <c r="IP78" s="9" t="n">
        <v>66.48</v>
      </c>
      <c r="IQ78" s="9" t="n">
        <v>71.33</v>
      </c>
      <c r="IR78" s="9" t="n">
        <v>52.22</v>
      </c>
      <c r="IS78" s="9" t="n">
        <v>73.20999999999999</v>
      </c>
      <c r="IT78" s="33">
        <f>PERCENTRANK(IS$2:INDEX($IS:$IS,LOOKUP(2,1/(ISNUMBER($A$2:$A$1048576)),ROW($A$2:$A$1048576))),IS78)</f>
        <v/>
      </c>
      <c r="IU78" s="39">
        <f>1-(IS78-IS$106)/IS$107</f>
        <v/>
      </c>
      <c r="IV78" s="9" t="n">
        <v>2.81</v>
      </c>
      <c r="IW78" s="9" t="n">
        <v>0.9399999999999999</v>
      </c>
      <c r="IX78" s="9" t="n">
        <v>33.66</v>
      </c>
      <c r="IY78" s="9" t="n">
        <v>20.47</v>
      </c>
      <c r="IZ78" s="9" t="n">
        <v>18.67</v>
      </c>
      <c r="JA78" s="9" t="n">
        <v>91.18000000000001</v>
      </c>
      <c r="JB78" s="9" t="n">
        <v>8.08</v>
      </c>
      <c r="JC78" s="9" t="n">
        <v>16.53</v>
      </c>
      <c r="JD78" s="9" t="n">
        <v>4.44</v>
      </c>
      <c r="JE78" s="9" t="n">
        <v>11.19</v>
      </c>
      <c r="JF78" s="9" t="n">
        <v>19.49</v>
      </c>
      <c r="JG78" s="9" t="n">
        <v>20</v>
      </c>
      <c r="JH78" s="9" t="n">
        <v>10.45</v>
      </c>
    </row>
    <row r="79">
      <c r="A79" s="12" t="n">
        <v>2022</v>
      </c>
      <c r="B79" s="31" t="inlineStr">
        <is>
          <t>El Paso Locomotive</t>
        </is>
      </c>
      <c r="C79" s="12" t="n">
        <v>46</v>
      </c>
      <c r="D79" s="5">
        <f>(C79-AVERAGE($C$2:INDEX($C:$C,LOOKUP(2,1/(ISNUMBER($A$2:$A$1048576)),ROW($A$2:$A$1048576)))))/_xlfn.STDEV.P($C$2:INDEX($C:$C,LOOKUP(2,1/(ISNUMBER($A$2:$A$1048576)),ROW($A$2:$A$1048576))))</f>
        <v/>
      </c>
      <c r="E79" s="12" t="n">
        <v>8</v>
      </c>
      <c r="F79" s="6">
        <f>-E79</f>
        <v/>
      </c>
      <c r="G79" s="7">
        <f>(F79-AVERAGE($F$2:INDEX($F:$F,LOOKUP(2,1/(ISNUMBER($A$2:$A$1048576)),ROW($A$2:$A$1048576)))))/_xlfn.STDEV.P($F$2:INDEX($F:$F,LOOKUP(2,1/(ISNUMBER($A$2:$A$1048576)),ROW($A$2:$A$1048576))))</f>
        <v/>
      </c>
      <c r="H79" s="32">
        <f>sum(0.5*D79)+(0.5*G79)</f>
        <v/>
      </c>
      <c r="I79" s="12" t="inlineStr">
        <is>
          <t>West</t>
        </is>
      </c>
      <c r="J79" s="10">
        <f>sum(L79*L$105)+(N79*N$105)+(P79*P$105)+(T79*R$105)</f>
        <v/>
      </c>
      <c r="K79" s="33">
        <f>PERCENTRANK(J$2:INDEX($J:$J,LOOKUP(2,1/(ISNUMBER($A$2:$A$1048576)),ROW($A$2:$A$1048576))),J79)</f>
        <v/>
      </c>
      <c r="L79" s="10">
        <f>sum(AA79*0.66)+(AD79*0.55)+(AG79*0.59)+(CG79*0.51)+(CL79*0.6)+(EY79*0.31)</f>
        <v/>
      </c>
      <c r="M79" s="33">
        <f>PERCENTRANK(L$2:INDEX($L:$L,LOOKUP(2,1/(ISNUMBER($A$2:$A$1048576)),ROW($A$2:$A$1048576))),L79)</f>
        <v/>
      </c>
      <c r="N79" s="10">
        <f>sum(CT79*0.57)+(CW79*0.71)+(DJ79*0.08)+(FC79*0.33)+(FG79*0.69)+(FM79*0.26)+(IU79*0.54)+(AU79*0.4)</f>
        <v/>
      </c>
      <c r="O79" s="33">
        <f>PERCENTRANK(N$2:INDEX($N:$N,LOOKUP(2,1/(ISNUMBER($A$2:$A$1048576)),ROW($A$2:$A$1048576))),N79)</f>
        <v/>
      </c>
      <c r="P79" s="10">
        <f>sum(BG79*0.51)+(CD79*0.51)+(DR79*0.11)+(EF79*0.42)+(EK79*0.44)+(W79*0.6)</f>
        <v/>
      </c>
      <c r="Q79" s="33">
        <f>PERCENTRANK(P$2:INDEX($P:$P,LOOKUP(2,1/(ISNUMBER($A$2:$A$1048576)),ROW($A$2:$A$1048576))),P79)</f>
        <v/>
      </c>
      <c r="R79" s="10">
        <f>sum(Y79-FE79)</f>
        <v/>
      </c>
      <c r="S79" s="33">
        <f>PERCENTRANK(R$2:INDEX($R:$R,LOOKUP(2,1/(ISNUMBER($A$2:$A$1048576)),ROW($A$2:$A$1048576))),R79)</f>
        <v/>
      </c>
      <c r="T79" s="34">
        <f>sum(R79-R$106)/R$107</f>
        <v/>
      </c>
      <c r="U79" s="35">
        <f>sum(Y79/AI79)*100</f>
        <v/>
      </c>
      <c r="V79" s="33">
        <f>PERCENTRANK(U$2:INDEX($U:$U,LOOKUP(2,1/(ISNUMBER($A$2:$A$1048576)),ROW($A$2:$A$1048576))),U79)</f>
        <v/>
      </c>
      <c r="W79" s="36">
        <f>sum(U79-U$106)/U$107</f>
        <v/>
      </c>
      <c r="X79" s="9" t="n">
        <v>1.65</v>
      </c>
      <c r="Y79" s="9" t="n">
        <v>1.57</v>
      </c>
      <c r="Z79" s="33">
        <f>PERCENTRANK(Y$2:INDEX($Y:$Y,LOOKUP(2,1/(ISNUMBER($A$2:$A$1048576)),ROW($A$2:$A$1048576))),Y79)</f>
        <v/>
      </c>
      <c r="AA79" s="37">
        <f>sum(Y79-Y$106)/Y$107</f>
        <v/>
      </c>
      <c r="AB79" s="9" t="n">
        <v>12.44</v>
      </c>
      <c r="AC79" s="33">
        <f>PERCENTRANK(AB$2:INDEX($AB:$AB,LOOKUP(2,1/(ISNUMBER($A$2:$A$1048576)),ROW($A$2:$A$1048576))),AB79)</f>
        <v/>
      </c>
      <c r="AD79" s="38">
        <f>sum(AB79-AB$106)/AB$107</f>
        <v/>
      </c>
      <c r="AE79" s="9" t="n">
        <v>5.06</v>
      </c>
      <c r="AF79" s="33">
        <f>PERCENTRANK(AE$2:INDEX($AE:$AE,LOOKUP(2,1/(ISNUMBER($A$2:$A$1048576)),ROW($A$2:$A$1048576))),AE79)</f>
        <v/>
      </c>
      <c r="AG79" s="38">
        <f>sum(AE79-AE$106)/AE$107</f>
        <v/>
      </c>
      <c r="AH79" s="9" t="n">
        <v>40.66</v>
      </c>
      <c r="AI79" s="9" t="n">
        <v>483.21</v>
      </c>
      <c r="AJ79" s="9" t="n">
        <v>413.24</v>
      </c>
      <c r="AK79" s="9" t="n">
        <v>85.52</v>
      </c>
      <c r="AL79" s="9" t="n">
        <v>59.23</v>
      </c>
      <c r="AM79" s="9" t="n">
        <v>96.91</v>
      </c>
      <c r="AN79" s="9" t="n">
        <v>16.79</v>
      </c>
      <c r="AO79" s="9" t="n">
        <v>36.59</v>
      </c>
      <c r="AP79" s="9" t="n">
        <v>43.53</v>
      </c>
      <c r="AQ79" s="9" t="n">
        <v>75.5</v>
      </c>
      <c r="AR79" s="9" t="n">
        <v>34.76</v>
      </c>
      <c r="AS79" s="9" t="n">
        <v>30.97</v>
      </c>
      <c r="AT79" s="33">
        <f>PERCENTRANK(AS$2:INDEX($AS:$AS,LOOKUP(2,1/(ISNUMBER($A$2:$A$1048576)),ROW($A$2:$A$1048576))),AS79)</f>
        <v/>
      </c>
      <c r="AU79" s="39">
        <f>SUM(AS79-AS$106)/AS$107</f>
        <v/>
      </c>
      <c r="AV79" s="9" t="n">
        <v>9.76</v>
      </c>
      <c r="AW79" s="33">
        <f>PERCENTRANK(AV$2:INDEX($AV:$AV,LOOKUP(2,1/(ISNUMBER($A$2:$A$1048576)),ROW($A$2:$A$1048576))),AV79)</f>
        <v/>
      </c>
      <c r="AX79" s="9" t="n">
        <v>191.71</v>
      </c>
      <c r="AY79" s="9" t="n">
        <v>89.41</v>
      </c>
      <c r="AZ79" s="9" t="n">
        <v>46.64</v>
      </c>
      <c r="BA79" s="9" t="n">
        <v>5.18</v>
      </c>
      <c r="BB79" s="9" t="n">
        <v>1.56</v>
      </c>
      <c r="BC79" s="9" t="n">
        <v>30.11</v>
      </c>
      <c r="BD79" s="9" t="n">
        <v>30.06</v>
      </c>
      <c r="BE79" s="9" t="n">
        <v>7.24</v>
      </c>
      <c r="BF79" s="33">
        <f>PERCENTRANK(BE$2:INDEX($BE:$BE,LOOKUP(2,1/(ISNUMBER($A$2:$A$1048576)),ROW($A$2:$A$1048576))),BE79)</f>
        <v/>
      </c>
      <c r="BG79" s="40">
        <f>sum(BE79-BE$106)/BE$107</f>
        <v/>
      </c>
      <c r="BH79" s="9" t="n">
        <v>24.07</v>
      </c>
      <c r="BI79" s="9" t="n">
        <v>1.09</v>
      </c>
      <c r="BJ79" s="9" t="n">
        <v>0.47</v>
      </c>
      <c r="BK79" s="9" t="n">
        <v>43.24</v>
      </c>
      <c r="BL79" s="9" t="n">
        <v>30.65</v>
      </c>
      <c r="BM79" s="9" t="n">
        <v>4</v>
      </c>
      <c r="BN79" s="9" t="n">
        <v>13.05</v>
      </c>
      <c r="BO79" s="9" t="n">
        <v>5.91</v>
      </c>
      <c r="BP79" s="9" t="n">
        <v>1.76</v>
      </c>
      <c r="BQ79" s="9" t="n">
        <v>29.85</v>
      </c>
      <c r="BR79" s="9" t="n">
        <v>2.74</v>
      </c>
      <c r="BS79" s="9" t="n">
        <v>0.41</v>
      </c>
      <c r="BT79" s="9" t="n">
        <v>15.05</v>
      </c>
      <c r="BU79" s="9" t="n">
        <v>0.21</v>
      </c>
      <c r="BV79" s="9" t="n">
        <v>0.09</v>
      </c>
      <c r="BW79" s="9" t="n">
        <v>42.86</v>
      </c>
      <c r="BX79" s="9" t="n">
        <v>14.68</v>
      </c>
      <c r="BY79" s="9" t="n">
        <v>4.85</v>
      </c>
      <c r="BZ79" s="9" t="n">
        <v>33.07</v>
      </c>
      <c r="CA79" s="9" t="n">
        <v>4.79</v>
      </c>
      <c r="CB79" s="9" t="n">
        <v>7.03</v>
      </c>
      <c r="CC79" s="33">
        <f>PERCENTRANK(CD$2:INDEX($CD:$CD,LOOKUP(2,1/(ISNUMBER($A$2:$A$1048576)),ROW($A$2:$A$1048576))),CD79)</f>
        <v/>
      </c>
      <c r="CD79" s="40">
        <f>sum(CB79-CB$106)/CB$107</f>
        <v/>
      </c>
      <c r="CE79" s="9" t="n">
        <v>24.06</v>
      </c>
      <c r="CF79" s="33">
        <f>PERCENTRANK(CE$2:INDEX($CE:$CE,LOOKUP(2,1/(ISNUMBER($A$2:$A$1048576)),ROW($A$2:$A$1048576))),CE79)</f>
        <v/>
      </c>
      <c r="CG79" s="38">
        <f>sum(CE79-CE$106)/CE$107</f>
        <v/>
      </c>
      <c r="CH79" s="9" t="n">
        <v>4.82</v>
      </c>
      <c r="CI79" s="9" t="n">
        <v>8.210000000000001</v>
      </c>
      <c r="CJ79" s="9" t="n">
        <v>19.12</v>
      </c>
      <c r="CK79" s="33">
        <f>PERCENTRANK(CJ$2:INDEX($CJ:$CJ,LOOKUP(2,1/(ISNUMBER($A$2:$A$1048576)),ROW($A$2:$A$1048576))),CJ79)</f>
        <v/>
      </c>
      <c r="CL79" s="38">
        <f>sum(CJ79-CJ$106)/CJ$107</f>
        <v/>
      </c>
      <c r="CM79" s="9" t="n">
        <v>74.15000000000001</v>
      </c>
      <c r="CN79" s="9" t="n">
        <v>29.68</v>
      </c>
      <c r="CO79" s="9" t="n">
        <v>40.02</v>
      </c>
      <c r="CP79" s="9" t="n">
        <v>1.88</v>
      </c>
      <c r="CQ79" s="9" t="n">
        <v>1.53</v>
      </c>
      <c r="CR79" s="9" t="n">
        <v>11.26</v>
      </c>
      <c r="CS79" s="33">
        <f>PERCENTRANK(CR$2:INDEX($CR:$CR,LOOKUP(2,1/(ISNUMBER($A$2:$A$1048576)),ROW($A$2:$A$1048576))),CR79)</f>
        <v/>
      </c>
      <c r="CT79" s="39">
        <f>1-(CR79-CR$106)/CR$107</f>
        <v/>
      </c>
      <c r="CU79" s="9" t="n">
        <v>4.5</v>
      </c>
      <c r="CV79" s="33">
        <f>PERCENTRANK(CU$2:INDEX($CU:$CU,LOOKUP(2,1/(ISNUMBER($A$2:$A$1048576)),ROW($A$2:$A$1048576))),CU79)</f>
        <v/>
      </c>
      <c r="CW79" s="39">
        <f>1-(CU79-CU$106)/CU$107</f>
        <v/>
      </c>
      <c r="CX79" s="9" t="n">
        <v>39.95</v>
      </c>
      <c r="CY79" s="9" t="n">
        <v>60.65</v>
      </c>
      <c r="CZ79" s="9" t="n">
        <v>34.97</v>
      </c>
      <c r="DA79" s="9" t="n">
        <v>57.66</v>
      </c>
      <c r="DB79" s="9" t="n">
        <v>27.71</v>
      </c>
      <c r="DC79" s="9" t="n">
        <v>12.32</v>
      </c>
      <c r="DD79" s="9" t="n">
        <v>44.48</v>
      </c>
      <c r="DE79" s="9" t="n">
        <v>6.62</v>
      </c>
      <c r="DF79" s="9" t="n">
        <v>3.35</v>
      </c>
      <c r="DG79" s="9" t="n">
        <v>50.67</v>
      </c>
      <c r="DH79" s="9" t="n">
        <v>34.56</v>
      </c>
      <c r="DI79" s="33">
        <f>PERCENTRANK(DH$2:INDEX($DH:$DH,LOOKUP(2,1/(ISNUMBER($A$2:$A$1048576)),ROW($A$2:$A$1048576))),DH79)</f>
        <v/>
      </c>
      <c r="DJ79" s="39">
        <f>SUM(DH79-DH$106)/DH$107</f>
        <v/>
      </c>
      <c r="DK79" s="9" t="n">
        <v>13.76</v>
      </c>
      <c r="DL79" s="9" t="n">
        <v>13.18</v>
      </c>
      <c r="DM79" s="9" t="n">
        <v>3.32</v>
      </c>
      <c r="DN79" s="9" t="n">
        <v>0.12</v>
      </c>
      <c r="DO79" s="9" t="n">
        <v>159.79</v>
      </c>
      <c r="DP79" s="9" t="n">
        <v>123.29</v>
      </c>
      <c r="DQ79" s="33">
        <f>PERCENTRANK(DP$2:INDEX($DP:$DP,LOOKUP(2,1/(ISNUMBER($A$2:$A$1048576)),ROW($A$2:$A$1048576))),DP79)</f>
        <v/>
      </c>
      <c r="DR79" s="40">
        <f>sum(DP79-DP$106)/DP$107</f>
        <v/>
      </c>
      <c r="DS79" s="9" t="n">
        <v>77.16</v>
      </c>
      <c r="DT79" s="9" t="n">
        <v>75.73999999999999</v>
      </c>
      <c r="DU79" s="9" t="n">
        <v>71.76000000000001</v>
      </c>
      <c r="DV79" s="9" t="n">
        <v>94.76000000000001</v>
      </c>
      <c r="DW79" s="9" t="n">
        <v>180.88</v>
      </c>
      <c r="DX79" s="9" t="n">
        <v>163.38</v>
      </c>
      <c r="DY79" s="9" t="n">
        <v>90.33</v>
      </c>
      <c r="DZ79" s="9" t="n">
        <v>40.03</v>
      </c>
      <c r="EA79" s="9" t="n">
        <v>22.85</v>
      </c>
      <c r="EB79" s="9" t="n">
        <v>57.09</v>
      </c>
      <c r="EC79" s="9" t="n">
        <v>56.41</v>
      </c>
      <c r="ED79" s="9" t="n">
        <v>41.15</v>
      </c>
      <c r="EE79" s="33">
        <f>PERCENTRANK(ED$2:INDEX($ED:$ED,LOOKUP(2,1/(ISNUMBER($A$2:$A$1048576)),ROW($A$2:$A$1048576))),ED79)</f>
        <v/>
      </c>
      <c r="EF79" s="40">
        <f>sum(ED79-ED$106)/ED$107</f>
        <v/>
      </c>
      <c r="EG79" s="9" t="n">
        <v>72.94</v>
      </c>
      <c r="EH79" s="9" t="n">
        <v>78.5</v>
      </c>
      <c r="EI79" s="9" t="n">
        <v>59.09</v>
      </c>
      <c r="EJ79" s="33">
        <f>PERCENTRANK(EI$2:INDEX($EI:$EI,LOOKUP(2,1/(ISNUMBER($A$2:$A$1048576)),ROW($A$2:$A$1048576))),EI79)</f>
        <v/>
      </c>
      <c r="EK79" s="40">
        <f>sum(EI79-EI$106)/EI$107</f>
        <v/>
      </c>
      <c r="EL79" s="9" t="n">
        <v>75.27</v>
      </c>
      <c r="EM79" s="9" t="n">
        <v>4.06</v>
      </c>
      <c r="EN79" s="9" t="n">
        <v>1.74</v>
      </c>
      <c r="EO79" s="9" t="n">
        <v>42.75</v>
      </c>
      <c r="EP79" s="9" t="n">
        <v>23.44</v>
      </c>
      <c r="EQ79" s="9" t="n">
        <v>21.41</v>
      </c>
      <c r="ER79" s="9" t="n">
        <v>91.34</v>
      </c>
      <c r="ES79" s="9" t="n">
        <v>9.91</v>
      </c>
      <c r="ET79" s="9" t="n">
        <v>16.89</v>
      </c>
      <c r="EU79" s="9" t="n">
        <v>4.41</v>
      </c>
      <c r="EV79" s="9" t="n">
        <v>8.44</v>
      </c>
      <c r="EW79" s="9" t="n">
        <v>18.29</v>
      </c>
      <c r="EX79" s="33">
        <f>PERCENTRANK(EW$2:INDEX($EW:$EW,LOOKUP(2,1/(ISNUMBER($A$2:$A$1048576)),ROW($A$2:$A$1048576))),EW79)</f>
        <v/>
      </c>
      <c r="EY79" s="38">
        <f>1-(EW79-EW$106)/EW$107</f>
        <v/>
      </c>
      <c r="EZ79" s="9" t="n">
        <v>19.72</v>
      </c>
      <c r="FA79" s="9" t="n">
        <v>8.99</v>
      </c>
      <c r="FB79" s="33">
        <f>PERCENTRANK(FA$2:INDEX($FA:$FA,LOOKUP(2,1/(ISNUMBER($A$2:$A$1048576)),ROW($A$2:$A$1048576))),FA79)</f>
        <v/>
      </c>
      <c r="FC79" s="39">
        <f>1-(FA79-FA$106)/FA$107</f>
        <v/>
      </c>
      <c r="FD79" s="9" t="n">
        <v>1.53</v>
      </c>
      <c r="FE79" s="9" t="n">
        <v>1.48</v>
      </c>
      <c r="FF79" s="33">
        <f>PERCENTRANK(FE$2:INDEX($FE:$FE,LOOKUP(2,1/(ISNUMBER($A$2:$A$1048576)),ROW($A$2:$A$1048576))),FE79)</f>
        <v/>
      </c>
      <c r="FG79" s="39">
        <f>1-(FE79-FE$106)/FE$107</f>
        <v/>
      </c>
      <c r="FH79" s="9" t="n">
        <v>11.26</v>
      </c>
      <c r="FI79" s="9" t="n">
        <v>4.26</v>
      </c>
      <c r="FJ79" s="9" t="n">
        <v>37.86</v>
      </c>
      <c r="FK79" s="9" t="n">
        <v>317.74</v>
      </c>
      <c r="FL79" s="33">
        <f>PERCENTRANK(FK$2:INDEX($FK:$FK,LOOKUP(2,1/(ISNUMBER($A$2:$A$1048576)),ROW($A$2:$A$1048576))),FK79)</f>
        <v/>
      </c>
      <c r="FM79" s="39">
        <f>SWA78-(FK79-FK$106)/FK$107</f>
        <v/>
      </c>
      <c r="FN79" s="9" t="n">
        <v>249.79</v>
      </c>
      <c r="FO79" s="9" t="n">
        <v>78.62</v>
      </c>
      <c r="FP79" s="9" t="n">
        <v>40.77</v>
      </c>
      <c r="FQ79" s="9" t="n">
        <v>95.70999999999999</v>
      </c>
      <c r="FR79" s="9" t="n">
        <v>17.62</v>
      </c>
      <c r="FS79" s="9" t="n">
        <v>36.47</v>
      </c>
      <c r="FT79" s="9" t="n">
        <v>41.62</v>
      </c>
      <c r="FU79" s="9" t="n">
        <v>73.47</v>
      </c>
      <c r="FV79" s="9" t="n">
        <v>31.91</v>
      </c>
      <c r="FW79" s="9" t="n">
        <v>31.09</v>
      </c>
      <c r="FX79" s="9" t="n">
        <v>10.47</v>
      </c>
      <c r="FY79" s="9" t="n">
        <v>191.71</v>
      </c>
      <c r="FZ79" s="9" t="n">
        <v>95.23999999999999</v>
      </c>
      <c r="GA79" s="9" t="n">
        <v>49.68</v>
      </c>
      <c r="GB79" s="9" t="n">
        <v>4.15</v>
      </c>
      <c r="GC79" s="9" t="n">
        <v>1.15</v>
      </c>
      <c r="GD79" s="9" t="n">
        <v>27.66</v>
      </c>
      <c r="GE79" s="9" t="n">
        <v>24.65</v>
      </c>
      <c r="GF79" s="9" t="n">
        <v>6.56</v>
      </c>
      <c r="GG79" s="9" t="n">
        <v>26.61</v>
      </c>
      <c r="GH79" s="9" t="n">
        <v>1.88</v>
      </c>
      <c r="GI79" s="9" t="n">
        <v>0.74</v>
      </c>
      <c r="GJ79" s="9" t="n">
        <v>39.06</v>
      </c>
      <c r="GK79" s="9" t="n">
        <v>26.26</v>
      </c>
      <c r="GL79" s="9" t="n">
        <v>3.12</v>
      </c>
      <c r="GM79" s="9" t="n">
        <v>11.87</v>
      </c>
      <c r="GN79" s="9" t="n">
        <v>4.32</v>
      </c>
      <c r="GO79" s="9" t="n">
        <v>0.97</v>
      </c>
      <c r="GP79" s="9" t="n">
        <v>22.45</v>
      </c>
      <c r="GQ79" s="9" t="n">
        <v>3.32</v>
      </c>
      <c r="GR79" s="9" t="n">
        <v>0.82</v>
      </c>
      <c r="GS79" s="9" t="n">
        <v>24.78</v>
      </c>
      <c r="GT79" s="9" t="n">
        <v>0.18</v>
      </c>
      <c r="GU79" s="9" t="n">
        <v>0.15</v>
      </c>
      <c r="GV79" s="9" t="n">
        <v>83.33</v>
      </c>
      <c r="GW79" s="9" t="n">
        <v>12.35</v>
      </c>
      <c r="GX79" s="9" t="n">
        <v>4.03</v>
      </c>
      <c r="GY79" s="9" t="n">
        <v>32.62</v>
      </c>
      <c r="GZ79" s="9" t="n">
        <v>4.35</v>
      </c>
      <c r="HA79" s="9" t="n">
        <v>5.62</v>
      </c>
      <c r="HB79" s="9" t="n">
        <v>22.24</v>
      </c>
      <c r="HC79" s="9" t="n">
        <v>4.12</v>
      </c>
      <c r="HD79" s="9" t="n">
        <v>7.59</v>
      </c>
      <c r="HE79" s="9" t="n">
        <v>15.62</v>
      </c>
      <c r="HF79" s="9" t="n">
        <v>60.65</v>
      </c>
      <c r="HG79" s="9" t="n">
        <v>25.68</v>
      </c>
      <c r="HH79" s="9" t="n">
        <v>42.34</v>
      </c>
      <c r="HI79" s="9" t="n">
        <v>2.56</v>
      </c>
      <c r="HJ79" s="9" t="n">
        <v>1.65</v>
      </c>
      <c r="HK79" s="9" t="n">
        <v>12.44</v>
      </c>
      <c r="HL79" s="9" t="n">
        <v>5.26</v>
      </c>
      <c r="HM79" s="9" t="n">
        <v>42.32</v>
      </c>
      <c r="HN79" s="9" t="n">
        <v>74.15000000000001</v>
      </c>
      <c r="HO79" s="9" t="n">
        <v>44.47</v>
      </c>
      <c r="HP79" s="9" t="n">
        <v>59.98</v>
      </c>
      <c r="HQ79" s="9" t="n">
        <v>27.71</v>
      </c>
      <c r="HR79" s="9" t="n">
        <v>13.5</v>
      </c>
      <c r="HS79" s="9" t="n">
        <v>48.73</v>
      </c>
      <c r="HT79" s="9" t="n">
        <v>3.76</v>
      </c>
      <c r="HU79" s="9" t="n">
        <v>1.62</v>
      </c>
      <c r="HV79" s="9" t="n">
        <v>42.97</v>
      </c>
      <c r="HW79" s="9" t="n">
        <v>43.12</v>
      </c>
      <c r="HX79" s="9" t="n">
        <v>16.65</v>
      </c>
      <c r="HY79" s="9" t="n">
        <v>13.65</v>
      </c>
      <c r="HZ79" s="9" t="n">
        <v>2.65</v>
      </c>
      <c r="IA79" s="9" t="n">
        <v>0.21</v>
      </c>
      <c r="IB79" s="9" t="n">
        <v>117.06</v>
      </c>
      <c r="IC79" s="9" t="n">
        <v>78.44</v>
      </c>
      <c r="ID79" s="9" t="n">
        <v>67.01000000000001</v>
      </c>
      <c r="IE79" s="9" t="n">
        <v>47.68</v>
      </c>
      <c r="IF79" s="9" t="n">
        <v>44.26</v>
      </c>
      <c r="IG79" s="9" t="n">
        <v>92.84</v>
      </c>
      <c r="IH79" s="9" t="n">
        <v>108.12</v>
      </c>
      <c r="II79" s="9" t="n">
        <v>90.84999999999999</v>
      </c>
      <c r="IJ79" s="9" t="n">
        <v>84.03</v>
      </c>
      <c r="IK79" s="9" t="n">
        <v>44.85</v>
      </c>
      <c r="IL79" s="9" t="n">
        <v>21.79</v>
      </c>
      <c r="IM79" s="9" t="n">
        <v>48.59</v>
      </c>
      <c r="IN79" s="9" t="n">
        <v>44.24</v>
      </c>
      <c r="IO79" s="9" t="n">
        <v>26.35</v>
      </c>
      <c r="IP79" s="9" t="n">
        <v>59.57</v>
      </c>
      <c r="IQ79" s="9" t="n">
        <v>62.68</v>
      </c>
      <c r="IR79" s="9" t="n">
        <v>43.15</v>
      </c>
      <c r="IS79" s="9" t="n">
        <v>68.84</v>
      </c>
      <c r="IT79" s="33">
        <f>PERCENTRANK(IS$2:INDEX($IS:$IS,LOOKUP(2,1/(ISNUMBER($A$2:$A$1048576)),ROW($A$2:$A$1048576))),IS79)</f>
        <v/>
      </c>
      <c r="IU79" s="39">
        <f>1-(IS79-IS$106)/IS$107</f>
        <v/>
      </c>
      <c r="IV79" s="9" t="n">
        <v>3.41</v>
      </c>
      <c r="IW79" s="9" t="n">
        <v>1.35</v>
      </c>
      <c r="IX79" s="9" t="n">
        <v>39.66</v>
      </c>
      <c r="IY79" s="9" t="n">
        <v>21.53</v>
      </c>
      <c r="IZ79" s="9" t="n">
        <v>18.29</v>
      </c>
      <c r="JA79" s="9" t="n">
        <v>84.97</v>
      </c>
      <c r="JB79" s="9" t="n">
        <v>8.74</v>
      </c>
      <c r="JC79" s="9" t="n">
        <v>15.96</v>
      </c>
      <c r="JD79" s="9" t="n">
        <v>3.04</v>
      </c>
      <c r="JE79" s="9" t="n">
        <v>14.82</v>
      </c>
      <c r="JF79" s="9" t="n">
        <v>18</v>
      </c>
      <c r="JG79" s="9" t="n">
        <v>21.38</v>
      </c>
      <c r="JH79" s="9" t="n">
        <v>13.32</v>
      </c>
    </row>
    <row r="80">
      <c r="A80" s="12" t="n">
        <v>2025</v>
      </c>
      <c r="B80" s="31" t="inlineStr">
        <is>
          <t>New Mexico United</t>
        </is>
      </c>
      <c r="C80" s="12" t="n">
        <v>48</v>
      </c>
      <c r="D80" s="5">
        <f>(C80-AVERAGE($C$2:INDEX($C:$C,LOOKUP(2,1/(ISNUMBER($A$2:$A$1048576)),ROW($A$2:$A$1048576)))))/_xlfn.STDEV.P($C$2:INDEX($C:$C,LOOKUP(2,1/(ISNUMBER($A$2:$A$1048576)),ROW($A$2:$A$1048576))))</f>
        <v/>
      </c>
      <c r="E80" s="12" t="n">
        <v>3</v>
      </c>
      <c r="F80" s="6">
        <f>-E80</f>
        <v/>
      </c>
      <c r="G80" s="7">
        <f>(F80-AVERAGE($F$2:INDEX($F:$F,LOOKUP(2,1/(ISNUMBER($A$2:$A$1048576)),ROW($A$2:$A$1048576)))))/_xlfn.STDEV.P($F$2:INDEX($F:$F,LOOKUP(2,1/(ISNUMBER($A$2:$A$1048576)),ROW($A$2:$A$1048576))))</f>
        <v/>
      </c>
      <c r="H80" s="32">
        <f>sum(0.5*D80)+(0.5*G80)</f>
        <v/>
      </c>
      <c r="I80" s="12" t="inlineStr">
        <is>
          <t>West</t>
        </is>
      </c>
      <c r="J80" s="10">
        <f>sum(L80*L$105)+(N80*N$105)+(P80*P$105)+(T80*R$105)</f>
        <v/>
      </c>
      <c r="K80" s="33">
        <f>PERCENTRANK(J$2:INDEX($J:$J,LOOKUP(2,1/(ISNUMBER($A$2:$A$1048576)),ROW($A$2:$A$1048576))),J80)</f>
        <v/>
      </c>
      <c r="L80" s="10">
        <f>sum(AA80*0.66)+(AD80*0.55)+(AG80*0.59)+(CG80*0.51)+(CL80*0.6)+(EY80*0.31)</f>
        <v/>
      </c>
      <c r="M80" s="33">
        <f>PERCENTRANK(L$2:INDEX($L:$L,LOOKUP(2,1/(ISNUMBER($A$2:$A$1048576)),ROW($A$2:$A$1048576))),L80)</f>
        <v/>
      </c>
      <c r="N80" s="10">
        <f>sum(CT80*0.57)+(CW80*0.71)+(DJ80*0.08)+(FC80*0.33)+(FG80*0.69)+(FM80*0.26)+(IU80*0.54)+(AU80*0.4)</f>
        <v/>
      </c>
      <c r="O80" s="33">
        <f>PERCENTRANK(N$2:INDEX($N:$N,LOOKUP(2,1/(ISNUMBER($A$2:$A$1048576)),ROW($A$2:$A$1048576))),N80)</f>
        <v/>
      </c>
      <c r="P80" s="10">
        <f>sum(BG80*0.51)+(CD80*0.51)+(DR80*0.11)+(EF80*0.42)+(EK80*0.44)+(W80*0.6)</f>
        <v/>
      </c>
      <c r="Q80" s="33">
        <f>PERCENTRANK(P$2:INDEX($P:$P,LOOKUP(2,1/(ISNUMBER($A$2:$A$1048576)),ROW($A$2:$A$1048576))),P80)</f>
        <v/>
      </c>
      <c r="R80" s="10">
        <f>sum(Y80-FE80)</f>
        <v/>
      </c>
      <c r="S80" s="33">
        <f>PERCENTRANK(R$2:INDEX($R:$R,LOOKUP(2,1/(ISNUMBER($A$2:$A$1048576)),ROW($A$2:$A$1048576))),R80)</f>
        <v/>
      </c>
      <c r="T80" s="34">
        <f>sum(R80-R$106)/R$107</f>
        <v/>
      </c>
      <c r="U80" s="35">
        <f>sum(Y80/AI80)*100</f>
        <v/>
      </c>
      <c r="V80" s="33">
        <f>PERCENTRANK(U$2:INDEX($U:$U,LOOKUP(2,1/(ISNUMBER($A$2:$A$1048576)),ROW($A$2:$A$1048576))),U80)</f>
        <v/>
      </c>
      <c r="W80" s="36">
        <f>sum(U80-U$106)/U$107</f>
        <v/>
      </c>
      <c r="X80" s="9" t="n">
        <v>1.53</v>
      </c>
      <c r="Y80" s="9" t="n">
        <v>1.26</v>
      </c>
      <c r="Z80" s="33">
        <f>PERCENTRANK(Y$2:INDEX($Y:$Y,LOOKUP(2,1/(ISNUMBER($A$2:$A$1048576)),ROW($A$2:$A$1048576))),Y80)</f>
        <v/>
      </c>
      <c r="AA80" s="37">
        <f>sum(Y80-Y$106)/Y$107</f>
        <v/>
      </c>
      <c r="AB80" s="9" t="n">
        <v>9.69</v>
      </c>
      <c r="AC80" s="33">
        <f>PERCENTRANK(AB$2:INDEX($AB:$AB,LOOKUP(2,1/(ISNUMBER($A$2:$A$1048576)),ROW($A$2:$A$1048576))),AB80)</f>
        <v/>
      </c>
      <c r="AD80" s="38">
        <f>sum(AB80-AB$106)/AB$107</f>
        <v/>
      </c>
      <c r="AE80" s="9" t="n">
        <v>3.34</v>
      </c>
      <c r="AF80" s="33">
        <f>PERCENTRANK(AE$2:INDEX($AE:$AE,LOOKUP(2,1/(ISNUMBER($A$2:$A$1048576)),ROW($A$2:$A$1048576))),AE80)</f>
        <v/>
      </c>
      <c r="AG80" s="38">
        <f>sum(AE80-AE$106)/AE$107</f>
        <v/>
      </c>
      <c r="AH80" s="9" t="n">
        <v>34.52</v>
      </c>
      <c r="AI80" s="9" t="n">
        <v>479.22</v>
      </c>
      <c r="AJ80" s="9" t="n">
        <v>411.41</v>
      </c>
      <c r="AK80" s="9" t="n">
        <v>85.84999999999999</v>
      </c>
      <c r="AL80" s="9" t="n">
        <v>58.96</v>
      </c>
      <c r="AM80" s="9" t="n">
        <v>95.38</v>
      </c>
      <c r="AN80" s="9" t="n">
        <v>18.84</v>
      </c>
      <c r="AO80" s="9" t="n">
        <v>32.84</v>
      </c>
      <c r="AP80" s="9" t="n">
        <v>43.69</v>
      </c>
      <c r="AQ80" s="9" t="n">
        <v>67.81</v>
      </c>
      <c r="AR80" s="9" t="n">
        <v>32.84</v>
      </c>
      <c r="AS80" s="9" t="n">
        <v>25.66</v>
      </c>
      <c r="AT80" s="33">
        <f>PERCENTRANK(AS$2:INDEX($AS:$AS,LOOKUP(2,1/(ISNUMBER($A$2:$A$1048576)),ROW($A$2:$A$1048576))),AS80)</f>
        <v/>
      </c>
      <c r="AU80" s="39">
        <f>SUM(AS80-AS$106)/AS$107</f>
        <v/>
      </c>
      <c r="AV80" s="9" t="n">
        <v>9.31</v>
      </c>
      <c r="AW80" s="33">
        <f>PERCENTRANK(AV$2:INDEX($AV:$AV,LOOKUP(2,1/(ISNUMBER($A$2:$A$1048576)),ROW($A$2:$A$1048576))),AV80)</f>
        <v/>
      </c>
      <c r="AX80" s="9" t="n">
        <v>158.81</v>
      </c>
      <c r="AY80" s="9" t="n">
        <v>75.41</v>
      </c>
      <c r="AZ80" s="9" t="n">
        <v>47.48</v>
      </c>
      <c r="BA80" s="9" t="n">
        <v>4.13</v>
      </c>
      <c r="BB80" s="9" t="n">
        <v>1.06</v>
      </c>
      <c r="BC80" s="9" t="n">
        <v>25.76</v>
      </c>
      <c r="BD80" s="9" t="n">
        <v>24.19</v>
      </c>
      <c r="BE80" s="9" t="n">
        <v>6.31</v>
      </c>
      <c r="BF80" s="33">
        <f>PERCENTRANK(BE$2:INDEX($BE:$BE,LOOKUP(2,1/(ISNUMBER($A$2:$A$1048576)),ROW($A$2:$A$1048576))),BE80)</f>
        <v/>
      </c>
      <c r="BG80" s="40">
        <f>sum(BE80-BE$106)/BE$107</f>
        <v/>
      </c>
      <c r="BH80" s="9" t="n">
        <v>26.1</v>
      </c>
      <c r="BI80" s="9" t="n">
        <v>0.59</v>
      </c>
      <c r="BJ80" s="9" t="n">
        <v>0.25</v>
      </c>
      <c r="BK80" s="9" t="n">
        <v>42.11</v>
      </c>
      <c r="BL80" s="9" t="n">
        <v>26.66</v>
      </c>
      <c r="BM80" s="9" t="n">
        <v>2.69</v>
      </c>
      <c r="BN80" s="9" t="n">
        <v>10.08</v>
      </c>
      <c r="BO80" s="9" t="n">
        <v>3.88</v>
      </c>
      <c r="BP80" s="9" t="n">
        <v>0.9399999999999999</v>
      </c>
      <c r="BQ80" s="9" t="n">
        <v>24.19</v>
      </c>
      <c r="BR80" s="9" t="n">
        <v>1.94</v>
      </c>
      <c r="BS80" s="9" t="n">
        <v>0.28</v>
      </c>
      <c r="BT80" s="9" t="n">
        <v>14.52</v>
      </c>
      <c r="BU80" s="9" t="n">
        <v>0.22</v>
      </c>
      <c r="BV80" s="9" t="n">
        <v>0.22</v>
      </c>
      <c r="BW80" s="9" t="n">
        <v>100</v>
      </c>
      <c r="BX80" s="9" t="n">
        <v>10.94</v>
      </c>
      <c r="BY80" s="9" t="n">
        <v>3.41</v>
      </c>
      <c r="BZ80" s="9" t="n">
        <v>31.14</v>
      </c>
      <c r="CA80" s="9" t="n">
        <v>3.13</v>
      </c>
      <c r="CB80" s="9" t="n">
        <v>8.41</v>
      </c>
      <c r="CC80" s="33">
        <f>PERCENTRANK(CD$2:INDEX($CD:$CD,LOOKUP(2,1/(ISNUMBER($A$2:$A$1048576)),ROW($A$2:$A$1048576))),CD80)</f>
        <v/>
      </c>
      <c r="CD80" s="40">
        <f>sum(CB80-CB$106)/CB$107</f>
        <v/>
      </c>
      <c r="CE80" s="9" t="n">
        <v>23.59</v>
      </c>
      <c r="CF80" s="33">
        <f>PERCENTRANK(CE$2:INDEX($CE:$CE,LOOKUP(2,1/(ISNUMBER($A$2:$A$1048576)),ROW($A$2:$A$1048576))),CE80)</f>
        <v/>
      </c>
      <c r="CG80" s="38">
        <f>sum(CE80-CE$106)/CE$107</f>
        <v/>
      </c>
      <c r="CH80" s="9" t="n">
        <v>4.06</v>
      </c>
      <c r="CI80" s="9" t="n">
        <v>6.25</v>
      </c>
      <c r="CJ80" s="9" t="n">
        <v>15.22</v>
      </c>
      <c r="CK80" s="33">
        <f>PERCENTRANK(CJ$2:INDEX($CJ:$CJ,LOOKUP(2,1/(ISNUMBER($A$2:$A$1048576)),ROW($A$2:$A$1048576))),CJ80)</f>
        <v/>
      </c>
      <c r="CL80" s="38">
        <f>sum(CJ80-CJ$106)/CJ$107</f>
        <v/>
      </c>
      <c r="CM80" s="9" t="n">
        <v>56.13</v>
      </c>
      <c r="CN80" s="9" t="n">
        <v>22.97</v>
      </c>
      <c r="CO80" s="9" t="n">
        <v>40.92</v>
      </c>
      <c r="CP80" s="9" t="n">
        <v>2.13</v>
      </c>
      <c r="CQ80" s="9" t="n">
        <v>1.28</v>
      </c>
      <c r="CR80" s="9" t="n">
        <v>11.19</v>
      </c>
      <c r="CS80" s="33">
        <f>PERCENTRANK(CR$2:INDEX($CR:$CR,LOOKUP(2,1/(ISNUMBER($A$2:$A$1048576)),ROW($A$2:$A$1048576))),CR80)</f>
        <v/>
      </c>
      <c r="CT80" s="39">
        <f>1-(CR80-CR$106)/CR$107</f>
        <v/>
      </c>
      <c r="CU80" s="9" t="n">
        <v>4.41</v>
      </c>
      <c r="CV80" s="33">
        <f>PERCENTRANK(CU$2:INDEX($CU:$CU,LOOKUP(2,1/(ISNUMBER($A$2:$A$1048576)),ROW($A$2:$A$1048576))),CU80)</f>
        <v/>
      </c>
      <c r="CW80" s="39">
        <f>1-(CU80-CU$106)/CU$107</f>
        <v/>
      </c>
      <c r="CX80" s="9" t="n">
        <v>39.39</v>
      </c>
      <c r="CY80" s="9" t="n">
        <v>53.91</v>
      </c>
      <c r="CZ80" s="9" t="n">
        <v>31.09</v>
      </c>
      <c r="DA80" s="9" t="n">
        <v>57.68</v>
      </c>
      <c r="DB80" s="9" t="n">
        <v>28</v>
      </c>
      <c r="DC80" s="9" t="n">
        <v>12.88</v>
      </c>
      <c r="DD80" s="9" t="n">
        <v>45.98</v>
      </c>
      <c r="DE80" s="9" t="n">
        <v>3.16</v>
      </c>
      <c r="DF80" s="9" t="n">
        <v>1.5</v>
      </c>
      <c r="DG80" s="9" t="n">
        <v>47.52</v>
      </c>
      <c r="DH80" s="9" t="n">
        <v>32.5</v>
      </c>
      <c r="DI80" s="33">
        <f>PERCENTRANK(DH$2:INDEX($DH:$DH,LOOKUP(2,1/(ISNUMBER($A$2:$A$1048576)),ROW($A$2:$A$1048576))),DH80)</f>
        <v/>
      </c>
      <c r="DJ80" s="39">
        <f>SUM(DH80-DH$106)/DH$107</f>
        <v/>
      </c>
      <c r="DK80" s="9" t="n">
        <v>13.44</v>
      </c>
      <c r="DL80" s="9" t="n">
        <v>14</v>
      </c>
      <c r="DM80" s="9" t="n">
        <v>2.63</v>
      </c>
      <c r="DN80" s="9" t="n">
        <v>0.09</v>
      </c>
      <c r="DO80" s="9" t="n">
        <v>151.59</v>
      </c>
      <c r="DP80" s="9" t="n">
        <v>113.09</v>
      </c>
      <c r="DQ80" s="33">
        <f>PERCENTRANK(DP$2:INDEX($DP:$DP,LOOKUP(2,1/(ISNUMBER($A$2:$A$1048576)),ROW($A$2:$A$1048576))),DP80)</f>
        <v/>
      </c>
      <c r="DR80" s="40">
        <f>sum(DP80-DP$106)/DP$107</f>
        <v/>
      </c>
      <c r="DS80" s="9" t="n">
        <v>74.59999999999999</v>
      </c>
      <c r="DT80" s="9" t="n">
        <v>75.63</v>
      </c>
      <c r="DU80" s="9" t="n">
        <v>72.28</v>
      </c>
      <c r="DV80" s="9" t="n">
        <v>95.58</v>
      </c>
      <c r="DW80" s="9" t="n">
        <v>181</v>
      </c>
      <c r="DX80" s="9" t="n">
        <v>164.47</v>
      </c>
      <c r="DY80" s="9" t="n">
        <v>90.87</v>
      </c>
      <c r="DZ80" s="9" t="n">
        <v>43.5</v>
      </c>
      <c r="EA80" s="9" t="n">
        <v>21.47</v>
      </c>
      <c r="EB80" s="9" t="n">
        <v>49.35</v>
      </c>
      <c r="EC80" s="9" t="n">
        <v>57.09</v>
      </c>
      <c r="ED80" s="9" t="n">
        <v>39.31</v>
      </c>
      <c r="EE80" s="33">
        <f>PERCENTRANK(ED$2:INDEX($ED:$ED,LOOKUP(2,1/(ISNUMBER($A$2:$A$1048576)),ROW($A$2:$A$1048576))),ED80)</f>
        <v/>
      </c>
      <c r="EF80" s="40">
        <f>sum(ED80-ED$106)/ED$107</f>
        <v/>
      </c>
      <c r="EG80" s="9" t="n">
        <v>68.86</v>
      </c>
      <c r="EH80" s="9" t="n">
        <v>67.38</v>
      </c>
      <c r="EI80" s="9" t="n">
        <v>47.88</v>
      </c>
      <c r="EJ80" s="33">
        <f>PERCENTRANK(EI$2:INDEX($EI:$EI,LOOKUP(2,1/(ISNUMBER($A$2:$A$1048576)),ROW($A$2:$A$1048576))),EI80)</f>
        <v/>
      </c>
      <c r="EK80" s="40">
        <f>sum(EI80-EI$106)/EI$107</f>
        <v/>
      </c>
      <c r="EL80" s="9" t="n">
        <v>71.06</v>
      </c>
      <c r="EM80" s="9" t="n">
        <v>1.69</v>
      </c>
      <c r="EN80" s="9" t="n">
        <v>0.53</v>
      </c>
      <c r="EO80" s="9" t="n">
        <v>31.48</v>
      </c>
      <c r="EP80" s="9" t="n">
        <v>17.56</v>
      </c>
      <c r="EQ80" s="9" t="n">
        <v>15.78</v>
      </c>
      <c r="ER80" s="9" t="n">
        <v>89.86</v>
      </c>
      <c r="ES80" s="9" t="n">
        <v>9.69</v>
      </c>
      <c r="ET80" s="9" t="n">
        <v>16.52</v>
      </c>
      <c r="EU80" s="9" t="n">
        <v>5.09</v>
      </c>
      <c r="EV80" s="9" t="n">
        <v>9.32</v>
      </c>
      <c r="EW80" s="9" t="n">
        <v>18.88</v>
      </c>
      <c r="EX80" s="33">
        <f>PERCENTRANK(EW$2:INDEX($EW:$EW,LOOKUP(2,1/(ISNUMBER($A$2:$A$1048576)),ROW($A$2:$A$1048576))),EW80)</f>
        <v/>
      </c>
      <c r="EY80" s="38">
        <f>1-(EW80-EW$106)/EW$107</f>
        <v/>
      </c>
      <c r="EZ80" s="9" t="n">
        <v>19.21</v>
      </c>
      <c r="FA80" s="9" t="n">
        <v>9.68</v>
      </c>
      <c r="FB80" s="33">
        <f>PERCENTRANK(FA$2:INDEX($FA:$FA,LOOKUP(2,1/(ISNUMBER($A$2:$A$1048576)),ROW($A$2:$A$1048576))),FA80)</f>
        <v/>
      </c>
      <c r="FC80" s="39">
        <f>1-(FA80-FA$106)/FA$107</f>
        <v/>
      </c>
      <c r="FD80" s="9" t="n">
        <v>1.28</v>
      </c>
      <c r="FE80" s="9" t="n">
        <v>1.47</v>
      </c>
      <c r="FF80" s="33">
        <f>PERCENTRANK(FE$2:INDEX($FE:$FE,LOOKUP(2,1/(ISNUMBER($A$2:$A$1048576)),ROW($A$2:$A$1048576))),FE80)</f>
        <v/>
      </c>
      <c r="FG80" s="39">
        <f>1-(FE80-FE$106)/FE$107</f>
        <v/>
      </c>
      <c r="FH80" s="9" t="n">
        <v>11.19</v>
      </c>
      <c r="FI80" s="9" t="n">
        <v>4.13</v>
      </c>
      <c r="FJ80" s="9" t="n">
        <v>36.87</v>
      </c>
      <c r="FK80" s="9" t="n">
        <v>303.78</v>
      </c>
      <c r="FL80" s="33">
        <f>PERCENTRANK(FK$2:INDEX($FK:$FK,LOOKUP(2,1/(ISNUMBER($A$2:$A$1048576)),ROW($A$2:$A$1048576))),FK80)</f>
        <v/>
      </c>
      <c r="FM80" s="39">
        <f>SWA79-(FK80-FK$106)/FK$107</f>
        <v/>
      </c>
      <c r="FN80" s="9" t="n">
        <v>239.31</v>
      </c>
      <c r="FO80" s="9" t="n">
        <v>78.78</v>
      </c>
      <c r="FP80" s="9" t="n">
        <v>41.04</v>
      </c>
      <c r="FQ80" s="9" t="n">
        <v>92.5</v>
      </c>
      <c r="FR80" s="9" t="n">
        <v>15.84</v>
      </c>
      <c r="FS80" s="9" t="n">
        <v>31.88</v>
      </c>
      <c r="FT80" s="9" t="n">
        <v>44.78</v>
      </c>
      <c r="FU80" s="9" t="n">
        <v>69.16</v>
      </c>
      <c r="FV80" s="9" t="n">
        <v>30.5</v>
      </c>
      <c r="FW80" s="9" t="n">
        <v>27.34</v>
      </c>
      <c r="FX80" s="9" t="n">
        <v>11.31</v>
      </c>
      <c r="FY80" s="9" t="n">
        <v>158.81</v>
      </c>
      <c r="FZ80" s="9" t="n">
        <v>77.63</v>
      </c>
      <c r="GA80" s="9" t="n">
        <v>48.88</v>
      </c>
      <c r="GB80" s="9" t="n">
        <v>4.31</v>
      </c>
      <c r="GC80" s="9" t="n">
        <v>1.28</v>
      </c>
      <c r="GD80" s="9" t="n">
        <v>29.71</v>
      </c>
      <c r="GE80" s="9" t="n">
        <v>23.59</v>
      </c>
      <c r="GF80" s="9" t="n">
        <v>6.91</v>
      </c>
      <c r="GG80" s="9" t="n">
        <v>29.27</v>
      </c>
      <c r="GH80" s="9" t="n">
        <v>0.63</v>
      </c>
      <c r="GI80" s="9" t="n">
        <v>0.25</v>
      </c>
      <c r="GJ80" s="9" t="n">
        <v>40</v>
      </c>
      <c r="GK80" s="9" t="n">
        <v>26.41</v>
      </c>
      <c r="GL80" s="9" t="n">
        <v>3.41</v>
      </c>
      <c r="GM80" s="9" t="n">
        <v>12.9</v>
      </c>
      <c r="GN80" s="9" t="n">
        <v>4.88</v>
      </c>
      <c r="GO80" s="9" t="n">
        <v>1.5</v>
      </c>
      <c r="GP80" s="9" t="n">
        <v>30.77</v>
      </c>
      <c r="GQ80" s="9" t="n">
        <v>3</v>
      </c>
      <c r="GR80" s="9" t="n">
        <v>0.75</v>
      </c>
      <c r="GS80" s="9" t="n">
        <v>25</v>
      </c>
      <c r="GT80" s="9" t="n">
        <v>0.19</v>
      </c>
      <c r="GU80" s="9" t="n">
        <v>0.16</v>
      </c>
      <c r="GV80" s="9" t="n">
        <v>83.33</v>
      </c>
      <c r="GW80" s="9" t="n">
        <v>12.44</v>
      </c>
      <c r="GX80" s="9" t="n">
        <v>3.69</v>
      </c>
      <c r="GY80" s="9" t="n">
        <v>29.65</v>
      </c>
      <c r="GZ80" s="9" t="n">
        <v>4</v>
      </c>
      <c r="HA80" s="9" t="n">
        <v>5.97</v>
      </c>
      <c r="HB80" s="9" t="n">
        <v>21.75</v>
      </c>
      <c r="HC80" s="9" t="n">
        <v>3.63</v>
      </c>
      <c r="HD80" s="9" t="n">
        <v>7.66</v>
      </c>
      <c r="HE80" s="9" t="n">
        <v>15.88</v>
      </c>
      <c r="HF80" s="9" t="n">
        <v>53.91</v>
      </c>
      <c r="HG80" s="9" t="n">
        <v>22.81</v>
      </c>
      <c r="HH80" s="9" t="n">
        <v>42.32</v>
      </c>
      <c r="HI80" s="9" t="n">
        <v>2.16</v>
      </c>
      <c r="HJ80" s="9" t="n">
        <v>1.53</v>
      </c>
      <c r="HK80" s="9" t="n">
        <v>9.69</v>
      </c>
      <c r="HL80" s="9" t="n">
        <v>3.5</v>
      </c>
      <c r="HM80" s="9" t="n">
        <v>36.13</v>
      </c>
      <c r="HN80" s="9" t="n">
        <v>56.13</v>
      </c>
      <c r="HO80" s="9" t="n">
        <v>33.16</v>
      </c>
      <c r="HP80" s="9" t="n">
        <v>59.08</v>
      </c>
      <c r="HQ80" s="9" t="n">
        <v>28</v>
      </c>
      <c r="HR80" s="9" t="n">
        <v>12.66</v>
      </c>
      <c r="HS80" s="9" t="n">
        <v>45.2</v>
      </c>
      <c r="HT80" s="9" t="n">
        <v>3.75</v>
      </c>
      <c r="HU80" s="9" t="n">
        <v>2.03</v>
      </c>
      <c r="HV80" s="9" t="n">
        <v>54.17</v>
      </c>
      <c r="HW80" s="9" t="n">
        <v>33.78</v>
      </c>
      <c r="HX80" s="9" t="n">
        <v>12.38</v>
      </c>
      <c r="HY80" s="9" t="n">
        <v>12.38</v>
      </c>
      <c r="HZ80" s="9" t="n">
        <v>2.28</v>
      </c>
      <c r="IA80" s="9" t="n">
        <v>0.13</v>
      </c>
      <c r="IB80" s="9" t="n">
        <v>114.66</v>
      </c>
      <c r="IC80" s="9" t="n">
        <v>76.59</v>
      </c>
      <c r="ID80" s="9" t="n">
        <v>66.8</v>
      </c>
      <c r="IE80" s="9" t="n">
        <v>47.44</v>
      </c>
      <c r="IF80" s="9" t="n">
        <v>44.72</v>
      </c>
      <c r="IG80" s="9" t="n">
        <v>94.27</v>
      </c>
      <c r="IH80" s="9" t="n">
        <v>101.28</v>
      </c>
      <c r="II80" s="9" t="n">
        <v>86.84</v>
      </c>
      <c r="IJ80" s="9" t="n">
        <v>85.75</v>
      </c>
      <c r="IK80" s="9" t="n">
        <v>44.81</v>
      </c>
      <c r="IL80" s="9" t="n">
        <v>20.28</v>
      </c>
      <c r="IM80" s="9" t="n">
        <v>45.26</v>
      </c>
      <c r="IN80" s="9" t="n">
        <v>43.84</v>
      </c>
      <c r="IO80" s="9" t="n">
        <v>24.47</v>
      </c>
      <c r="IP80" s="9" t="n">
        <v>55.81</v>
      </c>
      <c r="IQ80" s="9" t="n">
        <v>59.44</v>
      </c>
      <c r="IR80" s="9" t="n">
        <v>40.66</v>
      </c>
      <c r="IS80" s="9" t="n">
        <v>68.40000000000001</v>
      </c>
      <c r="IT80" s="33">
        <f>PERCENTRANK(IS$2:INDEX($IS:$IS,LOOKUP(2,1/(ISNUMBER($A$2:$A$1048576)),ROW($A$2:$A$1048576))),IS80)</f>
        <v/>
      </c>
      <c r="IU80" s="39">
        <f>1-(IS80-IS$106)/IS$107</f>
        <v/>
      </c>
      <c r="IV80" s="9" t="n">
        <v>1.16</v>
      </c>
      <c r="IW80" s="9" t="n">
        <v>0.66</v>
      </c>
      <c r="IX80" s="9" t="n">
        <v>56.76</v>
      </c>
      <c r="IY80" s="9" t="n">
        <v>17.53</v>
      </c>
      <c r="IZ80" s="9" t="n">
        <v>15.41</v>
      </c>
      <c r="JA80" s="9" t="n">
        <v>87.88</v>
      </c>
      <c r="JB80" s="9" t="n">
        <v>7.28</v>
      </c>
      <c r="JC80" s="9" t="n">
        <v>15.09</v>
      </c>
      <c r="JD80" s="9" t="n">
        <v>3.12</v>
      </c>
      <c r="JE80" s="9" t="n">
        <v>15.16</v>
      </c>
      <c r="JF80" s="9" t="n">
        <v>18.02</v>
      </c>
      <c r="JG80" s="9" t="n">
        <v>21.76</v>
      </c>
      <c r="JH80" s="9" t="n">
        <v>16.13</v>
      </c>
    </row>
    <row r="81">
      <c r="A81" s="12" t="n">
        <v>2025</v>
      </c>
      <c r="B81" s="31" t="inlineStr">
        <is>
          <t>Birmingham Legion</t>
        </is>
      </c>
      <c r="C81" s="12" t="n">
        <v>27</v>
      </c>
      <c r="D81" s="5">
        <f>(C81-AVERAGE($C$2:INDEX($C:$C,LOOKUP(2,1/(ISNUMBER($A$2:$A$1048576)),ROW($A$2:$A$1048576)))))/_xlfn.STDEV.P($C$2:INDEX($C:$C,LOOKUP(2,1/(ISNUMBER($A$2:$A$1048576)),ROW($A$2:$A$1048576))))</f>
        <v/>
      </c>
      <c r="E81" s="12" t="n">
        <v>12</v>
      </c>
      <c r="F81" s="6">
        <f>-E81</f>
        <v/>
      </c>
      <c r="G81" s="7">
        <f>(F81-AVERAGE($F$2:INDEX($F:$F,LOOKUP(2,1/(ISNUMBER($A$2:$A$1048576)),ROW($A$2:$A$1048576)))))/_xlfn.STDEV.P($F$2:INDEX($F:$F,LOOKUP(2,1/(ISNUMBER($A$2:$A$1048576)),ROW($A$2:$A$1048576))))</f>
        <v/>
      </c>
      <c r="H81" s="32">
        <f>sum(0.5*D81)+(0.5*G81)</f>
        <v/>
      </c>
      <c r="I81" s="12" t="inlineStr">
        <is>
          <t>East</t>
        </is>
      </c>
      <c r="J81" s="10">
        <f>sum(L81*L$105)+(N81*N$105)+(P81*P$105)+(T81*R$105)</f>
        <v/>
      </c>
      <c r="K81" s="33">
        <f>PERCENTRANK(J$2:INDEX($J:$J,LOOKUP(2,1/(ISNUMBER($A$2:$A$1048576)),ROW($A$2:$A$1048576))),J81)</f>
        <v/>
      </c>
      <c r="L81" s="10">
        <f>sum(AA81*0.66)+(AD81*0.55)+(AG81*0.59)+(CG81*0.51)+(CL81*0.6)+(EY81*0.31)</f>
        <v/>
      </c>
      <c r="M81" s="33">
        <f>PERCENTRANK(L$2:INDEX($L:$L,LOOKUP(2,1/(ISNUMBER($A$2:$A$1048576)),ROW($A$2:$A$1048576))),L81)</f>
        <v/>
      </c>
      <c r="N81" s="10">
        <f>sum(CT81*0.57)+(CW81*0.71)+(DJ81*0.08)+(FC81*0.33)+(FG81*0.69)+(FM81*0.26)+(IU81*0.54)+(AU81*0.4)</f>
        <v/>
      </c>
      <c r="O81" s="33">
        <f>PERCENTRANK(N$2:INDEX($N:$N,LOOKUP(2,1/(ISNUMBER($A$2:$A$1048576)),ROW($A$2:$A$1048576))),N81)</f>
        <v/>
      </c>
      <c r="P81" s="10">
        <f>sum(BG81*0.51)+(CD81*0.51)+(DR81*0.11)+(EF81*0.42)+(EK81*0.44)+(W81*0.6)</f>
        <v/>
      </c>
      <c r="Q81" s="33">
        <f>PERCENTRANK(P$2:INDEX($P:$P,LOOKUP(2,1/(ISNUMBER($A$2:$A$1048576)),ROW($A$2:$A$1048576))),P81)</f>
        <v/>
      </c>
      <c r="R81" s="10">
        <f>sum(Y81-FE81)</f>
        <v/>
      </c>
      <c r="S81" s="33">
        <f>PERCENTRANK(R$2:INDEX($R:$R,LOOKUP(2,1/(ISNUMBER($A$2:$A$1048576)),ROW($A$2:$A$1048576))),R81)</f>
        <v/>
      </c>
      <c r="T81" s="34">
        <f>sum(R81-R$106)/R$107</f>
        <v/>
      </c>
      <c r="U81" s="35">
        <f>sum(Y81/AI81)*100</f>
        <v/>
      </c>
      <c r="V81" s="33">
        <f>PERCENTRANK(U$2:INDEX($U:$U,LOOKUP(2,1/(ISNUMBER($A$2:$A$1048576)),ROW($A$2:$A$1048576))),U81)</f>
        <v/>
      </c>
      <c r="W81" s="36">
        <f>sum(U81-U$106)/U$107</f>
        <v/>
      </c>
      <c r="X81" s="9" t="n">
        <v>1.2</v>
      </c>
      <c r="Y81" s="9" t="n">
        <v>1.16</v>
      </c>
      <c r="Z81" s="33">
        <f>PERCENTRANK(Y$2:INDEX($Y:$Y,LOOKUP(2,1/(ISNUMBER($A$2:$A$1048576)),ROW($A$2:$A$1048576))),Y81)</f>
        <v/>
      </c>
      <c r="AA81" s="37">
        <f>sum(Y81-Y$106)/Y$107</f>
        <v/>
      </c>
      <c r="AB81" s="9" t="n">
        <v>9.4</v>
      </c>
      <c r="AC81" s="33">
        <f>PERCENTRANK(AB$2:INDEX($AB:$AB,LOOKUP(2,1/(ISNUMBER($A$2:$A$1048576)),ROW($A$2:$A$1048576))),AB81)</f>
        <v/>
      </c>
      <c r="AD81" s="38">
        <f>sum(AB81-AB$106)/AB$107</f>
        <v/>
      </c>
      <c r="AE81" s="9" t="n">
        <v>3.23</v>
      </c>
      <c r="AF81" s="33">
        <f>PERCENTRANK(AE$2:INDEX($AE:$AE,LOOKUP(2,1/(ISNUMBER($A$2:$A$1048576)),ROW($A$2:$A$1048576))),AE81)</f>
        <v/>
      </c>
      <c r="AG81" s="38">
        <f>sum(AE81-AE$106)/AE$107</f>
        <v/>
      </c>
      <c r="AH81" s="9" t="n">
        <v>34.4</v>
      </c>
      <c r="AI81" s="9" t="n">
        <v>386.07</v>
      </c>
      <c r="AJ81" s="9" t="n">
        <v>317</v>
      </c>
      <c r="AK81" s="9" t="n">
        <v>82.11</v>
      </c>
      <c r="AL81" s="9" t="n">
        <v>49.44</v>
      </c>
      <c r="AM81" s="9" t="n">
        <v>102.6</v>
      </c>
      <c r="AN81" s="9" t="n">
        <v>20.43</v>
      </c>
      <c r="AO81" s="9" t="n">
        <v>35.83</v>
      </c>
      <c r="AP81" s="9" t="n">
        <v>46.33</v>
      </c>
      <c r="AQ81" s="9" t="n">
        <v>73.67</v>
      </c>
      <c r="AR81" s="9" t="n">
        <v>35.9</v>
      </c>
      <c r="AS81" s="9" t="n">
        <v>28.03</v>
      </c>
      <c r="AT81" s="33">
        <f>PERCENTRANK(AS$2:INDEX($AS:$AS,LOOKUP(2,1/(ISNUMBER($A$2:$A$1048576)),ROW($A$2:$A$1048576))),AS81)</f>
        <v/>
      </c>
      <c r="AU81" s="39">
        <f>SUM(AS81-AS$106)/AS$107</f>
        <v/>
      </c>
      <c r="AV81" s="9" t="n">
        <v>9.73</v>
      </c>
      <c r="AW81" s="33">
        <f>PERCENTRANK(AV$2:INDEX($AV:$AV,LOOKUP(2,1/(ISNUMBER($A$2:$A$1048576)),ROW($A$2:$A$1048576))),AV81)</f>
        <v/>
      </c>
      <c r="AX81" s="9" t="n">
        <v>174.7</v>
      </c>
      <c r="AY81" s="9" t="n">
        <v>83.17</v>
      </c>
      <c r="AZ81" s="9" t="n">
        <v>47.61</v>
      </c>
      <c r="BA81" s="9" t="n">
        <v>4.27</v>
      </c>
      <c r="BB81" s="9" t="n">
        <v>1.13</v>
      </c>
      <c r="BC81" s="9" t="n">
        <v>26.56</v>
      </c>
      <c r="BD81" s="9" t="n">
        <v>25.03</v>
      </c>
      <c r="BE81" s="9" t="n">
        <v>5.57</v>
      </c>
      <c r="BF81" s="33">
        <f>PERCENTRANK(BE$2:INDEX($BE:$BE,LOOKUP(2,1/(ISNUMBER($A$2:$A$1048576)),ROW($A$2:$A$1048576))),BE81)</f>
        <v/>
      </c>
      <c r="BG81" s="40">
        <f>sum(BE81-BE$106)/BE$107</f>
        <v/>
      </c>
      <c r="BH81" s="9" t="n">
        <v>22.24</v>
      </c>
      <c r="BI81" s="9" t="n">
        <v>0.7</v>
      </c>
      <c r="BJ81" s="9" t="n">
        <v>0.27</v>
      </c>
      <c r="BK81" s="9" t="n">
        <v>38.1</v>
      </c>
      <c r="BL81" s="9" t="n">
        <v>26.03</v>
      </c>
      <c r="BM81" s="9" t="n">
        <v>3.07</v>
      </c>
      <c r="BN81" s="9" t="n">
        <v>11.78</v>
      </c>
      <c r="BO81" s="9" t="n">
        <v>3.8</v>
      </c>
      <c r="BP81" s="9" t="n">
        <v>1.17</v>
      </c>
      <c r="BQ81" s="9" t="n">
        <v>30.7</v>
      </c>
      <c r="BR81" s="9" t="n">
        <v>2.7</v>
      </c>
      <c r="BS81" s="9" t="n">
        <v>0.63</v>
      </c>
      <c r="BT81" s="9" t="n">
        <v>23.46</v>
      </c>
      <c r="BU81" s="9" t="n">
        <v>0.1</v>
      </c>
      <c r="BV81" s="9" t="n">
        <v>0.07000000000000001</v>
      </c>
      <c r="BW81" s="9" t="n">
        <v>66.67</v>
      </c>
      <c r="BX81" s="9" t="n">
        <v>11.17</v>
      </c>
      <c r="BY81" s="9" t="n">
        <v>2.73</v>
      </c>
      <c r="BZ81" s="9" t="n">
        <v>24.48</v>
      </c>
      <c r="CA81" s="9" t="n">
        <v>2.83</v>
      </c>
      <c r="CB81" s="9" t="n">
        <v>5.03</v>
      </c>
      <c r="CC81" s="33">
        <f>PERCENTRANK(CD$2:INDEX($CD:$CD,LOOKUP(2,1/(ISNUMBER($A$2:$A$1048576)),ROW($A$2:$A$1048576))),CD81)</f>
        <v/>
      </c>
      <c r="CD81" s="40">
        <f>sum(CB81-CB$106)/CB$107</f>
        <v/>
      </c>
      <c r="CE81" s="9" t="n">
        <v>20.13</v>
      </c>
      <c r="CF81" s="33">
        <f>PERCENTRANK(CE$2:INDEX($CE:$CE,LOOKUP(2,1/(ISNUMBER($A$2:$A$1048576)),ROW($A$2:$A$1048576))),CE81)</f>
        <v/>
      </c>
      <c r="CG81" s="38">
        <f>sum(CE81-CE$106)/CE$107</f>
        <v/>
      </c>
      <c r="CH81" s="9" t="n">
        <v>3.43</v>
      </c>
      <c r="CI81" s="9" t="n">
        <v>6.5</v>
      </c>
      <c r="CJ81" s="9" t="n">
        <v>12.63</v>
      </c>
      <c r="CK81" s="33">
        <f>PERCENTRANK(CJ$2:INDEX($CJ:$CJ,LOOKUP(2,1/(ISNUMBER($A$2:$A$1048576)),ROW($A$2:$A$1048576))),CJ81)</f>
        <v/>
      </c>
      <c r="CL81" s="38">
        <f>sum(CJ81-CJ$106)/CJ$107</f>
        <v/>
      </c>
      <c r="CM81" s="9" t="n">
        <v>59.33</v>
      </c>
      <c r="CN81" s="9" t="n">
        <v>22.87</v>
      </c>
      <c r="CO81" s="9" t="n">
        <v>38.54</v>
      </c>
      <c r="CP81" s="9" t="n">
        <v>2.1</v>
      </c>
      <c r="CQ81" s="9" t="n">
        <v>1.67</v>
      </c>
      <c r="CR81" s="9" t="n">
        <v>10.47</v>
      </c>
      <c r="CS81" s="33">
        <f>PERCENTRANK(CR$2:INDEX($CR:$CR,LOOKUP(2,1/(ISNUMBER($A$2:$A$1048576)),ROW($A$2:$A$1048576))),CR81)</f>
        <v/>
      </c>
      <c r="CT81" s="39">
        <f>1-(CR81-CR$106)/CR$107</f>
        <v/>
      </c>
      <c r="CU81" s="9" t="n">
        <v>4.47</v>
      </c>
      <c r="CV81" s="33">
        <f>PERCENTRANK(CU$2:INDEX($CU:$CU,LOOKUP(2,1/(ISNUMBER($A$2:$A$1048576)),ROW($A$2:$A$1048576))),CU81)</f>
        <v/>
      </c>
      <c r="CW81" s="39">
        <f>1-(CU81-CU$106)/CU$107</f>
        <v/>
      </c>
      <c r="CX81" s="9" t="n">
        <v>42.68</v>
      </c>
      <c r="CY81" s="9" t="n">
        <v>57.4</v>
      </c>
      <c r="CZ81" s="9" t="n">
        <v>35.43</v>
      </c>
      <c r="DA81" s="9" t="n">
        <v>61.73</v>
      </c>
      <c r="DB81" s="9" t="n">
        <v>35.37</v>
      </c>
      <c r="DC81" s="9" t="n">
        <v>15.03</v>
      </c>
      <c r="DD81" s="9" t="n">
        <v>42.51</v>
      </c>
      <c r="DE81" s="9" t="n">
        <v>2.43</v>
      </c>
      <c r="DF81" s="9" t="n">
        <v>1.23</v>
      </c>
      <c r="DG81" s="9" t="n">
        <v>50.68</v>
      </c>
      <c r="DH81" s="9" t="n">
        <v>32.23</v>
      </c>
      <c r="DI81" s="33">
        <f>PERCENTRANK(DH$2:INDEX($DH:$DH,LOOKUP(2,1/(ISNUMBER($A$2:$A$1048576)),ROW($A$2:$A$1048576))),DH81)</f>
        <v/>
      </c>
      <c r="DJ81" s="39">
        <f>SUM(DH81-DH$106)/DH$107</f>
        <v/>
      </c>
      <c r="DK81" s="9" t="n">
        <v>13</v>
      </c>
      <c r="DL81" s="9" t="n">
        <v>13.07</v>
      </c>
      <c r="DM81" s="9" t="n">
        <v>2.6</v>
      </c>
      <c r="DN81" s="9" t="n">
        <v>0.07000000000000001</v>
      </c>
      <c r="DO81" s="9" t="n">
        <v>131.33</v>
      </c>
      <c r="DP81" s="9" t="n">
        <v>92.09999999999999</v>
      </c>
      <c r="DQ81" s="33">
        <f>PERCENTRANK(DP$2:INDEX($DP:$DP,LOOKUP(2,1/(ISNUMBER($A$2:$A$1048576)),ROW($A$2:$A$1048576))),DP81)</f>
        <v/>
      </c>
      <c r="DR81" s="40">
        <f>sum(DP81-DP$106)/DP$107</f>
        <v/>
      </c>
      <c r="DS81" s="9" t="n">
        <v>70.13</v>
      </c>
      <c r="DT81" s="9" t="n">
        <v>57.03</v>
      </c>
      <c r="DU81" s="9" t="n">
        <v>53.63</v>
      </c>
      <c r="DV81" s="9" t="n">
        <v>94.04000000000001</v>
      </c>
      <c r="DW81" s="9" t="n">
        <v>146.97</v>
      </c>
      <c r="DX81" s="9" t="n">
        <v>130.8</v>
      </c>
      <c r="DY81" s="9" t="n">
        <v>89</v>
      </c>
      <c r="DZ81" s="9" t="n">
        <v>49.37</v>
      </c>
      <c r="EA81" s="9" t="n">
        <v>25.1</v>
      </c>
      <c r="EB81" s="9" t="n">
        <v>50.84</v>
      </c>
      <c r="EC81" s="9" t="n">
        <v>51.7</v>
      </c>
      <c r="ED81" s="9" t="n">
        <v>32.23</v>
      </c>
      <c r="EE81" s="33">
        <f>PERCENTRANK(ED$2:INDEX($ED:$ED,LOOKUP(2,1/(ISNUMBER($A$2:$A$1048576)),ROW($A$2:$A$1048576))),ED81)</f>
        <v/>
      </c>
      <c r="EF81" s="40">
        <f>sum(ED81-ED$106)/ED$107</f>
        <v/>
      </c>
      <c r="EG81" s="9" t="n">
        <v>62.35</v>
      </c>
      <c r="EH81" s="9" t="n">
        <v>64.37</v>
      </c>
      <c r="EI81" s="9" t="n">
        <v>43.63</v>
      </c>
      <c r="EJ81" s="33">
        <f>PERCENTRANK(EI$2:INDEX($EI:$EI,LOOKUP(2,1/(ISNUMBER($A$2:$A$1048576)),ROW($A$2:$A$1048576))),EI81)</f>
        <v/>
      </c>
      <c r="EK81" s="40">
        <f>sum(EI81-EI$106)/EI$107</f>
        <v/>
      </c>
      <c r="EL81" s="9" t="n">
        <v>67.79000000000001</v>
      </c>
      <c r="EM81" s="9" t="n">
        <v>0.83</v>
      </c>
      <c r="EN81" s="9" t="n">
        <v>0.47</v>
      </c>
      <c r="EO81" s="9" t="n">
        <v>56</v>
      </c>
      <c r="EP81" s="9" t="n">
        <v>20.13</v>
      </c>
      <c r="EQ81" s="9" t="n">
        <v>17.83</v>
      </c>
      <c r="ER81" s="9" t="n">
        <v>88.58</v>
      </c>
      <c r="ES81" s="9" t="n">
        <v>8.33</v>
      </c>
      <c r="ET81" s="9" t="n">
        <v>15.56</v>
      </c>
      <c r="EU81" s="9" t="n">
        <v>4</v>
      </c>
      <c r="EV81" s="9" t="n">
        <v>13.33</v>
      </c>
      <c r="EW81" s="9" t="n">
        <v>19.1</v>
      </c>
      <c r="EX81" s="33">
        <f>PERCENTRANK(EW$2:INDEX($EW:$EW,LOOKUP(2,1/(ISNUMBER($A$2:$A$1048576)),ROW($A$2:$A$1048576))),EW81)</f>
        <v/>
      </c>
      <c r="EY81" s="38">
        <f>1-(EW81-EW$106)/EW$107</f>
        <v/>
      </c>
      <c r="EZ81" s="9" t="n">
        <v>20.84</v>
      </c>
      <c r="FA81" s="9" t="n">
        <v>13.43</v>
      </c>
      <c r="FB81" s="33">
        <f>PERCENTRANK(FA$2:INDEX($FA:$FA,LOOKUP(2,1/(ISNUMBER($A$2:$A$1048576)),ROW($A$2:$A$1048576))),FA81)</f>
        <v/>
      </c>
      <c r="FC81" s="39">
        <f>1-(FA81-FA$106)/FA$107</f>
        <v/>
      </c>
      <c r="FD81" s="9" t="n">
        <v>1.67</v>
      </c>
      <c r="FE81" s="9" t="n">
        <v>1.42</v>
      </c>
      <c r="FF81" s="33">
        <f>PERCENTRANK(FE$2:INDEX($FE:$FE,LOOKUP(2,1/(ISNUMBER($A$2:$A$1048576)),ROW($A$2:$A$1048576))),FE81)</f>
        <v/>
      </c>
      <c r="FG81" s="39">
        <f>1-(FE81-FE$106)/FE$107</f>
        <v/>
      </c>
      <c r="FH81" s="9" t="n">
        <v>10.47</v>
      </c>
      <c r="FI81" s="9" t="n">
        <v>4.27</v>
      </c>
      <c r="FJ81" s="9" t="n">
        <v>40.76</v>
      </c>
      <c r="FK81" s="9" t="n">
        <v>418</v>
      </c>
      <c r="FL81" s="33">
        <f>PERCENTRANK(FK$2:INDEX($FK:$FK,LOOKUP(2,1/(ISNUMBER($A$2:$A$1048576)),ROW($A$2:$A$1048576))),FK81)</f>
        <v/>
      </c>
      <c r="FM81" s="39">
        <f>SWA80-(FK81-FK$106)/FK$107</f>
        <v/>
      </c>
      <c r="FN81" s="9" t="n">
        <v>350.43</v>
      </c>
      <c r="FO81" s="9" t="n">
        <v>83.84</v>
      </c>
      <c r="FP81" s="9" t="n">
        <v>50.56</v>
      </c>
      <c r="FQ81" s="9" t="n">
        <v>100.97</v>
      </c>
      <c r="FR81" s="9" t="n">
        <v>16.5</v>
      </c>
      <c r="FS81" s="9" t="n">
        <v>34.83</v>
      </c>
      <c r="FT81" s="9" t="n">
        <v>49.63</v>
      </c>
      <c r="FU81" s="9" t="n">
        <v>72.5</v>
      </c>
      <c r="FV81" s="9" t="n">
        <v>31.97</v>
      </c>
      <c r="FW81" s="9" t="n">
        <v>29.47</v>
      </c>
      <c r="FX81" s="9" t="n">
        <v>11.07</v>
      </c>
      <c r="FY81" s="9" t="n">
        <v>174.7</v>
      </c>
      <c r="FZ81" s="9" t="n">
        <v>85.09999999999999</v>
      </c>
      <c r="GA81" s="9" t="n">
        <v>48.71</v>
      </c>
      <c r="GB81" s="9" t="n">
        <v>3.93</v>
      </c>
      <c r="GC81" s="9" t="n">
        <v>1.1</v>
      </c>
      <c r="GD81" s="9" t="n">
        <v>27.97</v>
      </c>
      <c r="GE81" s="9" t="n">
        <v>26.5</v>
      </c>
      <c r="GF81" s="9" t="n">
        <v>6.37</v>
      </c>
      <c r="GG81" s="9" t="n">
        <v>24.03</v>
      </c>
      <c r="GH81" s="9" t="n">
        <v>0.4</v>
      </c>
      <c r="GI81" s="9" t="n">
        <v>0.13</v>
      </c>
      <c r="GJ81" s="9" t="n">
        <v>33.33</v>
      </c>
      <c r="GK81" s="9" t="n">
        <v>26.13</v>
      </c>
      <c r="GL81" s="9" t="n">
        <v>3.37</v>
      </c>
      <c r="GM81" s="9" t="n">
        <v>12.88</v>
      </c>
      <c r="GN81" s="9" t="n">
        <v>4.67</v>
      </c>
      <c r="GO81" s="9" t="n">
        <v>1.6</v>
      </c>
      <c r="GP81" s="9" t="n">
        <v>34.29</v>
      </c>
      <c r="GQ81" s="9" t="n">
        <v>2.57</v>
      </c>
      <c r="GR81" s="9" t="n">
        <v>0.63</v>
      </c>
      <c r="GS81" s="9" t="n">
        <v>24.68</v>
      </c>
      <c r="GT81" s="9" t="n">
        <v>0.2</v>
      </c>
      <c r="GU81" s="9" t="n">
        <v>0.2</v>
      </c>
      <c r="GV81" s="9" t="n">
        <v>100</v>
      </c>
      <c r="GW81" s="9" t="n">
        <v>13</v>
      </c>
      <c r="GX81" s="9" t="n">
        <v>4.3</v>
      </c>
      <c r="GY81" s="9" t="n">
        <v>33.08</v>
      </c>
      <c r="GZ81" s="9" t="n">
        <v>4.23</v>
      </c>
      <c r="HA81" s="9" t="n">
        <v>7.07</v>
      </c>
      <c r="HB81" s="9" t="n">
        <v>21.77</v>
      </c>
      <c r="HC81" s="9" t="n">
        <v>2.97</v>
      </c>
      <c r="HD81" s="9" t="n">
        <v>7.97</v>
      </c>
      <c r="HE81" s="9" t="n">
        <v>16.7</v>
      </c>
      <c r="HF81" s="9" t="n">
        <v>57.4</v>
      </c>
      <c r="HG81" s="9" t="n">
        <v>21.97</v>
      </c>
      <c r="HH81" s="9" t="n">
        <v>38.27</v>
      </c>
      <c r="HI81" s="9" t="n">
        <v>1.63</v>
      </c>
      <c r="HJ81" s="9" t="n">
        <v>1.2</v>
      </c>
      <c r="HK81" s="9" t="n">
        <v>9.4</v>
      </c>
      <c r="HL81" s="9" t="n">
        <v>3.43</v>
      </c>
      <c r="HM81" s="9" t="n">
        <v>36.52</v>
      </c>
      <c r="HN81" s="9" t="n">
        <v>59.33</v>
      </c>
      <c r="HO81" s="9" t="n">
        <v>36.47</v>
      </c>
      <c r="HP81" s="9" t="n">
        <v>61.46</v>
      </c>
      <c r="HQ81" s="9" t="n">
        <v>35.37</v>
      </c>
      <c r="HR81" s="9" t="n">
        <v>17.27</v>
      </c>
      <c r="HS81" s="9" t="n">
        <v>48.82</v>
      </c>
      <c r="HT81" s="9" t="n">
        <v>1.97</v>
      </c>
      <c r="HU81" s="9" t="n">
        <v>1.1</v>
      </c>
      <c r="HV81" s="9" t="n">
        <v>55.93</v>
      </c>
      <c r="HW81" s="9" t="n">
        <v>34.23</v>
      </c>
      <c r="HX81" s="9" t="n">
        <v>13.27</v>
      </c>
      <c r="HY81" s="9" t="n">
        <v>13.77</v>
      </c>
      <c r="HZ81" s="9" t="n">
        <v>1.83</v>
      </c>
      <c r="IA81" s="9" t="n">
        <v>0.07000000000000001</v>
      </c>
      <c r="IB81" s="9" t="n">
        <v>137.3</v>
      </c>
      <c r="IC81" s="9" t="n">
        <v>101.57</v>
      </c>
      <c r="ID81" s="9" t="n">
        <v>73.97</v>
      </c>
      <c r="IE81" s="9" t="n">
        <v>64.7</v>
      </c>
      <c r="IF81" s="9" t="n">
        <v>60.37</v>
      </c>
      <c r="IG81" s="9" t="n">
        <v>93.3</v>
      </c>
      <c r="IH81" s="9" t="n">
        <v>158.3</v>
      </c>
      <c r="II81" s="9" t="n">
        <v>142.6</v>
      </c>
      <c r="IJ81" s="9" t="n">
        <v>90.08</v>
      </c>
      <c r="IK81" s="9" t="n">
        <v>43.93</v>
      </c>
      <c r="IL81" s="9" t="n">
        <v>23.9</v>
      </c>
      <c r="IM81" s="9" t="n">
        <v>54.4</v>
      </c>
      <c r="IN81" s="9" t="n">
        <v>56.03</v>
      </c>
      <c r="IO81" s="9" t="n">
        <v>38.13</v>
      </c>
      <c r="IP81" s="9" t="n">
        <v>68.05</v>
      </c>
      <c r="IQ81" s="9" t="n">
        <v>68.93000000000001</v>
      </c>
      <c r="IR81" s="9" t="n">
        <v>51.73</v>
      </c>
      <c r="IS81" s="9" t="n">
        <v>75.05</v>
      </c>
      <c r="IT81" s="33">
        <f>PERCENTRANK(IS$2:INDEX($IS:$IS,LOOKUP(2,1/(ISNUMBER($A$2:$A$1048576)),ROW($A$2:$A$1048576))),IS81)</f>
        <v/>
      </c>
      <c r="IU81" s="39">
        <f>1-(IS81-IS$106)/IS$107</f>
        <v/>
      </c>
      <c r="IV81" s="9" t="n">
        <v>1.03</v>
      </c>
      <c r="IW81" s="9" t="n">
        <v>0.4</v>
      </c>
      <c r="IX81" s="9" t="n">
        <v>38.71</v>
      </c>
      <c r="IY81" s="9" t="n">
        <v>18.47</v>
      </c>
      <c r="IZ81" s="9" t="n">
        <v>16.47</v>
      </c>
      <c r="JA81" s="9" t="n">
        <v>89.17</v>
      </c>
      <c r="JB81" s="9" t="n">
        <v>8.300000000000001</v>
      </c>
      <c r="JC81" s="9" t="n">
        <v>16.4</v>
      </c>
      <c r="JD81" s="9" t="n">
        <v>4.35</v>
      </c>
      <c r="JE81" s="9" t="n">
        <v>10.76</v>
      </c>
      <c r="JF81" s="9" t="n">
        <v>17.79</v>
      </c>
      <c r="JG81" s="9" t="n">
        <v>19.8</v>
      </c>
      <c r="JH81" s="9" t="n">
        <v>10.83</v>
      </c>
    </row>
    <row r="82">
      <c r="A82" s="12" t="n">
        <v>2023</v>
      </c>
      <c r="B82" s="31" t="inlineStr">
        <is>
          <t>Sacramento Republic</t>
        </is>
      </c>
      <c r="C82" s="12" t="n">
        <v>64</v>
      </c>
      <c r="D82" s="5">
        <f>(C82-AVERAGE($C$2:INDEX($C:$C,LOOKUP(2,1/(ISNUMBER($A$2:$A$1048576)),ROW($A$2:$A$1048576)))))/_xlfn.STDEV.P($C$2:INDEX($C:$C,LOOKUP(2,1/(ISNUMBER($A$2:$A$1048576)),ROW($A$2:$A$1048576))))</f>
        <v/>
      </c>
      <c r="E82" s="12" t="n">
        <v>1</v>
      </c>
      <c r="F82" s="6">
        <f>-E82</f>
        <v/>
      </c>
      <c r="G82" s="7">
        <f>(F82-AVERAGE($F$2:INDEX($F:$F,LOOKUP(2,1/(ISNUMBER($A$2:$A$1048576)),ROW($A$2:$A$1048576)))))/_xlfn.STDEV.P($F$2:INDEX($F:$F,LOOKUP(2,1/(ISNUMBER($A$2:$A$1048576)),ROW($A$2:$A$1048576))))</f>
        <v/>
      </c>
      <c r="H82" s="32">
        <f>sum(0.5*D82)+(0.5*G82)</f>
        <v/>
      </c>
      <c r="I82" s="12" t="inlineStr">
        <is>
          <t>West</t>
        </is>
      </c>
      <c r="J82" s="10">
        <f>sum(L82*L$105)+(N82*N$105)+(P82*P$105)+(T82*R$105)</f>
        <v/>
      </c>
      <c r="K82" s="33">
        <f>PERCENTRANK(J$2:INDEX($J:$J,LOOKUP(2,1/(ISNUMBER($A$2:$A$1048576)),ROW($A$2:$A$1048576))),J82)</f>
        <v/>
      </c>
      <c r="L82" s="10">
        <f>sum(AA82*0.66)+(AD82*0.55)+(AG82*0.59)+(CG82*0.51)+(CL82*0.6)+(EY82*0.31)</f>
        <v/>
      </c>
      <c r="M82" s="33">
        <f>PERCENTRANK(L$2:INDEX($L:$L,LOOKUP(2,1/(ISNUMBER($A$2:$A$1048576)),ROW($A$2:$A$1048576))),L82)</f>
        <v/>
      </c>
      <c r="N82" s="10">
        <f>sum(CT82*0.57)+(CW82*0.71)+(DJ82*0.08)+(FC82*0.33)+(FG82*0.69)+(FM82*0.26)+(IU82*0.54)+(AU82*0.4)</f>
        <v/>
      </c>
      <c r="O82" s="33">
        <f>PERCENTRANK(N$2:INDEX($N:$N,LOOKUP(2,1/(ISNUMBER($A$2:$A$1048576)),ROW($A$2:$A$1048576))),N82)</f>
        <v/>
      </c>
      <c r="P82" s="10">
        <f>sum(BG82*0.51)+(CD82*0.51)+(DR82*0.11)+(EF82*0.42)+(EK82*0.44)+(W82*0.6)</f>
        <v/>
      </c>
      <c r="Q82" s="33">
        <f>PERCENTRANK(P$2:INDEX($P:$P,LOOKUP(2,1/(ISNUMBER($A$2:$A$1048576)),ROW($A$2:$A$1048576))),P82)</f>
        <v/>
      </c>
      <c r="R82" s="10">
        <f>sum(Y82-FE82)</f>
        <v/>
      </c>
      <c r="S82" s="33">
        <f>PERCENTRANK(R$2:INDEX($R:$R,LOOKUP(2,1/(ISNUMBER($A$2:$A$1048576)),ROW($A$2:$A$1048576))),R82)</f>
        <v/>
      </c>
      <c r="T82" s="34">
        <f>sum(R82-R$106)/R$107</f>
        <v/>
      </c>
      <c r="U82" s="35">
        <f>sum(Y82/AI82)*100</f>
        <v/>
      </c>
      <c r="V82" s="33">
        <f>PERCENTRANK(U$2:INDEX($U:$U,LOOKUP(2,1/(ISNUMBER($A$2:$A$1048576)),ROW($A$2:$A$1048576))),U82)</f>
        <v/>
      </c>
      <c r="W82" s="36">
        <f>sum(U82-U$106)/U$107</f>
        <v/>
      </c>
      <c r="X82" s="9" t="n">
        <v>1.51</v>
      </c>
      <c r="Y82" s="9" t="n">
        <v>1.35</v>
      </c>
      <c r="Z82" s="33">
        <f>PERCENTRANK(Y$2:INDEX($Y:$Y,LOOKUP(2,1/(ISNUMBER($A$2:$A$1048576)),ROW($A$2:$A$1048576))),Y82)</f>
        <v/>
      </c>
      <c r="AA82" s="37">
        <f>sum(Y82-Y$106)/Y$107</f>
        <v/>
      </c>
      <c r="AB82" s="9" t="n">
        <v>11.03</v>
      </c>
      <c r="AC82" s="33">
        <f>PERCENTRANK(AB$2:INDEX($AB:$AB,LOOKUP(2,1/(ISNUMBER($A$2:$A$1048576)),ROW($A$2:$A$1048576))),AB82)</f>
        <v/>
      </c>
      <c r="AD82" s="38">
        <f>sum(AB82-AB$106)/AB$107</f>
        <v/>
      </c>
      <c r="AE82" s="9" t="n">
        <v>4.3</v>
      </c>
      <c r="AF82" s="33">
        <f>PERCENTRANK(AE$2:INDEX($AE:$AE,LOOKUP(2,1/(ISNUMBER($A$2:$A$1048576)),ROW($A$2:$A$1048576))),AE82)</f>
        <v/>
      </c>
      <c r="AG82" s="38">
        <f>sum(AE82-AE$106)/AE$107</f>
        <v/>
      </c>
      <c r="AH82" s="9" t="n">
        <v>38.97</v>
      </c>
      <c r="AI82" s="9" t="n">
        <v>405.03</v>
      </c>
      <c r="AJ82" s="9" t="n">
        <v>331.35</v>
      </c>
      <c r="AK82" s="9" t="n">
        <v>81.81</v>
      </c>
      <c r="AL82" s="9" t="n">
        <v>48.42</v>
      </c>
      <c r="AM82" s="9" t="n">
        <v>99.56999999999999</v>
      </c>
      <c r="AN82" s="9" t="n">
        <v>16.78</v>
      </c>
      <c r="AO82" s="9" t="n">
        <v>37.76</v>
      </c>
      <c r="AP82" s="9" t="n">
        <v>45.03</v>
      </c>
      <c r="AQ82" s="9" t="n">
        <v>80.19</v>
      </c>
      <c r="AR82" s="9" t="n">
        <v>37.62</v>
      </c>
      <c r="AS82" s="9" t="n">
        <v>32.86</v>
      </c>
      <c r="AT82" s="33">
        <f>PERCENTRANK(AS$2:INDEX($AS:$AS,LOOKUP(2,1/(ISNUMBER($A$2:$A$1048576)),ROW($A$2:$A$1048576))),AS82)</f>
        <v/>
      </c>
      <c r="AU82" s="39">
        <f>SUM(AS82-AS$106)/AS$107</f>
        <v/>
      </c>
      <c r="AV82" s="9" t="n">
        <v>9.699999999999999</v>
      </c>
      <c r="AW82" s="33">
        <f>PERCENTRANK(AV$2:INDEX($AV:$AV,LOOKUP(2,1/(ISNUMBER($A$2:$A$1048576)),ROW($A$2:$A$1048576))),AV82)</f>
        <v/>
      </c>
      <c r="AX82" s="9" t="n">
        <v>198.03</v>
      </c>
      <c r="AY82" s="9" t="n">
        <v>98.48999999999999</v>
      </c>
      <c r="AZ82" s="9" t="n">
        <v>49.73</v>
      </c>
      <c r="BA82" s="9" t="n">
        <v>4.22</v>
      </c>
      <c r="BB82" s="9" t="n">
        <v>0.95</v>
      </c>
      <c r="BC82" s="9" t="n">
        <v>22.44</v>
      </c>
      <c r="BD82" s="9" t="n">
        <v>25</v>
      </c>
      <c r="BE82" s="9" t="n">
        <v>6.14</v>
      </c>
      <c r="BF82" s="33">
        <f>PERCENTRANK(BE$2:INDEX($BE:$BE,LOOKUP(2,1/(ISNUMBER($A$2:$A$1048576)),ROW($A$2:$A$1048576))),BE82)</f>
        <v/>
      </c>
      <c r="BG82" s="40">
        <f>sum(BE82-BE$106)/BE$107</f>
        <v/>
      </c>
      <c r="BH82" s="9" t="n">
        <v>24.54</v>
      </c>
      <c r="BI82" s="9" t="n">
        <v>1.62</v>
      </c>
      <c r="BJ82" s="9" t="n">
        <v>0.59</v>
      </c>
      <c r="BK82" s="9" t="n">
        <v>36.67</v>
      </c>
      <c r="BL82" s="9" t="n">
        <v>26.05</v>
      </c>
      <c r="BM82" s="9" t="n">
        <v>3.65</v>
      </c>
      <c r="BN82" s="9" t="n">
        <v>14</v>
      </c>
      <c r="BO82" s="9" t="n">
        <v>4.68</v>
      </c>
      <c r="BP82" s="9" t="n">
        <v>1.49</v>
      </c>
      <c r="BQ82" s="9" t="n">
        <v>31.79</v>
      </c>
      <c r="BR82" s="9" t="n">
        <v>1.97</v>
      </c>
      <c r="BS82" s="9" t="n">
        <v>0.43</v>
      </c>
      <c r="BT82" s="9" t="n">
        <v>21.92</v>
      </c>
      <c r="BU82" s="9" t="n">
        <v>0.14</v>
      </c>
      <c r="BV82" s="9" t="n">
        <v>0.11</v>
      </c>
      <c r="BW82" s="9" t="n">
        <v>80</v>
      </c>
      <c r="BX82" s="9" t="n">
        <v>15.16</v>
      </c>
      <c r="BY82" s="9" t="n">
        <v>5.35</v>
      </c>
      <c r="BZ82" s="9" t="n">
        <v>35.29</v>
      </c>
      <c r="CA82" s="9" t="n">
        <v>5.27</v>
      </c>
      <c r="CB82" s="9" t="n">
        <v>5.76</v>
      </c>
      <c r="CC82" s="33">
        <f>PERCENTRANK(CD$2:INDEX($CD:$CD,LOOKUP(2,1/(ISNUMBER($A$2:$A$1048576)),ROW($A$2:$A$1048576))),CD82)</f>
        <v/>
      </c>
      <c r="CD82" s="40">
        <f>sum(CB82-CB$106)/CB$107</f>
        <v/>
      </c>
      <c r="CE82" s="9" t="n">
        <v>23</v>
      </c>
      <c r="CF82" s="33">
        <f>PERCENTRANK(CE$2:INDEX($CE:$CE,LOOKUP(2,1/(ISNUMBER($A$2:$A$1048576)),ROW($A$2:$A$1048576))),CE82)</f>
        <v/>
      </c>
      <c r="CG82" s="38">
        <f>sum(CE82-CE$106)/CE$107</f>
        <v/>
      </c>
      <c r="CH82" s="9" t="n">
        <v>2.62</v>
      </c>
      <c r="CI82" s="9" t="n">
        <v>9.970000000000001</v>
      </c>
      <c r="CJ82" s="9" t="n">
        <v>14.89</v>
      </c>
      <c r="CK82" s="33">
        <f>PERCENTRANK(CJ$2:INDEX($CJ:$CJ,LOOKUP(2,1/(ISNUMBER($A$2:$A$1048576)),ROW($A$2:$A$1048576))),CJ82)</f>
        <v/>
      </c>
      <c r="CL82" s="38">
        <f>sum(CJ82-CJ$106)/CJ$107</f>
        <v/>
      </c>
      <c r="CM82" s="9" t="n">
        <v>60.92</v>
      </c>
      <c r="CN82" s="9" t="n">
        <v>26.08</v>
      </c>
      <c r="CO82" s="9" t="n">
        <v>42.81</v>
      </c>
      <c r="CP82" s="9" t="n">
        <v>2.22</v>
      </c>
      <c r="CQ82" s="9" t="n">
        <v>0.78</v>
      </c>
      <c r="CR82" s="9" t="n">
        <v>10.14</v>
      </c>
      <c r="CS82" s="33">
        <f>PERCENTRANK(CR$2:INDEX($CR:$CR,LOOKUP(2,1/(ISNUMBER($A$2:$A$1048576)),ROW($A$2:$A$1048576))),CR82)</f>
        <v/>
      </c>
      <c r="CT82" s="39">
        <f>1-(CR82-CR$106)/CR$107</f>
        <v/>
      </c>
      <c r="CU82" s="9" t="n">
        <v>3.59</v>
      </c>
      <c r="CV82" s="33">
        <f>PERCENTRANK(CU$2:INDEX($CU:$CU,LOOKUP(2,1/(ISNUMBER($A$2:$A$1048576)),ROW($A$2:$A$1048576))),CU82)</f>
        <v/>
      </c>
      <c r="CW82" s="39">
        <f>1-(CU82-CU$106)/CU$107</f>
        <v/>
      </c>
      <c r="CX82" s="9" t="n">
        <v>35.47</v>
      </c>
      <c r="CY82" s="9" t="n">
        <v>69.54000000000001</v>
      </c>
      <c r="CZ82" s="9" t="n">
        <v>42.24</v>
      </c>
      <c r="DA82" s="9" t="n">
        <v>60.75</v>
      </c>
      <c r="DB82" s="9" t="n">
        <v>36.76</v>
      </c>
      <c r="DC82" s="9" t="n">
        <v>18.35</v>
      </c>
      <c r="DD82" s="9" t="n">
        <v>49.93</v>
      </c>
      <c r="DE82" s="9" t="n">
        <v>5.7</v>
      </c>
      <c r="DF82" s="9" t="n">
        <v>2.65</v>
      </c>
      <c r="DG82" s="9" t="n">
        <v>46.45</v>
      </c>
      <c r="DH82" s="9" t="n">
        <v>39.54</v>
      </c>
      <c r="DI82" s="33">
        <f>PERCENTRANK(DH$2:INDEX($DH:$DH,LOOKUP(2,1/(ISNUMBER($A$2:$A$1048576)),ROW($A$2:$A$1048576))),DH82)</f>
        <v/>
      </c>
      <c r="DJ82" s="39">
        <f>SUM(DH82-DH$106)/DH$107</f>
        <v/>
      </c>
      <c r="DK82" s="9" t="n">
        <v>14.11</v>
      </c>
      <c r="DL82" s="9" t="n">
        <v>14</v>
      </c>
      <c r="DM82" s="9" t="n">
        <v>2.32</v>
      </c>
      <c r="DN82" s="9" t="n">
        <v>0.08</v>
      </c>
      <c r="DO82" s="9" t="n">
        <v>141.27</v>
      </c>
      <c r="DP82" s="9" t="n">
        <v>100.41</v>
      </c>
      <c r="DQ82" s="33">
        <f>PERCENTRANK(DP$2:INDEX($DP:$DP,LOOKUP(2,1/(ISNUMBER($A$2:$A$1048576)),ROW($A$2:$A$1048576))),DP82)</f>
        <v/>
      </c>
      <c r="DR82" s="40">
        <f>sum(DP82-DP$106)/DP$107</f>
        <v/>
      </c>
      <c r="DS82" s="9" t="n">
        <v>71.06999999999999</v>
      </c>
      <c r="DT82" s="9" t="n">
        <v>60.3</v>
      </c>
      <c r="DU82" s="9" t="n">
        <v>56.95</v>
      </c>
      <c r="DV82" s="9" t="n">
        <v>94.44</v>
      </c>
      <c r="DW82" s="9" t="n">
        <v>150.89</v>
      </c>
      <c r="DX82" s="9" t="n">
        <v>132.05</v>
      </c>
      <c r="DY82" s="9" t="n">
        <v>87.52</v>
      </c>
      <c r="DZ82" s="9" t="n">
        <v>46.65</v>
      </c>
      <c r="EA82" s="9" t="n">
        <v>24.14</v>
      </c>
      <c r="EB82" s="9" t="n">
        <v>51.74</v>
      </c>
      <c r="EC82" s="9" t="n">
        <v>50.19</v>
      </c>
      <c r="ED82" s="9" t="n">
        <v>32.14</v>
      </c>
      <c r="EE82" s="33">
        <f>PERCENTRANK(ED$2:INDEX($ED:$ED,LOOKUP(2,1/(ISNUMBER($A$2:$A$1048576)),ROW($A$2:$A$1048576))),ED82)</f>
        <v/>
      </c>
      <c r="EF82" s="40">
        <f>sum(ED82-ED$106)/ED$107</f>
        <v/>
      </c>
      <c r="EG82" s="9" t="n">
        <v>64.03</v>
      </c>
      <c r="EH82" s="9" t="n">
        <v>72.3</v>
      </c>
      <c r="EI82" s="9" t="n">
        <v>50.84</v>
      </c>
      <c r="EJ82" s="33">
        <f>PERCENTRANK(EI$2:INDEX($EI:$EI,LOOKUP(2,1/(ISNUMBER($A$2:$A$1048576)),ROW($A$2:$A$1048576))),EI82)</f>
        <v/>
      </c>
      <c r="EK82" s="40">
        <f>sum(EI82-EI$106)/EI$107</f>
        <v/>
      </c>
      <c r="EL82" s="9" t="n">
        <v>70.31999999999999</v>
      </c>
      <c r="EM82" s="9" t="n">
        <v>3.54</v>
      </c>
      <c r="EN82" s="9" t="n">
        <v>1.49</v>
      </c>
      <c r="EO82" s="9" t="n">
        <v>41.98</v>
      </c>
      <c r="EP82" s="9" t="n">
        <v>19.59</v>
      </c>
      <c r="EQ82" s="9" t="n">
        <v>18.19</v>
      </c>
      <c r="ER82" s="9" t="n">
        <v>92.83</v>
      </c>
      <c r="ES82" s="9" t="n">
        <v>8.140000000000001</v>
      </c>
      <c r="ET82" s="9" t="n">
        <v>16.32</v>
      </c>
      <c r="EU82" s="9" t="n">
        <v>3.97</v>
      </c>
      <c r="EV82" s="9" t="n">
        <v>12.07</v>
      </c>
      <c r="EW82" s="9" t="n">
        <v>17.89</v>
      </c>
      <c r="EX82" s="33">
        <f>PERCENTRANK(EW$2:INDEX($EW:$EW,LOOKUP(2,1/(ISNUMBER($A$2:$A$1048576)),ROW($A$2:$A$1048576))),EW82)</f>
        <v/>
      </c>
      <c r="EY82" s="38">
        <f>1-(EW82-EW$106)/EW$107</f>
        <v/>
      </c>
      <c r="EZ82" s="9" t="n">
        <v>20.5</v>
      </c>
      <c r="FA82" s="9" t="n">
        <v>10.82</v>
      </c>
      <c r="FB82" s="33">
        <f>PERCENTRANK(FA$2:INDEX($FA:$FA,LOOKUP(2,1/(ISNUMBER($A$2:$A$1048576)),ROW($A$2:$A$1048576))),FA82)</f>
        <v/>
      </c>
      <c r="FC82" s="39">
        <f>1-(FA82-FA$106)/FA$107</f>
        <v/>
      </c>
      <c r="FD82" s="9" t="n">
        <v>0.78</v>
      </c>
      <c r="FE82" s="9" t="n">
        <v>1.03</v>
      </c>
      <c r="FF82" s="33">
        <f>PERCENTRANK(FE$2:INDEX($FE:$FE,LOOKUP(2,1/(ISNUMBER($A$2:$A$1048576)),ROW($A$2:$A$1048576))),FE82)</f>
        <v/>
      </c>
      <c r="FG82" s="39">
        <f>1-(FE82-FE$106)/FE$107</f>
        <v/>
      </c>
      <c r="FH82" s="9" t="n">
        <v>10.14</v>
      </c>
      <c r="FI82" s="9" t="n">
        <v>3.35</v>
      </c>
      <c r="FJ82" s="9" t="n">
        <v>33.07</v>
      </c>
      <c r="FK82" s="9" t="n">
        <v>432.16</v>
      </c>
      <c r="FL82" s="33">
        <f>PERCENTRANK(FK$2:INDEX($FK:$FK,LOOKUP(2,1/(ISNUMBER($A$2:$A$1048576)),ROW($A$2:$A$1048576))),FK82)</f>
        <v/>
      </c>
      <c r="FM82" s="39">
        <f>SWA81-(FK82-FK$106)/FK$107</f>
        <v/>
      </c>
      <c r="FN82" s="9" t="n">
        <v>361.84</v>
      </c>
      <c r="FO82" s="9" t="n">
        <v>83.73</v>
      </c>
      <c r="FP82" s="9" t="n">
        <v>51.58</v>
      </c>
      <c r="FQ82" s="9" t="n">
        <v>102.03</v>
      </c>
      <c r="FR82" s="9" t="n">
        <v>16.46</v>
      </c>
      <c r="FS82" s="9" t="n">
        <v>36.86</v>
      </c>
      <c r="FT82" s="9" t="n">
        <v>48.7</v>
      </c>
      <c r="FU82" s="9" t="n">
        <v>79.65000000000001</v>
      </c>
      <c r="FV82" s="9" t="n">
        <v>35.22</v>
      </c>
      <c r="FW82" s="9" t="n">
        <v>33.81</v>
      </c>
      <c r="FX82" s="9" t="n">
        <v>10.62</v>
      </c>
      <c r="FY82" s="9" t="n">
        <v>198.03</v>
      </c>
      <c r="FZ82" s="9" t="n">
        <v>91.23999999999999</v>
      </c>
      <c r="GA82" s="9" t="n">
        <v>46.08</v>
      </c>
      <c r="GB82" s="9" t="n">
        <v>4.54</v>
      </c>
      <c r="GC82" s="9" t="n">
        <v>1.24</v>
      </c>
      <c r="GD82" s="9" t="n">
        <v>27.38</v>
      </c>
      <c r="GE82" s="9" t="n">
        <v>26.59</v>
      </c>
      <c r="GF82" s="9" t="n">
        <v>6.14</v>
      </c>
      <c r="GG82" s="9" t="n">
        <v>23.07</v>
      </c>
      <c r="GH82" s="9" t="n">
        <v>1.78</v>
      </c>
      <c r="GI82" s="9" t="n">
        <v>0.84</v>
      </c>
      <c r="GJ82" s="9" t="n">
        <v>46.97</v>
      </c>
      <c r="GK82" s="9" t="n">
        <v>26.62</v>
      </c>
      <c r="GL82" s="9" t="n">
        <v>2.73</v>
      </c>
      <c r="GM82" s="9" t="n">
        <v>10.25</v>
      </c>
      <c r="GN82" s="9" t="n">
        <v>3.86</v>
      </c>
      <c r="GO82" s="9" t="n">
        <v>1.03</v>
      </c>
      <c r="GP82" s="9" t="n">
        <v>26.57</v>
      </c>
      <c r="GQ82" s="9" t="n">
        <v>2.73</v>
      </c>
      <c r="GR82" s="9" t="n">
        <v>0.43</v>
      </c>
      <c r="GS82" s="9" t="n">
        <v>15.84</v>
      </c>
      <c r="GT82" s="9" t="n">
        <v>0.08</v>
      </c>
      <c r="GU82" s="9" t="n">
        <v>0.08</v>
      </c>
      <c r="GV82" s="9" t="n">
        <v>100</v>
      </c>
      <c r="GW82" s="9" t="n">
        <v>11.59</v>
      </c>
      <c r="GX82" s="9" t="n">
        <v>3.7</v>
      </c>
      <c r="GY82" s="9" t="n">
        <v>31.93</v>
      </c>
      <c r="GZ82" s="9" t="n">
        <v>3.49</v>
      </c>
      <c r="HA82" s="9" t="n">
        <v>6.32</v>
      </c>
      <c r="HB82" s="9" t="n">
        <v>22.08</v>
      </c>
      <c r="HC82" s="9" t="n">
        <v>3.41</v>
      </c>
      <c r="HD82" s="9" t="n">
        <v>6.78</v>
      </c>
      <c r="HE82" s="9" t="n">
        <v>13.49</v>
      </c>
      <c r="HF82" s="9" t="n">
        <v>69.54000000000001</v>
      </c>
      <c r="HG82" s="9" t="n">
        <v>27.3</v>
      </c>
      <c r="HH82" s="9" t="n">
        <v>39.25</v>
      </c>
      <c r="HI82" s="9" t="n">
        <v>1.54</v>
      </c>
      <c r="HJ82" s="9" t="n">
        <v>1.51</v>
      </c>
      <c r="HK82" s="9" t="n">
        <v>11.03</v>
      </c>
      <c r="HL82" s="9" t="n">
        <v>4.51</v>
      </c>
      <c r="HM82" s="9" t="n">
        <v>40.93</v>
      </c>
      <c r="HN82" s="9" t="n">
        <v>60.92</v>
      </c>
      <c r="HO82" s="9" t="n">
        <v>34.84</v>
      </c>
      <c r="HP82" s="9" t="n">
        <v>57.19</v>
      </c>
      <c r="HQ82" s="9" t="n">
        <v>36.76</v>
      </c>
      <c r="HR82" s="9" t="n">
        <v>15.57</v>
      </c>
      <c r="HS82" s="9" t="n">
        <v>42.35</v>
      </c>
      <c r="HT82" s="9" t="n">
        <v>4.3</v>
      </c>
      <c r="HU82" s="9" t="n">
        <v>2.05</v>
      </c>
      <c r="HV82" s="9" t="n">
        <v>47.8</v>
      </c>
      <c r="HW82" s="9" t="n">
        <v>39.05</v>
      </c>
      <c r="HX82" s="9" t="n">
        <v>13.49</v>
      </c>
      <c r="HY82" s="9" t="n">
        <v>13.81</v>
      </c>
      <c r="HZ82" s="9" t="n">
        <v>2.65</v>
      </c>
      <c r="IA82" s="9" t="n">
        <v>0.14</v>
      </c>
      <c r="IB82" s="9" t="n">
        <v>143.92</v>
      </c>
      <c r="IC82" s="9" t="n">
        <v>102.81</v>
      </c>
      <c r="ID82" s="9" t="n">
        <v>71.44</v>
      </c>
      <c r="IE82" s="9" t="n">
        <v>61.03</v>
      </c>
      <c r="IF82" s="9" t="n">
        <v>57.86</v>
      </c>
      <c r="IG82" s="9" t="n">
        <v>94.81999999999999</v>
      </c>
      <c r="IH82" s="9" t="n">
        <v>167.19</v>
      </c>
      <c r="II82" s="9" t="n">
        <v>151.49</v>
      </c>
      <c r="IJ82" s="9" t="n">
        <v>90.61</v>
      </c>
      <c r="IK82" s="9" t="n">
        <v>46.97</v>
      </c>
      <c r="IL82" s="9" t="n">
        <v>23.41</v>
      </c>
      <c r="IM82" s="9" t="n">
        <v>49.83</v>
      </c>
      <c r="IN82" s="9" t="n">
        <v>55.27</v>
      </c>
      <c r="IO82" s="9" t="n">
        <v>34.46</v>
      </c>
      <c r="IP82" s="9" t="n">
        <v>62.35</v>
      </c>
      <c r="IQ82" s="9" t="n">
        <v>68</v>
      </c>
      <c r="IR82" s="9" t="n">
        <v>49.86</v>
      </c>
      <c r="IS82" s="9" t="n">
        <v>73.33</v>
      </c>
      <c r="IT82" s="33">
        <f>PERCENTRANK(IS$2:INDEX($IS:$IS,LOOKUP(2,1/(ISNUMBER($A$2:$A$1048576)),ROW($A$2:$A$1048576))),IS82)</f>
        <v/>
      </c>
      <c r="IU82" s="39">
        <f>1-(IS82-IS$106)/IS$107</f>
        <v/>
      </c>
      <c r="IV82" s="9" t="n">
        <v>2.89</v>
      </c>
      <c r="IW82" s="9" t="n">
        <v>1.08</v>
      </c>
      <c r="IX82" s="9" t="n">
        <v>37.38</v>
      </c>
      <c r="IY82" s="9" t="n">
        <v>20.76</v>
      </c>
      <c r="IZ82" s="9" t="n">
        <v>18.76</v>
      </c>
      <c r="JA82" s="9" t="n">
        <v>90.36</v>
      </c>
      <c r="JB82" s="9" t="n">
        <v>7.76</v>
      </c>
      <c r="JC82" s="9" t="n">
        <v>16.36</v>
      </c>
      <c r="JD82" s="9" t="n">
        <v>4.15</v>
      </c>
      <c r="JE82" s="9" t="n">
        <v>11.57</v>
      </c>
      <c r="JF82" s="9" t="n">
        <v>19.4</v>
      </c>
      <c r="JG82" s="9" t="n">
        <v>19.87</v>
      </c>
      <c r="JH82" s="9" t="n">
        <v>11.55</v>
      </c>
    </row>
    <row r="83">
      <c r="A83" s="12" t="n">
        <v>2022</v>
      </c>
      <c r="B83" s="31" t="inlineStr">
        <is>
          <t>Hartford Athletic</t>
        </is>
      </c>
      <c r="C83" s="12" t="n">
        <v>36</v>
      </c>
      <c r="D83" s="5">
        <f>(C83-AVERAGE($C$2:INDEX($C:$C,LOOKUP(2,1/(ISNUMBER($A$2:$A$1048576)),ROW($A$2:$A$1048576)))))/_xlfn.STDEV.P($C$2:INDEX($C:$C,LOOKUP(2,1/(ISNUMBER($A$2:$A$1048576)),ROW($A$2:$A$1048576))))</f>
        <v/>
      </c>
      <c r="E83" s="12" t="n">
        <v>10</v>
      </c>
      <c r="F83" s="6">
        <f>-E83</f>
        <v/>
      </c>
      <c r="G83" s="7">
        <f>(F83-AVERAGE($F$2:INDEX($F:$F,LOOKUP(2,1/(ISNUMBER($A$2:$A$1048576)),ROW($A$2:$A$1048576)))))/_xlfn.STDEV.P($F$2:INDEX($F:$F,LOOKUP(2,1/(ISNUMBER($A$2:$A$1048576)),ROW($A$2:$A$1048576))))</f>
        <v/>
      </c>
      <c r="H83" s="32">
        <f>sum(0.5*D83)+(0.5*G83)</f>
        <v/>
      </c>
      <c r="I83" s="12" t="inlineStr">
        <is>
          <t>East</t>
        </is>
      </c>
      <c r="J83" s="10">
        <f>sum(L83*L$105)+(N83*N$105)+(P83*P$105)+(T83*R$105)</f>
        <v/>
      </c>
      <c r="K83" s="33">
        <f>PERCENTRANK(J$2:INDEX($J:$J,LOOKUP(2,1/(ISNUMBER($A$2:$A$1048576)),ROW($A$2:$A$1048576))),J83)</f>
        <v/>
      </c>
      <c r="L83" s="10">
        <f>sum(AA83*0.66)+(AD83*0.55)+(AG83*0.59)+(CG83*0.51)+(CL83*0.6)+(EY83*0.31)</f>
        <v/>
      </c>
      <c r="M83" s="33">
        <f>PERCENTRANK(L$2:INDEX($L:$L,LOOKUP(2,1/(ISNUMBER($A$2:$A$1048576)),ROW($A$2:$A$1048576))),L83)</f>
        <v/>
      </c>
      <c r="N83" s="10">
        <f>sum(CT83*0.57)+(CW83*0.71)+(DJ83*0.08)+(FC83*0.33)+(FG83*0.69)+(FM83*0.26)+(IU83*0.54)+(AU83*0.4)</f>
        <v/>
      </c>
      <c r="O83" s="33">
        <f>PERCENTRANK(N$2:INDEX($N:$N,LOOKUP(2,1/(ISNUMBER($A$2:$A$1048576)),ROW($A$2:$A$1048576))),N83)</f>
        <v/>
      </c>
      <c r="P83" s="10">
        <f>sum(BG83*0.51)+(CD83*0.51)+(DR83*0.11)+(EF83*0.42)+(EK83*0.44)+(W83*0.6)</f>
        <v/>
      </c>
      <c r="Q83" s="33">
        <f>PERCENTRANK(P$2:INDEX($P:$P,LOOKUP(2,1/(ISNUMBER($A$2:$A$1048576)),ROW($A$2:$A$1048576))),P83)</f>
        <v/>
      </c>
      <c r="R83" s="10">
        <f>sum(Y83-FE83)</f>
        <v/>
      </c>
      <c r="S83" s="33">
        <f>PERCENTRANK(R$2:INDEX($R:$R,LOOKUP(2,1/(ISNUMBER($A$2:$A$1048576)),ROW($A$2:$A$1048576))),R83)</f>
        <v/>
      </c>
      <c r="T83" s="34">
        <f>sum(R83-R$106)/R$107</f>
        <v/>
      </c>
      <c r="U83" s="35">
        <f>sum(Y83/AI83)*100</f>
        <v/>
      </c>
      <c r="V83" s="33">
        <f>PERCENTRANK(U$2:INDEX($U:$U,LOOKUP(2,1/(ISNUMBER($A$2:$A$1048576)),ROW($A$2:$A$1048576))),U83)</f>
        <v/>
      </c>
      <c r="W83" s="36">
        <f>sum(U83-U$106)/U$107</f>
        <v/>
      </c>
      <c r="X83" s="9" t="n">
        <v>1.38</v>
      </c>
      <c r="Y83" s="9" t="n">
        <v>1.32</v>
      </c>
      <c r="Z83" s="33">
        <f>PERCENTRANK(Y$2:INDEX($Y:$Y,LOOKUP(2,1/(ISNUMBER($A$2:$A$1048576)),ROW($A$2:$A$1048576))),Y83)</f>
        <v/>
      </c>
      <c r="AA83" s="37">
        <f>sum(Y83-Y$106)/Y$107</f>
        <v/>
      </c>
      <c r="AB83" s="9" t="n">
        <v>10.15</v>
      </c>
      <c r="AC83" s="33">
        <f>PERCENTRANK(AB$2:INDEX($AB:$AB,LOOKUP(2,1/(ISNUMBER($A$2:$A$1048576)),ROW($A$2:$A$1048576))),AB83)</f>
        <v/>
      </c>
      <c r="AD83" s="38">
        <f>sum(AB83-AB$106)/AB$107</f>
        <v/>
      </c>
      <c r="AE83" s="9" t="n">
        <v>3.97</v>
      </c>
      <c r="AF83" s="33">
        <f>PERCENTRANK(AE$2:INDEX($AE:$AE,LOOKUP(2,1/(ISNUMBER($A$2:$A$1048576)),ROW($A$2:$A$1048576))),AE83)</f>
        <v/>
      </c>
      <c r="AG83" s="38">
        <f>sum(AE83-AE$106)/AE$107</f>
        <v/>
      </c>
      <c r="AH83" s="9" t="n">
        <v>39.13</v>
      </c>
      <c r="AI83" s="9" t="n">
        <v>430.12</v>
      </c>
      <c r="AJ83" s="9" t="n">
        <v>361.24</v>
      </c>
      <c r="AK83" s="9" t="n">
        <v>83.98999999999999</v>
      </c>
      <c r="AL83" s="9" t="n">
        <v>48.3</v>
      </c>
      <c r="AM83" s="9" t="n">
        <v>98.84999999999999</v>
      </c>
      <c r="AN83" s="9" t="n">
        <v>22</v>
      </c>
      <c r="AO83" s="9" t="n">
        <v>34.38</v>
      </c>
      <c r="AP83" s="9" t="n">
        <v>42.47</v>
      </c>
      <c r="AQ83" s="9" t="n">
        <v>75.18000000000001</v>
      </c>
      <c r="AR83" s="9" t="n">
        <v>38.03</v>
      </c>
      <c r="AS83" s="9" t="n">
        <v>27.5</v>
      </c>
      <c r="AT83" s="33">
        <f>PERCENTRANK(AS$2:INDEX($AS:$AS,LOOKUP(2,1/(ISNUMBER($A$2:$A$1048576)),ROW($A$2:$A$1048576))),AS83)</f>
        <v/>
      </c>
      <c r="AU83" s="39">
        <f>SUM(AS83-AS$106)/AS$107</f>
        <v/>
      </c>
      <c r="AV83" s="9" t="n">
        <v>9.65</v>
      </c>
      <c r="AW83" s="33">
        <f>PERCENTRANK(AV$2:INDEX($AV:$AV,LOOKUP(2,1/(ISNUMBER($A$2:$A$1048576)),ROW($A$2:$A$1048576))),AV83)</f>
        <v/>
      </c>
      <c r="AX83" s="9" t="n">
        <v>188.29</v>
      </c>
      <c r="AY83" s="9" t="n">
        <v>89.44</v>
      </c>
      <c r="AZ83" s="9" t="n">
        <v>47.5</v>
      </c>
      <c r="BA83" s="9" t="n">
        <v>3.59</v>
      </c>
      <c r="BB83" s="9" t="n">
        <v>0.91</v>
      </c>
      <c r="BC83" s="9" t="n">
        <v>25.41</v>
      </c>
      <c r="BD83" s="9" t="n">
        <v>24.62</v>
      </c>
      <c r="BE83" s="9" t="n">
        <v>5.94</v>
      </c>
      <c r="BF83" s="33">
        <f>PERCENTRANK(BE$2:INDEX($BE:$BE,LOOKUP(2,1/(ISNUMBER($A$2:$A$1048576)),ROW($A$2:$A$1048576))),BE83)</f>
        <v/>
      </c>
      <c r="BG83" s="40">
        <f>sum(BE83-BE$106)/BE$107</f>
        <v/>
      </c>
      <c r="BH83" s="9" t="n">
        <v>24.13</v>
      </c>
      <c r="BI83" s="9" t="n">
        <v>1.38</v>
      </c>
      <c r="BJ83" s="9" t="n">
        <v>0.62</v>
      </c>
      <c r="BK83" s="9" t="n">
        <v>44.68</v>
      </c>
      <c r="BL83" s="9" t="n">
        <v>25.79</v>
      </c>
      <c r="BM83" s="9" t="n">
        <v>3.26</v>
      </c>
      <c r="BN83" s="9" t="n">
        <v>12.66</v>
      </c>
      <c r="BO83" s="9" t="n">
        <v>4.62</v>
      </c>
      <c r="BP83" s="9" t="n">
        <v>1.59</v>
      </c>
      <c r="BQ83" s="9" t="n">
        <v>34.39</v>
      </c>
      <c r="BR83" s="9" t="n">
        <v>2.12</v>
      </c>
      <c r="BS83" s="9" t="n">
        <v>0.44</v>
      </c>
      <c r="BT83" s="9" t="n">
        <v>20.83</v>
      </c>
      <c r="BU83" s="9" t="n">
        <v>0.09</v>
      </c>
      <c r="BV83" s="9" t="n">
        <v>0.06</v>
      </c>
      <c r="BW83" s="9" t="n">
        <v>66.67</v>
      </c>
      <c r="BX83" s="9" t="n">
        <v>13.76</v>
      </c>
      <c r="BY83" s="9" t="n">
        <v>5.12</v>
      </c>
      <c r="BZ83" s="9" t="n">
        <v>37.18</v>
      </c>
      <c r="CA83" s="9" t="n">
        <v>5.03</v>
      </c>
      <c r="CB83" s="9" t="n">
        <v>6.97</v>
      </c>
      <c r="CC83" s="33">
        <f>PERCENTRANK(CD$2:INDEX($CD:$CD,LOOKUP(2,1/(ISNUMBER($A$2:$A$1048576)),ROW($A$2:$A$1048576))),CD83)</f>
        <v/>
      </c>
      <c r="CD83" s="40">
        <f>sum(CB83-CB$106)/CB$107</f>
        <v/>
      </c>
      <c r="CE83" s="9" t="n">
        <v>23.21</v>
      </c>
      <c r="CF83" s="33">
        <f>PERCENTRANK(CE$2:INDEX($CE:$CE,LOOKUP(2,1/(ISNUMBER($A$2:$A$1048576)),ROW($A$2:$A$1048576))),CE83)</f>
        <v/>
      </c>
      <c r="CG83" s="38">
        <f>sum(CE83-CE$106)/CE$107</f>
        <v/>
      </c>
      <c r="CH83" s="9" t="n">
        <v>4.03</v>
      </c>
      <c r="CI83" s="9" t="n">
        <v>8.210000000000001</v>
      </c>
      <c r="CJ83" s="9" t="n">
        <v>16.62</v>
      </c>
      <c r="CK83" s="33">
        <f>PERCENTRANK(CJ$2:INDEX($CJ:$CJ,LOOKUP(2,1/(ISNUMBER($A$2:$A$1048576)),ROW($A$2:$A$1048576))),CJ83)</f>
        <v/>
      </c>
      <c r="CL83" s="38">
        <f>sum(CJ83-CJ$106)/CJ$107</f>
        <v/>
      </c>
      <c r="CM83" s="9" t="n">
        <v>63.15</v>
      </c>
      <c r="CN83" s="9" t="n">
        <v>25.24</v>
      </c>
      <c r="CO83" s="9" t="n">
        <v>39.96</v>
      </c>
      <c r="CP83" s="9" t="n">
        <v>3.29</v>
      </c>
      <c r="CQ83" s="9" t="n">
        <v>1.68</v>
      </c>
      <c r="CR83" s="9" t="n">
        <v>14.74</v>
      </c>
      <c r="CS83" s="33">
        <f>PERCENTRANK(CR$2:INDEX($CR:$CR,LOOKUP(2,1/(ISNUMBER($A$2:$A$1048576)),ROW($A$2:$A$1048576))),CR83)</f>
        <v/>
      </c>
      <c r="CT83" s="39">
        <f>1-(CR83-CR$106)/CR$107</f>
        <v/>
      </c>
      <c r="CU83" s="9" t="n">
        <v>5.32</v>
      </c>
      <c r="CV83" s="33">
        <f>PERCENTRANK(CU$2:INDEX($CU:$CU,LOOKUP(2,1/(ISNUMBER($A$2:$A$1048576)),ROW($A$2:$A$1048576))),CU83)</f>
        <v/>
      </c>
      <c r="CW83" s="39">
        <f>1-(CU83-CU$106)/CU$107</f>
        <v/>
      </c>
      <c r="CX83" s="9" t="n">
        <v>36.13</v>
      </c>
      <c r="CY83" s="9" t="n">
        <v>62.56</v>
      </c>
      <c r="CZ83" s="9" t="n">
        <v>37.79</v>
      </c>
      <c r="DA83" s="9" t="n">
        <v>60.41</v>
      </c>
      <c r="DB83" s="9" t="n">
        <v>33.56</v>
      </c>
      <c r="DC83" s="9" t="n">
        <v>14.18</v>
      </c>
      <c r="DD83" s="9" t="n">
        <v>42.24</v>
      </c>
      <c r="DE83" s="9" t="n">
        <v>3.82</v>
      </c>
      <c r="DF83" s="9" t="n">
        <v>1.91</v>
      </c>
      <c r="DG83" s="9" t="n">
        <v>50</v>
      </c>
      <c r="DH83" s="9" t="n">
        <v>38.12</v>
      </c>
      <c r="DI83" s="33">
        <f>PERCENTRANK(DH$2:INDEX($DH:$DH,LOOKUP(2,1/(ISNUMBER($A$2:$A$1048576)),ROW($A$2:$A$1048576))),DH83)</f>
        <v/>
      </c>
      <c r="DJ83" s="39">
        <f>SUM(DH83-DH$106)/DH$107</f>
        <v/>
      </c>
      <c r="DK83" s="9" t="n">
        <v>16.32</v>
      </c>
      <c r="DL83" s="9" t="n">
        <v>11.44</v>
      </c>
      <c r="DM83" s="9" t="n">
        <v>2.53</v>
      </c>
      <c r="DN83" s="9" t="n">
        <v>0.03</v>
      </c>
      <c r="DO83" s="9" t="n">
        <v>144.59</v>
      </c>
      <c r="DP83" s="9" t="n">
        <v>106.76</v>
      </c>
      <c r="DQ83" s="33">
        <f>PERCENTRANK(DP$2:INDEX($DP:$DP,LOOKUP(2,1/(ISNUMBER($A$2:$A$1048576)),ROW($A$2:$A$1048576))),DP83)</f>
        <v/>
      </c>
      <c r="DR83" s="40">
        <f>sum(DP83-DP$106)/DP$107</f>
        <v/>
      </c>
      <c r="DS83" s="9" t="n">
        <v>73.84</v>
      </c>
      <c r="DT83" s="9" t="n">
        <v>67.29000000000001</v>
      </c>
      <c r="DU83" s="9" t="n">
        <v>63.56</v>
      </c>
      <c r="DV83" s="9" t="n">
        <v>94.45</v>
      </c>
      <c r="DW83" s="9" t="n">
        <v>157.41</v>
      </c>
      <c r="DX83" s="9" t="n">
        <v>139.76</v>
      </c>
      <c r="DY83" s="9" t="n">
        <v>88.79000000000001</v>
      </c>
      <c r="DZ83" s="9" t="n">
        <v>51.59</v>
      </c>
      <c r="EA83" s="9" t="n">
        <v>27.21</v>
      </c>
      <c r="EB83" s="9" t="n">
        <v>52.74</v>
      </c>
      <c r="EC83" s="9" t="n">
        <v>52.32</v>
      </c>
      <c r="ED83" s="9" t="n">
        <v>35.06</v>
      </c>
      <c r="EE83" s="33">
        <f>PERCENTRANK(ED$2:INDEX($ED:$ED,LOOKUP(2,1/(ISNUMBER($A$2:$A$1048576)),ROW($A$2:$A$1048576))),ED83)</f>
        <v/>
      </c>
      <c r="EF83" s="40">
        <f>sum(ED83-ED$106)/ED$107</f>
        <v/>
      </c>
      <c r="EG83" s="9" t="n">
        <v>67</v>
      </c>
      <c r="EH83" s="9" t="n">
        <v>73.5</v>
      </c>
      <c r="EI83" s="9" t="n">
        <v>52.21</v>
      </c>
      <c r="EJ83" s="33">
        <f>PERCENTRANK(EI$2:INDEX($EI:$EI,LOOKUP(2,1/(ISNUMBER($A$2:$A$1048576)),ROW($A$2:$A$1048576))),EI83)</f>
        <v/>
      </c>
      <c r="EK83" s="40">
        <f>sum(EI83-EI$106)/EI$107</f>
        <v/>
      </c>
      <c r="EL83" s="9" t="n">
        <v>71.03</v>
      </c>
      <c r="EM83" s="9" t="n">
        <v>3.24</v>
      </c>
      <c r="EN83" s="9" t="n">
        <v>1.15</v>
      </c>
      <c r="EO83" s="9" t="n">
        <v>35.45</v>
      </c>
      <c r="EP83" s="9" t="n">
        <v>18.76</v>
      </c>
      <c r="EQ83" s="9" t="n">
        <v>17.12</v>
      </c>
      <c r="ER83" s="9" t="n">
        <v>91.22</v>
      </c>
      <c r="ES83" s="9" t="n">
        <v>10.18</v>
      </c>
      <c r="ET83" s="9" t="n">
        <v>17.12</v>
      </c>
      <c r="EU83" s="9" t="n">
        <v>4.23</v>
      </c>
      <c r="EV83" s="9" t="n">
        <v>12.32</v>
      </c>
      <c r="EW83" s="9" t="n">
        <v>17.82</v>
      </c>
      <c r="EX83" s="33">
        <f>PERCENTRANK(EW$2:INDEX($EW:$EW,LOOKUP(2,1/(ISNUMBER($A$2:$A$1048576)),ROW($A$2:$A$1048576))),EW83)</f>
        <v/>
      </c>
      <c r="EY83" s="38">
        <f>1-(EW83-EW$106)/EW$107</f>
        <v/>
      </c>
      <c r="EZ83" s="9" t="n">
        <v>19.8</v>
      </c>
      <c r="FA83" s="9" t="n">
        <v>14.33</v>
      </c>
      <c r="FB83" s="33">
        <f>PERCENTRANK(FA$2:INDEX($FA:$FA,LOOKUP(2,1/(ISNUMBER($A$2:$A$1048576)),ROW($A$2:$A$1048576))),FA83)</f>
        <v/>
      </c>
      <c r="FC83" s="39">
        <f>1-(FA83-FA$106)/FA$107</f>
        <v/>
      </c>
      <c r="FD83" s="9" t="n">
        <v>1.68</v>
      </c>
      <c r="FE83" s="9" t="n">
        <v>1.73</v>
      </c>
      <c r="FF83" s="33">
        <f>PERCENTRANK(FE$2:INDEX($FE:$FE,LOOKUP(2,1/(ISNUMBER($A$2:$A$1048576)),ROW($A$2:$A$1048576))),FE83)</f>
        <v/>
      </c>
      <c r="FG83" s="39">
        <f>1-(FE83-FE$106)/FE$107</f>
        <v/>
      </c>
      <c r="FH83" s="9" t="n">
        <v>14.74</v>
      </c>
      <c r="FI83" s="9" t="n">
        <v>5.24</v>
      </c>
      <c r="FJ83" s="9" t="n">
        <v>35.53</v>
      </c>
      <c r="FK83" s="9" t="n">
        <v>439.15</v>
      </c>
      <c r="FL83" s="33">
        <f>PERCENTRANK(FK$2:INDEX($FK:$FK,LOOKUP(2,1/(ISNUMBER($A$2:$A$1048576)),ROW($A$2:$A$1048576))),FK83)</f>
        <v/>
      </c>
      <c r="FM83" s="39">
        <f>SWA82-(FK83-FK$106)/FK$107</f>
        <v/>
      </c>
      <c r="FN83" s="9" t="n">
        <v>371.26</v>
      </c>
      <c r="FO83" s="9" t="n">
        <v>84.54000000000001</v>
      </c>
      <c r="FP83" s="9" t="n">
        <v>51.7</v>
      </c>
      <c r="FQ83" s="9" t="n">
        <v>94.5</v>
      </c>
      <c r="FR83" s="9" t="n">
        <v>15.97</v>
      </c>
      <c r="FS83" s="9" t="n">
        <v>29.74</v>
      </c>
      <c r="FT83" s="9" t="n">
        <v>48.79</v>
      </c>
      <c r="FU83" s="9" t="n">
        <v>77</v>
      </c>
      <c r="FV83" s="9" t="n">
        <v>32.12</v>
      </c>
      <c r="FW83" s="9" t="n">
        <v>31.44</v>
      </c>
      <c r="FX83" s="9" t="n">
        <v>13.44</v>
      </c>
      <c r="FY83" s="9" t="n">
        <v>188.29</v>
      </c>
      <c r="FZ83" s="9" t="n">
        <v>91.59</v>
      </c>
      <c r="GA83" s="9" t="n">
        <v>48.64</v>
      </c>
      <c r="GB83" s="9" t="n">
        <v>6.06</v>
      </c>
      <c r="GC83" s="9" t="n">
        <v>1.59</v>
      </c>
      <c r="GD83" s="9" t="n">
        <v>26.21</v>
      </c>
      <c r="GE83" s="9" t="n">
        <v>32.44</v>
      </c>
      <c r="GF83" s="9" t="n">
        <v>9.119999999999999</v>
      </c>
      <c r="GG83" s="9" t="n">
        <v>28.11</v>
      </c>
      <c r="GH83" s="9" t="n">
        <v>1.41</v>
      </c>
      <c r="GI83" s="9" t="n">
        <v>0.62</v>
      </c>
      <c r="GJ83" s="9" t="n">
        <v>43.75</v>
      </c>
      <c r="GK83" s="9" t="n">
        <v>25.82</v>
      </c>
      <c r="GL83" s="9" t="n">
        <v>4.35</v>
      </c>
      <c r="GM83" s="9" t="n">
        <v>16.86</v>
      </c>
      <c r="GN83" s="9" t="n">
        <v>5</v>
      </c>
      <c r="GO83" s="9" t="n">
        <v>1.88</v>
      </c>
      <c r="GP83" s="9" t="n">
        <v>37.65</v>
      </c>
      <c r="GQ83" s="9" t="n">
        <v>2.35</v>
      </c>
      <c r="GR83" s="9" t="n">
        <v>0.62</v>
      </c>
      <c r="GS83" s="9" t="n">
        <v>26.25</v>
      </c>
      <c r="GT83" s="9" t="n">
        <v>0.21</v>
      </c>
      <c r="GU83" s="9" t="n">
        <v>0.21</v>
      </c>
      <c r="GV83" s="9" t="n">
        <v>100</v>
      </c>
      <c r="GW83" s="9" t="n">
        <v>17.41</v>
      </c>
      <c r="GX83" s="9" t="n">
        <v>6.47</v>
      </c>
      <c r="GY83" s="9" t="n">
        <v>37.16</v>
      </c>
      <c r="GZ83" s="9" t="n">
        <v>6.32</v>
      </c>
      <c r="HA83" s="9" t="n">
        <v>8.35</v>
      </c>
      <c r="HB83" s="9" t="n">
        <v>28.38</v>
      </c>
      <c r="HC83" s="9" t="n">
        <v>4.53</v>
      </c>
      <c r="HD83" s="9" t="n">
        <v>11</v>
      </c>
      <c r="HE83" s="9" t="n">
        <v>21.79</v>
      </c>
      <c r="HF83" s="9" t="n">
        <v>62.56</v>
      </c>
      <c r="HG83" s="9" t="n">
        <v>24.76</v>
      </c>
      <c r="HH83" s="9" t="n">
        <v>39.59</v>
      </c>
      <c r="HI83" s="9" t="n">
        <v>1.35</v>
      </c>
      <c r="HJ83" s="9" t="n">
        <v>1.38</v>
      </c>
      <c r="HK83" s="9" t="n">
        <v>10.15</v>
      </c>
      <c r="HL83" s="9" t="n">
        <v>4.32</v>
      </c>
      <c r="HM83" s="9" t="n">
        <v>42.61</v>
      </c>
      <c r="HN83" s="9" t="n">
        <v>63.15</v>
      </c>
      <c r="HO83" s="9" t="n">
        <v>37.91</v>
      </c>
      <c r="HP83" s="9" t="n">
        <v>60.04</v>
      </c>
      <c r="HQ83" s="9" t="n">
        <v>33.56</v>
      </c>
      <c r="HR83" s="9" t="n">
        <v>16.79</v>
      </c>
      <c r="HS83" s="9" t="n">
        <v>50.04</v>
      </c>
      <c r="HT83" s="9" t="n">
        <v>3.65</v>
      </c>
      <c r="HU83" s="9" t="n">
        <v>1.76</v>
      </c>
      <c r="HV83" s="9" t="n">
        <v>48.39</v>
      </c>
      <c r="HW83" s="9" t="n">
        <v>38.62</v>
      </c>
      <c r="HX83" s="9" t="n">
        <v>14.44</v>
      </c>
      <c r="HY83" s="9" t="n">
        <v>11.59</v>
      </c>
      <c r="HZ83" s="9" t="n">
        <v>2.26</v>
      </c>
      <c r="IA83" s="9" t="n">
        <v>0.09</v>
      </c>
      <c r="IB83" s="9" t="n">
        <v>144.74</v>
      </c>
      <c r="IC83" s="9" t="n">
        <v>108.15</v>
      </c>
      <c r="ID83" s="9" t="n">
        <v>74.72</v>
      </c>
      <c r="IE83" s="9" t="n">
        <v>69.53</v>
      </c>
      <c r="IF83" s="9" t="n">
        <v>66.41</v>
      </c>
      <c r="IG83" s="9" t="n">
        <v>95.52</v>
      </c>
      <c r="IH83" s="9" t="n">
        <v>162.76</v>
      </c>
      <c r="II83" s="9" t="n">
        <v>144.15</v>
      </c>
      <c r="IJ83" s="9" t="n">
        <v>88.56</v>
      </c>
      <c r="IK83" s="9" t="n">
        <v>46.18</v>
      </c>
      <c r="IL83" s="9" t="n">
        <v>26.47</v>
      </c>
      <c r="IM83" s="9" t="n">
        <v>57.32</v>
      </c>
      <c r="IN83" s="9" t="n">
        <v>57.82</v>
      </c>
      <c r="IO83" s="9" t="n">
        <v>40.82</v>
      </c>
      <c r="IP83" s="9" t="n">
        <v>70.59999999999999</v>
      </c>
      <c r="IQ83" s="9" t="n">
        <v>76.53</v>
      </c>
      <c r="IR83" s="9" t="n">
        <v>59.53</v>
      </c>
      <c r="IS83" s="9" t="n">
        <v>77.79000000000001</v>
      </c>
      <c r="IT83" s="33">
        <f>PERCENTRANK(IS$2:INDEX($IS:$IS,LOOKUP(2,1/(ISNUMBER($A$2:$A$1048576)),ROW($A$2:$A$1048576))),IS83)</f>
        <v/>
      </c>
      <c r="IU83" s="39">
        <f>1-(IS83-IS$106)/IS$107</f>
        <v/>
      </c>
      <c r="IV83" s="9" t="n">
        <v>4.85</v>
      </c>
      <c r="IW83" s="9" t="n">
        <v>2</v>
      </c>
      <c r="IX83" s="9" t="n">
        <v>41.21</v>
      </c>
      <c r="IY83" s="9" t="n">
        <v>19</v>
      </c>
      <c r="IZ83" s="9" t="n">
        <v>17.5</v>
      </c>
      <c r="JA83" s="9" t="n">
        <v>92.11</v>
      </c>
      <c r="JB83" s="9" t="n">
        <v>7.21</v>
      </c>
      <c r="JC83" s="9" t="n">
        <v>16.18</v>
      </c>
      <c r="JD83" s="9" t="n">
        <v>4.22</v>
      </c>
      <c r="JE83" s="9" t="n">
        <v>10.79</v>
      </c>
      <c r="JF83" s="9" t="n">
        <v>18.12</v>
      </c>
      <c r="JG83" s="9" t="n">
        <v>20.04</v>
      </c>
      <c r="JH83" s="9" t="n">
        <v>11.59</v>
      </c>
    </row>
    <row r="84">
      <c r="A84" s="12" t="n">
        <v>2022</v>
      </c>
      <c r="B84" s="31" t="inlineStr">
        <is>
          <t>FC Tulsa</t>
        </is>
      </c>
      <c r="C84" s="12" t="n">
        <v>42</v>
      </c>
      <c r="D84" s="5">
        <f>(C84-AVERAGE($C$2:INDEX($C:$C,LOOKUP(2,1/(ISNUMBER($A$2:$A$1048576)),ROW($A$2:$A$1048576)))))/_xlfn.STDEV.P($C$2:INDEX($C:$C,LOOKUP(2,1/(ISNUMBER($A$2:$A$1048576)),ROW($A$2:$A$1048576))))</f>
        <v/>
      </c>
      <c r="E84" s="12" t="n">
        <v>8</v>
      </c>
      <c r="F84" s="6">
        <f>-E84</f>
        <v/>
      </c>
      <c r="G84" s="7">
        <f>(F84-AVERAGE($F$2:INDEX($F:$F,LOOKUP(2,1/(ISNUMBER($A$2:$A$1048576)),ROW($A$2:$A$1048576)))))/_xlfn.STDEV.P($F$2:INDEX($F:$F,LOOKUP(2,1/(ISNUMBER($A$2:$A$1048576)),ROW($A$2:$A$1048576))))</f>
        <v/>
      </c>
      <c r="H84" s="32">
        <f>sum(0.5*D84)+(0.5*G84)</f>
        <v/>
      </c>
      <c r="I84" s="12" t="inlineStr">
        <is>
          <t>East</t>
        </is>
      </c>
      <c r="J84" s="10">
        <f>sum(L84*L$105)+(N84*N$105)+(P84*P$105)+(T84*R$105)</f>
        <v/>
      </c>
      <c r="K84" s="33">
        <f>PERCENTRANK(J$2:INDEX($J:$J,LOOKUP(2,1/(ISNUMBER($A$2:$A$1048576)),ROW($A$2:$A$1048576))),J84)</f>
        <v/>
      </c>
      <c r="L84" s="10">
        <f>sum(AA84*0.66)+(AD84*0.55)+(AG84*0.59)+(CG84*0.51)+(CL84*0.6)+(EY84*0.31)</f>
        <v/>
      </c>
      <c r="M84" s="33">
        <f>PERCENTRANK(L$2:INDEX($L:$L,LOOKUP(2,1/(ISNUMBER($A$2:$A$1048576)),ROW($A$2:$A$1048576))),L84)</f>
        <v/>
      </c>
      <c r="N84" s="10">
        <f>sum(CT84*0.57)+(CW84*0.71)+(DJ84*0.08)+(FC84*0.33)+(FG84*0.69)+(FM84*0.26)+(IU84*0.54)+(AU84*0.4)</f>
        <v/>
      </c>
      <c r="O84" s="33">
        <f>PERCENTRANK(N$2:INDEX($N:$N,LOOKUP(2,1/(ISNUMBER($A$2:$A$1048576)),ROW($A$2:$A$1048576))),N84)</f>
        <v/>
      </c>
      <c r="P84" s="10">
        <f>sum(BG84*0.51)+(CD84*0.51)+(DR84*0.11)+(EF84*0.42)+(EK84*0.44)+(W84*0.6)</f>
        <v/>
      </c>
      <c r="Q84" s="33">
        <f>PERCENTRANK(P$2:INDEX($P:$P,LOOKUP(2,1/(ISNUMBER($A$2:$A$1048576)),ROW($A$2:$A$1048576))),P84)</f>
        <v/>
      </c>
      <c r="R84" s="10">
        <f>sum(Y84-FE84)</f>
        <v/>
      </c>
      <c r="S84" s="33">
        <f>PERCENTRANK(R$2:INDEX($R:$R,LOOKUP(2,1/(ISNUMBER($A$2:$A$1048576)),ROW($A$2:$A$1048576))),R84)</f>
        <v/>
      </c>
      <c r="T84" s="34">
        <f>sum(R84-R$106)/R$107</f>
        <v/>
      </c>
      <c r="U84" s="35">
        <f>sum(Y84/AI84)*100</f>
        <v/>
      </c>
      <c r="V84" s="33">
        <f>PERCENTRANK(U$2:INDEX($U:$U,LOOKUP(2,1/(ISNUMBER($A$2:$A$1048576)),ROW($A$2:$A$1048576))),U84)</f>
        <v/>
      </c>
      <c r="W84" s="36">
        <f>sum(U84-U$106)/U$107</f>
        <v/>
      </c>
      <c r="X84" s="9" t="n">
        <v>1.41</v>
      </c>
      <c r="Y84" s="9" t="n">
        <v>1.32</v>
      </c>
      <c r="Z84" s="33">
        <f>PERCENTRANK(Y$2:INDEX($Y:$Y,LOOKUP(2,1/(ISNUMBER($A$2:$A$1048576)),ROW($A$2:$A$1048576))),Y84)</f>
        <v/>
      </c>
      <c r="AA84" s="37">
        <f>sum(Y84-Y$106)/Y$107</f>
        <v/>
      </c>
      <c r="AB84" s="9" t="n">
        <v>11.85</v>
      </c>
      <c r="AC84" s="33">
        <f>PERCENTRANK(AB$2:INDEX($AB:$AB,LOOKUP(2,1/(ISNUMBER($A$2:$A$1048576)),ROW($A$2:$A$1048576))),AB84)</f>
        <v/>
      </c>
      <c r="AD84" s="38">
        <f>sum(AB84-AB$106)/AB$107</f>
        <v/>
      </c>
      <c r="AE84" s="9" t="n">
        <v>4.26</v>
      </c>
      <c r="AF84" s="33">
        <f>PERCENTRANK(AE$2:INDEX($AE:$AE,LOOKUP(2,1/(ISNUMBER($A$2:$A$1048576)),ROW($A$2:$A$1048576))),AE84)</f>
        <v/>
      </c>
      <c r="AG84" s="38">
        <f>sum(AE84-AE$106)/AE$107</f>
        <v/>
      </c>
      <c r="AH84" s="9" t="n">
        <v>35.98</v>
      </c>
      <c r="AI84" s="9" t="n">
        <v>412.94</v>
      </c>
      <c r="AJ84" s="9" t="n">
        <v>338.29</v>
      </c>
      <c r="AK84" s="9" t="n">
        <v>81.92</v>
      </c>
      <c r="AL84" s="9" t="n">
        <v>49.49</v>
      </c>
      <c r="AM84" s="9" t="n">
        <v>108.29</v>
      </c>
      <c r="AN84" s="9" t="n">
        <v>21.94</v>
      </c>
      <c r="AO84" s="9" t="n">
        <v>42.09</v>
      </c>
      <c r="AP84" s="9" t="n">
        <v>44.26</v>
      </c>
      <c r="AQ84" s="9" t="n">
        <v>84.18000000000001</v>
      </c>
      <c r="AR84" s="9" t="n">
        <v>41.65</v>
      </c>
      <c r="AS84" s="9" t="n">
        <v>33</v>
      </c>
      <c r="AT84" s="33">
        <f>PERCENTRANK(AS$2:INDEX($AS:$AS,LOOKUP(2,1/(ISNUMBER($A$2:$A$1048576)),ROW($A$2:$A$1048576))),AS84)</f>
        <v/>
      </c>
      <c r="AU84" s="39">
        <f>SUM(AS84-AS$106)/AS$107</f>
        <v/>
      </c>
      <c r="AV84" s="9" t="n">
        <v>9.529999999999999</v>
      </c>
      <c r="AW84" s="33">
        <f>PERCENTRANK(AV$2:INDEX($AV:$AV,LOOKUP(2,1/(ISNUMBER($A$2:$A$1048576)),ROW($A$2:$A$1048576))),AV84)</f>
        <v/>
      </c>
      <c r="AX84" s="9" t="n">
        <v>196.59</v>
      </c>
      <c r="AY84" s="9" t="n">
        <v>95.59</v>
      </c>
      <c r="AZ84" s="9" t="n">
        <v>48.62</v>
      </c>
      <c r="BA84" s="9" t="n">
        <v>5.06</v>
      </c>
      <c r="BB84" s="9" t="n">
        <v>1.26</v>
      </c>
      <c r="BC84" s="9" t="n">
        <v>25</v>
      </c>
      <c r="BD84" s="9" t="n">
        <v>24.35</v>
      </c>
      <c r="BE84" s="9" t="n">
        <v>6.56</v>
      </c>
      <c r="BF84" s="33">
        <f>PERCENTRANK(BE$2:INDEX($BE:$BE,LOOKUP(2,1/(ISNUMBER($A$2:$A$1048576)),ROW($A$2:$A$1048576))),BE84)</f>
        <v/>
      </c>
      <c r="BG84" s="40">
        <f>sum(BE84-BE$106)/BE$107</f>
        <v/>
      </c>
      <c r="BH84" s="9" t="n">
        <v>26.93</v>
      </c>
      <c r="BI84" s="9" t="n">
        <v>1.65</v>
      </c>
      <c r="BJ84" s="9" t="n">
        <v>0.82</v>
      </c>
      <c r="BK84" s="9" t="n">
        <v>50</v>
      </c>
      <c r="BL84" s="9" t="n">
        <v>26.94</v>
      </c>
      <c r="BM84" s="9" t="n">
        <v>3.74</v>
      </c>
      <c r="BN84" s="9" t="n">
        <v>13.86</v>
      </c>
      <c r="BO84" s="9" t="n">
        <v>3.29</v>
      </c>
      <c r="BP84" s="9" t="n">
        <v>1.47</v>
      </c>
      <c r="BQ84" s="9" t="n">
        <v>44.64</v>
      </c>
      <c r="BR84" s="9" t="n">
        <v>2.71</v>
      </c>
      <c r="BS84" s="9" t="n">
        <v>0.53</v>
      </c>
      <c r="BT84" s="9" t="n">
        <v>19.57</v>
      </c>
      <c r="BU84" s="9" t="n">
        <v>0.12</v>
      </c>
      <c r="BV84" s="9" t="n">
        <v>0.09</v>
      </c>
      <c r="BW84" s="9" t="n">
        <v>75</v>
      </c>
      <c r="BX84" s="9" t="n">
        <v>12.62</v>
      </c>
      <c r="BY84" s="9" t="n">
        <v>4.03</v>
      </c>
      <c r="BZ84" s="9" t="n">
        <v>31.93</v>
      </c>
      <c r="CA84" s="9" t="n">
        <v>4.09</v>
      </c>
      <c r="CB84" s="9" t="n">
        <v>6.79</v>
      </c>
      <c r="CC84" s="33">
        <f>PERCENTRANK(CD$2:INDEX($CD:$CD,LOOKUP(2,1/(ISNUMBER($A$2:$A$1048576)),ROW($A$2:$A$1048576))),CD84)</f>
        <v/>
      </c>
      <c r="CD84" s="40">
        <f>sum(CB84-CB$106)/CB$107</f>
        <v/>
      </c>
      <c r="CE84" s="9" t="n">
        <v>22.06</v>
      </c>
      <c r="CF84" s="33">
        <f>PERCENTRANK(CE$2:INDEX($CE:$CE,LOOKUP(2,1/(ISNUMBER($A$2:$A$1048576)),ROW($A$2:$A$1048576))),CE84)</f>
        <v/>
      </c>
      <c r="CG84" s="38">
        <f>sum(CE84-CE$106)/CE$107</f>
        <v/>
      </c>
      <c r="CH84" s="9" t="n">
        <v>3.03</v>
      </c>
      <c r="CI84" s="9" t="n">
        <v>8</v>
      </c>
      <c r="CJ84" s="9" t="n">
        <v>15.24</v>
      </c>
      <c r="CK84" s="33">
        <f>PERCENTRANK(CJ$2:INDEX($CJ:$CJ,LOOKUP(2,1/(ISNUMBER($A$2:$A$1048576)),ROW($A$2:$A$1048576))),CJ84)</f>
        <v/>
      </c>
      <c r="CL84" s="38">
        <f>sum(CJ84-CJ$106)/CJ$107</f>
        <v/>
      </c>
      <c r="CM84" s="9" t="n">
        <v>60.85</v>
      </c>
      <c r="CN84" s="9" t="n">
        <v>24.65</v>
      </c>
      <c r="CO84" s="9" t="n">
        <v>40.5</v>
      </c>
      <c r="CP84" s="9" t="n">
        <v>2.06</v>
      </c>
      <c r="CQ84" s="9" t="n">
        <v>1.71</v>
      </c>
      <c r="CR84" s="9" t="n">
        <v>13.12</v>
      </c>
      <c r="CS84" s="33">
        <f>PERCENTRANK(CR$2:INDEX($CR:$CR,LOOKUP(2,1/(ISNUMBER($A$2:$A$1048576)),ROW($A$2:$A$1048576))),CR84)</f>
        <v/>
      </c>
      <c r="CT84" s="39">
        <f>1-(CR84-CR$106)/CR$107</f>
        <v/>
      </c>
      <c r="CU84" s="9" t="n">
        <v>5.5</v>
      </c>
      <c r="CV84" s="33">
        <f>PERCENTRANK(CU$2:INDEX($CU:$CU,LOOKUP(2,1/(ISNUMBER($A$2:$A$1048576)),ROW($A$2:$A$1048576))),CU84)</f>
        <v/>
      </c>
      <c r="CW84" s="39">
        <f>1-(CU84-CU$106)/CU$107</f>
        <v/>
      </c>
      <c r="CX84" s="9" t="n">
        <v>41.93</v>
      </c>
      <c r="CY84" s="9" t="n">
        <v>67</v>
      </c>
      <c r="CZ84" s="9" t="n">
        <v>40.21</v>
      </c>
      <c r="DA84" s="9" t="n">
        <v>60.01</v>
      </c>
      <c r="DB84" s="9" t="n">
        <v>37.09</v>
      </c>
      <c r="DC84" s="9" t="n">
        <v>18.06</v>
      </c>
      <c r="DD84" s="9" t="n">
        <v>48.69</v>
      </c>
      <c r="DE84" s="9" t="n">
        <v>4.62</v>
      </c>
      <c r="DF84" s="9" t="n">
        <v>2.29</v>
      </c>
      <c r="DG84" s="9" t="n">
        <v>49.68</v>
      </c>
      <c r="DH84" s="9" t="n">
        <v>41.62</v>
      </c>
      <c r="DI84" s="33">
        <f>PERCENTRANK(DH$2:INDEX($DH:$DH,LOOKUP(2,1/(ISNUMBER($A$2:$A$1048576)),ROW($A$2:$A$1048576))),DH84)</f>
        <v/>
      </c>
      <c r="DJ84" s="39">
        <f>SUM(DH84-DH$106)/DH$107</f>
        <v/>
      </c>
      <c r="DK84" s="9" t="n">
        <v>17.29</v>
      </c>
      <c r="DL84" s="9" t="n">
        <v>12.71</v>
      </c>
      <c r="DM84" s="9" t="n">
        <v>2.41</v>
      </c>
      <c r="DN84" s="9" t="n">
        <v>0.15</v>
      </c>
      <c r="DO84" s="9" t="n">
        <v>140.62</v>
      </c>
      <c r="DP84" s="9" t="n">
        <v>99.41</v>
      </c>
      <c r="DQ84" s="33">
        <f>PERCENTRANK(DP$2:INDEX($DP:$DP,LOOKUP(2,1/(ISNUMBER($A$2:$A$1048576)),ROW($A$2:$A$1048576))),DP84)</f>
        <v/>
      </c>
      <c r="DR84" s="40">
        <f>sum(DP84-DP$106)/DP$107</f>
        <v/>
      </c>
      <c r="DS84" s="9" t="n">
        <v>70.7</v>
      </c>
      <c r="DT84" s="9" t="n">
        <v>62.85</v>
      </c>
      <c r="DU84" s="9" t="n">
        <v>58.71</v>
      </c>
      <c r="DV84" s="9" t="n">
        <v>93.40000000000001</v>
      </c>
      <c r="DW84" s="9" t="n">
        <v>154.5</v>
      </c>
      <c r="DX84" s="9" t="n">
        <v>135.62</v>
      </c>
      <c r="DY84" s="9" t="n">
        <v>87.78</v>
      </c>
      <c r="DZ84" s="9" t="n">
        <v>53.38</v>
      </c>
      <c r="EA84" s="9" t="n">
        <v>28.53</v>
      </c>
      <c r="EB84" s="9" t="n">
        <v>53.44</v>
      </c>
      <c r="EC84" s="9" t="n">
        <v>52.53</v>
      </c>
      <c r="ED84" s="9" t="n">
        <v>32.5</v>
      </c>
      <c r="EE84" s="33">
        <f>PERCENTRANK(ED$2:INDEX($ED:$ED,LOOKUP(2,1/(ISNUMBER($A$2:$A$1048576)),ROW($A$2:$A$1048576))),ED84)</f>
        <v/>
      </c>
      <c r="EF84" s="40">
        <f>sum(ED84-ED$106)/ED$107</f>
        <v/>
      </c>
      <c r="EG84" s="9" t="n">
        <v>61.87</v>
      </c>
      <c r="EH84" s="9" t="n">
        <v>74.62</v>
      </c>
      <c r="EI84" s="9" t="n">
        <v>52.24</v>
      </c>
      <c r="EJ84" s="33">
        <f>PERCENTRANK(EI$2:INDEX($EI:$EI,LOOKUP(2,1/(ISNUMBER($A$2:$A$1048576)),ROW($A$2:$A$1048576))),EI84)</f>
        <v/>
      </c>
      <c r="EK84" s="40">
        <f>sum(EI84-EI$106)/EI$107</f>
        <v/>
      </c>
      <c r="EL84" s="9" t="n">
        <v>70</v>
      </c>
      <c r="EM84" s="9" t="n">
        <v>3.35</v>
      </c>
      <c r="EN84" s="9" t="n">
        <v>1.24</v>
      </c>
      <c r="EO84" s="9" t="n">
        <v>36.84</v>
      </c>
      <c r="EP84" s="9" t="n">
        <v>20.09</v>
      </c>
      <c r="EQ84" s="9" t="n">
        <v>17.5</v>
      </c>
      <c r="ER84" s="9" t="n">
        <v>87.12</v>
      </c>
      <c r="ES84" s="9" t="n">
        <v>10.59</v>
      </c>
      <c r="ET84" s="9" t="n">
        <v>16.99</v>
      </c>
      <c r="EU84" s="9" t="n">
        <v>3.85</v>
      </c>
      <c r="EV84" s="9" t="n">
        <v>13.18</v>
      </c>
      <c r="EW84" s="9" t="n">
        <v>18.46</v>
      </c>
      <c r="EX84" s="33">
        <f>PERCENTRANK(EW$2:INDEX($EW:$EW,LOOKUP(2,1/(ISNUMBER($A$2:$A$1048576)),ROW($A$2:$A$1048576))),EW84)</f>
        <v/>
      </c>
      <c r="EY84" s="38">
        <f>1-(EW84-EW$106)/EW$107</f>
        <v/>
      </c>
      <c r="EZ84" s="9" t="n">
        <v>20.5</v>
      </c>
      <c r="FA84" s="9" t="n">
        <v>11.99</v>
      </c>
      <c r="FB84" s="33">
        <f>PERCENTRANK(FA$2:INDEX($FA:$FA,LOOKUP(2,1/(ISNUMBER($A$2:$A$1048576)),ROW($A$2:$A$1048576))),FA84)</f>
        <v/>
      </c>
      <c r="FC84" s="39">
        <f>1-(FA84-FA$106)/FA$107</f>
        <v/>
      </c>
      <c r="FD84" s="9" t="n">
        <v>1.71</v>
      </c>
      <c r="FE84" s="9" t="n">
        <v>1.73</v>
      </c>
      <c r="FF84" s="33">
        <f>PERCENTRANK(FE$2:INDEX($FE:$FE,LOOKUP(2,1/(ISNUMBER($A$2:$A$1048576)),ROW($A$2:$A$1048576))),FE84)</f>
        <v/>
      </c>
      <c r="FG84" s="39">
        <f>1-(FE84-FE$106)/FE$107</f>
        <v/>
      </c>
      <c r="FH84" s="9" t="n">
        <v>13.12</v>
      </c>
      <c r="FI84" s="9" t="n">
        <v>5.15</v>
      </c>
      <c r="FJ84" s="9" t="n">
        <v>39.24</v>
      </c>
      <c r="FK84" s="9" t="n">
        <v>418.91</v>
      </c>
      <c r="FL84" s="33">
        <f>PERCENTRANK(FK$2:INDEX($FK:$FK,LOOKUP(2,1/(ISNUMBER($A$2:$A$1048576)),ROW($A$2:$A$1048576))),FK84)</f>
        <v/>
      </c>
      <c r="FM84" s="39">
        <f>SWA83-(FK84-FK$106)/FK$107</f>
        <v/>
      </c>
      <c r="FN84" s="9" t="n">
        <v>343.53</v>
      </c>
      <c r="FO84" s="9" t="n">
        <v>82.01000000000001</v>
      </c>
      <c r="FP84" s="9" t="n">
        <v>50.51</v>
      </c>
      <c r="FQ84" s="9" t="n">
        <v>106.15</v>
      </c>
      <c r="FR84" s="9" t="n">
        <v>14.68</v>
      </c>
      <c r="FS84" s="9" t="n">
        <v>37.21</v>
      </c>
      <c r="FT84" s="9" t="n">
        <v>54.26</v>
      </c>
      <c r="FU84" s="9" t="n">
        <v>83.65000000000001</v>
      </c>
      <c r="FV84" s="9" t="n">
        <v>35.38</v>
      </c>
      <c r="FW84" s="9" t="n">
        <v>35.21</v>
      </c>
      <c r="FX84" s="9" t="n">
        <v>13.06</v>
      </c>
      <c r="FY84" s="9" t="n">
        <v>196.59</v>
      </c>
      <c r="FZ84" s="9" t="n">
        <v>92.31999999999999</v>
      </c>
      <c r="GA84" s="9" t="n">
        <v>46.96</v>
      </c>
      <c r="GB84" s="9" t="n">
        <v>4.47</v>
      </c>
      <c r="GC84" s="9" t="n">
        <v>1.35</v>
      </c>
      <c r="GD84" s="9" t="n">
        <v>30.26</v>
      </c>
      <c r="GE84" s="9" t="n">
        <v>32.88</v>
      </c>
      <c r="GF84" s="9" t="n">
        <v>7.91</v>
      </c>
      <c r="GG84" s="9" t="n">
        <v>24.06</v>
      </c>
      <c r="GH84" s="9" t="n">
        <v>1.5</v>
      </c>
      <c r="GI84" s="9" t="n">
        <v>0.53</v>
      </c>
      <c r="GJ84" s="9" t="n">
        <v>35.29</v>
      </c>
      <c r="GK84" s="9" t="n">
        <v>26.94</v>
      </c>
      <c r="GL84" s="9" t="n">
        <v>3.85</v>
      </c>
      <c r="GM84" s="9" t="n">
        <v>14.3</v>
      </c>
      <c r="GN84" s="9" t="n">
        <v>5.68</v>
      </c>
      <c r="GO84" s="9" t="n">
        <v>1.76</v>
      </c>
      <c r="GP84" s="9" t="n">
        <v>31.09</v>
      </c>
      <c r="GQ84" s="9" t="n">
        <v>3.03</v>
      </c>
      <c r="GR84" s="9" t="n">
        <v>0.76</v>
      </c>
      <c r="GS84" s="9" t="n">
        <v>25.24</v>
      </c>
      <c r="GT84" s="9" t="n">
        <v>0.21</v>
      </c>
      <c r="GU84" s="9" t="n">
        <v>0.18</v>
      </c>
      <c r="GV84" s="9" t="n">
        <v>85.70999999999999</v>
      </c>
      <c r="GW84" s="9" t="n">
        <v>15.74</v>
      </c>
      <c r="GX84" s="9" t="n">
        <v>5.38</v>
      </c>
      <c r="GY84" s="9" t="n">
        <v>34.21</v>
      </c>
      <c r="GZ84" s="9" t="n">
        <v>5.41</v>
      </c>
      <c r="HA84" s="9" t="n">
        <v>8.529999999999999</v>
      </c>
      <c r="HB84" s="9" t="n">
        <v>26.29</v>
      </c>
      <c r="HC84" s="9" t="n">
        <v>4.59</v>
      </c>
      <c r="HD84" s="9" t="n">
        <v>8.24</v>
      </c>
      <c r="HE84" s="9" t="n">
        <v>21.26</v>
      </c>
      <c r="HF84" s="9" t="n">
        <v>67</v>
      </c>
      <c r="HG84" s="9" t="n">
        <v>26.79</v>
      </c>
      <c r="HH84" s="9" t="n">
        <v>39.99</v>
      </c>
      <c r="HI84" s="9" t="n">
        <v>1.97</v>
      </c>
      <c r="HJ84" s="9" t="n">
        <v>1.41</v>
      </c>
      <c r="HK84" s="9" t="n">
        <v>11.85</v>
      </c>
      <c r="HL84" s="9" t="n">
        <v>4.53</v>
      </c>
      <c r="HM84" s="9" t="n">
        <v>38.21</v>
      </c>
      <c r="HN84" s="9" t="n">
        <v>60.85</v>
      </c>
      <c r="HO84" s="9" t="n">
        <v>36.21</v>
      </c>
      <c r="HP84" s="9" t="n">
        <v>59.5</v>
      </c>
      <c r="HQ84" s="9" t="n">
        <v>37.09</v>
      </c>
      <c r="HR84" s="9" t="n">
        <v>16.47</v>
      </c>
      <c r="HS84" s="9" t="n">
        <v>44.41</v>
      </c>
      <c r="HT84" s="9" t="n">
        <v>3.29</v>
      </c>
      <c r="HU84" s="9" t="n">
        <v>1.47</v>
      </c>
      <c r="HV84" s="9" t="n">
        <v>44.64</v>
      </c>
      <c r="HW84" s="9" t="n">
        <v>40.68</v>
      </c>
      <c r="HX84" s="9" t="n">
        <v>12.26</v>
      </c>
      <c r="HY84" s="9" t="n">
        <v>13.15</v>
      </c>
      <c r="HZ84" s="9" t="n">
        <v>2.03</v>
      </c>
      <c r="IA84" s="9" t="n">
        <v>0.15</v>
      </c>
      <c r="IB84" s="9" t="n">
        <v>148.82</v>
      </c>
      <c r="IC84" s="9" t="n">
        <v>106.24</v>
      </c>
      <c r="ID84" s="9" t="n">
        <v>71.38</v>
      </c>
      <c r="IE84" s="9" t="n">
        <v>61.06</v>
      </c>
      <c r="IF84" s="9" t="n">
        <v>56.68</v>
      </c>
      <c r="IG84" s="9" t="n">
        <v>92.81999999999999</v>
      </c>
      <c r="IH84" s="9" t="n">
        <v>153</v>
      </c>
      <c r="II84" s="9" t="n">
        <v>135.38</v>
      </c>
      <c r="IJ84" s="9" t="n">
        <v>88.48999999999999</v>
      </c>
      <c r="IK84" s="9" t="n">
        <v>48.74</v>
      </c>
      <c r="IL84" s="9" t="n">
        <v>24.47</v>
      </c>
      <c r="IM84" s="9" t="n">
        <v>50.21</v>
      </c>
      <c r="IN84" s="9" t="n">
        <v>57.35</v>
      </c>
      <c r="IO84" s="9" t="n">
        <v>36.32</v>
      </c>
      <c r="IP84" s="9" t="n">
        <v>63.33</v>
      </c>
      <c r="IQ84" s="9" t="n">
        <v>73.15000000000001</v>
      </c>
      <c r="IR84" s="9" t="n">
        <v>55.5</v>
      </c>
      <c r="IS84" s="9" t="n">
        <v>75.87</v>
      </c>
      <c r="IT84" s="33">
        <f>PERCENTRANK(IS$2:INDEX($IS:$IS,LOOKUP(2,1/(ISNUMBER($A$2:$A$1048576)),ROW($A$2:$A$1048576))),IS84)</f>
        <v/>
      </c>
      <c r="IU84" s="39">
        <f>1-(IS84-IS$106)/IS$107</f>
        <v/>
      </c>
      <c r="IV84" s="9" t="n">
        <v>4.59</v>
      </c>
      <c r="IW84" s="9" t="n">
        <v>1.91</v>
      </c>
      <c r="IX84" s="9" t="n">
        <v>41.67</v>
      </c>
      <c r="IY84" s="9" t="n">
        <v>22.29</v>
      </c>
      <c r="IZ84" s="9" t="n">
        <v>19.79</v>
      </c>
      <c r="JA84" s="9" t="n">
        <v>88.79000000000001</v>
      </c>
      <c r="JB84" s="9" t="n">
        <v>8.56</v>
      </c>
      <c r="JC84" s="9" t="n">
        <v>16.8</v>
      </c>
      <c r="JD84" s="9" t="n">
        <v>3.86</v>
      </c>
      <c r="JE84" s="9" t="n">
        <v>12.35</v>
      </c>
      <c r="JF84" s="9" t="n">
        <v>16.9</v>
      </c>
      <c r="JG84" s="9" t="n">
        <v>20.65</v>
      </c>
      <c r="JH84" s="9" t="n">
        <v>10.9</v>
      </c>
    </row>
    <row r="85">
      <c r="A85" s="12" t="n">
        <v>2024</v>
      </c>
      <c r="B85" s="31" t="inlineStr">
        <is>
          <t>Detroit City</t>
        </is>
      </c>
      <c r="C85" s="12" t="n">
        <v>56</v>
      </c>
      <c r="D85" s="5">
        <f>(C85-AVERAGE($C$2:INDEX($C:$C,LOOKUP(2,1/(ISNUMBER($A$2:$A$1048576)),ROW($A$2:$A$1048576)))))/_xlfn.STDEV.P($C$2:INDEX($C:$C,LOOKUP(2,1/(ISNUMBER($A$2:$A$1048576)),ROW($A$2:$A$1048576))))</f>
        <v/>
      </c>
      <c r="E85" s="12" t="n">
        <v>3</v>
      </c>
      <c r="F85" s="6">
        <f>-E85</f>
        <v/>
      </c>
      <c r="G85" s="7">
        <f>(F85-AVERAGE($F$2:INDEX($F:$F,LOOKUP(2,1/(ISNUMBER($A$2:$A$1048576)),ROW($A$2:$A$1048576)))))/_xlfn.STDEV.P($F$2:INDEX($F:$F,LOOKUP(2,1/(ISNUMBER($A$2:$A$1048576)),ROW($A$2:$A$1048576))))</f>
        <v/>
      </c>
      <c r="H85" s="32">
        <f>sum(0.5*D85)+(0.5*G85)</f>
        <v/>
      </c>
      <c r="I85" s="12" t="inlineStr">
        <is>
          <t>East</t>
        </is>
      </c>
      <c r="J85" s="10">
        <f>sum(L85*L$105)+(N85*N$105)+(P85*P$105)+(T85*R$105)</f>
        <v/>
      </c>
      <c r="K85" s="33">
        <f>PERCENTRANK(J$2:INDEX($J:$J,LOOKUP(2,1/(ISNUMBER($A$2:$A$1048576)),ROW($A$2:$A$1048576))),J85)</f>
        <v/>
      </c>
      <c r="L85" s="10">
        <f>sum(AA85*0.66)+(AD85*0.55)+(AG85*0.59)+(CG85*0.51)+(CL85*0.6)+(EY85*0.31)</f>
        <v/>
      </c>
      <c r="M85" s="33">
        <f>PERCENTRANK(L$2:INDEX($L:$L,LOOKUP(2,1/(ISNUMBER($A$2:$A$1048576)),ROW($A$2:$A$1048576))),L85)</f>
        <v/>
      </c>
      <c r="N85" s="10">
        <f>sum(CT85*0.57)+(CW85*0.71)+(DJ85*0.08)+(FC85*0.33)+(FG85*0.69)+(FM85*0.26)+(IU85*0.54)+(AU85*0.4)</f>
        <v/>
      </c>
      <c r="O85" s="33">
        <f>PERCENTRANK(N$2:INDEX($N:$N,LOOKUP(2,1/(ISNUMBER($A$2:$A$1048576)),ROW($A$2:$A$1048576))),N85)</f>
        <v/>
      </c>
      <c r="P85" s="10">
        <f>sum(BG85*0.51)+(CD85*0.51)+(DR85*0.11)+(EF85*0.42)+(EK85*0.44)+(W85*0.6)</f>
        <v/>
      </c>
      <c r="Q85" s="33">
        <f>PERCENTRANK(P$2:INDEX($P:$P,LOOKUP(2,1/(ISNUMBER($A$2:$A$1048576)),ROW($A$2:$A$1048576))),P85)</f>
        <v/>
      </c>
      <c r="R85" s="10">
        <f>sum(Y85-FE85)</f>
        <v/>
      </c>
      <c r="S85" s="33">
        <f>PERCENTRANK(R$2:INDEX($R:$R,LOOKUP(2,1/(ISNUMBER($A$2:$A$1048576)),ROW($A$2:$A$1048576))),R85)</f>
        <v/>
      </c>
      <c r="T85" s="34">
        <f>sum(R85-R$106)/R$107</f>
        <v/>
      </c>
      <c r="U85" s="35">
        <f>sum(Y85/AI85)*100</f>
        <v/>
      </c>
      <c r="V85" s="33">
        <f>PERCENTRANK(U$2:INDEX($U:$U,LOOKUP(2,1/(ISNUMBER($A$2:$A$1048576)),ROW($A$2:$A$1048576))),U85)</f>
        <v/>
      </c>
      <c r="W85" s="36">
        <f>sum(U85-U$106)/U$107</f>
        <v/>
      </c>
      <c r="X85" s="9" t="n">
        <v>1.34</v>
      </c>
      <c r="Y85" s="9" t="n">
        <v>1.25</v>
      </c>
      <c r="Z85" s="33">
        <f>PERCENTRANK(Y$2:INDEX($Y:$Y,LOOKUP(2,1/(ISNUMBER($A$2:$A$1048576)),ROW($A$2:$A$1048576))),Y85)</f>
        <v/>
      </c>
      <c r="AA85" s="37">
        <f>sum(Y85-Y$106)/Y$107</f>
        <v/>
      </c>
      <c r="AB85" s="9" t="n">
        <v>10.23</v>
      </c>
      <c r="AC85" s="33">
        <f>PERCENTRANK(AB$2:INDEX($AB:$AB,LOOKUP(2,1/(ISNUMBER($A$2:$A$1048576)),ROW($A$2:$A$1048576))),AB85)</f>
        <v/>
      </c>
      <c r="AD85" s="38">
        <f>sum(AB85-AB$106)/AB$107</f>
        <v/>
      </c>
      <c r="AE85" s="9" t="n">
        <v>3.86</v>
      </c>
      <c r="AF85" s="33">
        <f>PERCENTRANK(AE$2:INDEX($AE:$AE,LOOKUP(2,1/(ISNUMBER($A$2:$A$1048576)),ROW($A$2:$A$1048576))),AE85)</f>
        <v/>
      </c>
      <c r="AG85" s="38">
        <f>sum(AE85-AE$106)/AE$107</f>
        <v/>
      </c>
      <c r="AH85" s="9" t="n">
        <v>37.71</v>
      </c>
      <c r="AI85" s="9" t="n">
        <v>399.89</v>
      </c>
      <c r="AJ85" s="9" t="n">
        <v>327.23</v>
      </c>
      <c r="AK85" s="9" t="n">
        <v>81.83</v>
      </c>
      <c r="AL85" s="9" t="n">
        <v>51.44</v>
      </c>
      <c r="AM85" s="9" t="n">
        <v>108.03</v>
      </c>
      <c r="AN85" s="9" t="n">
        <v>23.03</v>
      </c>
      <c r="AO85" s="9" t="n">
        <v>42.83</v>
      </c>
      <c r="AP85" s="9" t="n">
        <v>42.17</v>
      </c>
      <c r="AQ85" s="9" t="n">
        <v>80.94</v>
      </c>
      <c r="AR85" s="9" t="n">
        <v>40.51</v>
      </c>
      <c r="AS85" s="9" t="n">
        <v>30.91</v>
      </c>
      <c r="AT85" s="33">
        <f>PERCENTRANK(AS$2:INDEX($AS:$AS,LOOKUP(2,1/(ISNUMBER($A$2:$A$1048576)),ROW($A$2:$A$1048576))),AS85)</f>
        <v/>
      </c>
      <c r="AU85" s="39">
        <f>SUM(AS85-AS$106)/AS$107</f>
        <v/>
      </c>
      <c r="AV85" s="9" t="n">
        <v>9.51</v>
      </c>
      <c r="AW85" s="33">
        <f>PERCENTRANK(AV$2:INDEX($AV:$AV,LOOKUP(2,1/(ISNUMBER($A$2:$A$1048576)),ROW($A$2:$A$1048576))),AV85)</f>
        <v/>
      </c>
      <c r="AX85" s="9" t="n">
        <v>206.31</v>
      </c>
      <c r="AY85" s="9" t="n">
        <v>101.6</v>
      </c>
      <c r="AZ85" s="9" t="n">
        <v>49.25</v>
      </c>
      <c r="BA85" s="9" t="n">
        <v>4.09</v>
      </c>
      <c r="BB85" s="9" t="n">
        <v>1.17</v>
      </c>
      <c r="BC85" s="9" t="n">
        <v>28.67</v>
      </c>
      <c r="BD85" s="9" t="n">
        <v>25.14</v>
      </c>
      <c r="BE85" s="9" t="n">
        <v>6.14</v>
      </c>
      <c r="BF85" s="33">
        <f>PERCENTRANK(BE$2:INDEX($BE:$BE,LOOKUP(2,1/(ISNUMBER($A$2:$A$1048576)),ROW($A$2:$A$1048576))),BE85)</f>
        <v/>
      </c>
      <c r="BG85" s="40">
        <f>sum(BE85-BE$106)/BE$107</f>
        <v/>
      </c>
      <c r="BH85" s="9" t="n">
        <v>24.43</v>
      </c>
      <c r="BI85" s="9" t="n">
        <v>0.71</v>
      </c>
      <c r="BJ85" s="9" t="n">
        <v>0.31</v>
      </c>
      <c r="BK85" s="9" t="n">
        <v>44</v>
      </c>
      <c r="BL85" s="9" t="n">
        <v>26.54</v>
      </c>
      <c r="BM85" s="9" t="n">
        <v>3.2</v>
      </c>
      <c r="BN85" s="9" t="n">
        <v>12.06</v>
      </c>
      <c r="BO85" s="9" t="n">
        <v>3.63</v>
      </c>
      <c r="BP85" s="9" t="n">
        <v>1.14</v>
      </c>
      <c r="BQ85" s="9" t="n">
        <v>31.5</v>
      </c>
      <c r="BR85" s="9" t="n">
        <v>2.57</v>
      </c>
      <c r="BS85" s="9" t="n">
        <v>0.51</v>
      </c>
      <c r="BT85" s="9" t="n">
        <v>20</v>
      </c>
      <c r="BU85" s="9" t="n">
        <v>0.14</v>
      </c>
      <c r="BV85" s="9" t="n">
        <v>0.14</v>
      </c>
      <c r="BW85" s="9" t="n">
        <v>100</v>
      </c>
      <c r="BX85" s="9" t="n">
        <v>11.89</v>
      </c>
      <c r="BY85" s="9" t="n">
        <v>3.77</v>
      </c>
      <c r="BZ85" s="9" t="n">
        <v>31.73</v>
      </c>
      <c r="CA85" s="9" t="n">
        <v>3.69</v>
      </c>
      <c r="CB85" s="9" t="n">
        <v>5.4</v>
      </c>
      <c r="CC85" s="33">
        <f>PERCENTRANK(CD$2:INDEX($CD:$CD,LOOKUP(2,1/(ISNUMBER($A$2:$A$1048576)),ROW($A$2:$A$1048576))),CD85)</f>
        <v/>
      </c>
      <c r="CD85" s="40">
        <f>sum(CB85-CB$106)/CB$107</f>
        <v/>
      </c>
      <c r="CE85" s="9" t="n">
        <v>20.23</v>
      </c>
      <c r="CF85" s="33">
        <f>PERCENTRANK(CE$2:INDEX($CE:$CE,LOOKUP(2,1/(ISNUMBER($A$2:$A$1048576)),ROW($A$2:$A$1048576))),CE85)</f>
        <v/>
      </c>
      <c r="CG85" s="38">
        <f>sum(CE85-CE$106)/CE$107</f>
        <v/>
      </c>
      <c r="CH85" s="9" t="n">
        <v>3.26</v>
      </c>
      <c r="CI85" s="9" t="n">
        <v>8.109999999999999</v>
      </c>
      <c r="CJ85" s="9" t="n">
        <v>13.17</v>
      </c>
      <c r="CK85" s="33">
        <f>PERCENTRANK(CJ$2:INDEX($CJ:$CJ,LOOKUP(2,1/(ISNUMBER($A$2:$A$1048576)),ROW($A$2:$A$1048576))),CJ85)</f>
        <v/>
      </c>
      <c r="CL85" s="38">
        <f>sum(CJ85-CJ$106)/CJ$107</f>
        <v/>
      </c>
      <c r="CM85" s="9" t="n">
        <v>65.91</v>
      </c>
      <c r="CN85" s="9" t="n">
        <v>24.6</v>
      </c>
      <c r="CO85" s="9" t="n">
        <v>37.32</v>
      </c>
      <c r="CP85" s="9" t="n">
        <v>1.14</v>
      </c>
      <c r="CQ85" s="9" t="n">
        <v>0.9399999999999999</v>
      </c>
      <c r="CR85" s="9" t="n">
        <v>10.29</v>
      </c>
      <c r="CS85" s="33">
        <f>PERCENTRANK(CR$2:INDEX($CR:$CR,LOOKUP(2,1/(ISNUMBER($A$2:$A$1048576)),ROW($A$2:$A$1048576))),CR85)</f>
        <v/>
      </c>
      <c r="CT85" s="39">
        <f>1-(CR85-CR$106)/CR$107</f>
        <v/>
      </c>
      <c r="CU85" s="9" t="n">
        <v>3.34</v>
      </c>
      <c r="CV85" s="33">
        <f>PERCENTRANK(CU$2:INDEX($CU:$CU,LOOKUP(2,1/(ISNUMBER($A$2:$A$1048576)),ROW($A$2:$A$1048576))),CU85)</f>
        <v/>
      </c>
      <c r="CW85" s="39">
        <f>1-(CU85-CU$106)/CU$107</f>
        <v/>
      </c>
      <c r="CX85" s="9" t="n">
        <v>32.5</v>
      </c>
      <c r="CY85" s="9" t="n">
        <v>69.97</v>
      </c>
      <c r="CZ85" s="9" t="n">
        <v>45.37</v>
      </c>
      <c r="DA85" s="9" t="n">
        <v>64.84</v>
      </c>
      <c r="DB85" s="9" t="n">
        <v>40.37</v>
      </c>
      <c r="DC85" s="9" t="n">
        <v>19.37</v>
      </c>
      <c r="DD85" s="9" t="n">
        <v>47.98</v>
      </c>
      <c r="DE85" s="9" t="n">
        <v>2.89</v>
      </c>
      <c r="DF85" s="9" t="n">
        <v>1.46</v>
      </c>
      <c r="DG85" s="9" t="n">
        <v>50.5</v>
      </c>
      <c r="DH85" s="9" t="n">
        <v>38.86</v>
      </c>
      <c r="DI85" s="33">
        <f>PERCENTRANK(DH$2:INDEX($DH:$DH,LOOKUP(2,1/(ISNUMBER($A$2:$A$1048576)),ROW($A$2:$A$1048576))),DH85)</f>
        <v/>
      </c>
      <c r="DJ85" s="39">
        <f>SUM(DH85-DH$106)/DH$107</f>
        <v/>
      </c>
      <c r="DK85" s="9" t="n">
        <v>15.69</v>
      </c>
      <c r="DL85" s="9" t="n">
        <v>13.06</v>
      </c>
      <c r="DM85" s="9" t="n">
        <v>2.11</v>
      </c>
      <c r="DN85" s="9" t="n">
        <v>0.11</v>
      </c>
      <c r="DO85" s="9" t="n">
        <v>138.23</v>
      </c>
      <c r="DP85" s="9" t="n">
        <v>97.77</v>
      </c>
      <c r="DQ85" s="33">
        <f>PERCENTRANK(DP$2:INDEX($DP:$DP,LOOKUP(2,1/(ISNUMBER($A$2:$A$1048576)),ROW($A$2:$A$1048576))),DP85)</f>
        <v/>
      </c>
      <c r="DR85" s="40">
        <f>sum(DP85-DP$106)/DP$107</f>
        <v/>
      </c>
      <c r="DS85" s="9" t="n">
        <v>70.73</v>
      </c>
      <c r="DT85" s="9" t="n">
        <v>65.59999999999999</v>
      </c>
      <c r="DU85" s="9" t="n">
        <v>61.11</v>
      </c>
      <c r="DV85" s="9" t="n">
        <v>93.16</v>
      </c>
      <c r="DW85" s="9" t="n">
        <v>142.97</v>
      </c>
      <c r="DX85" s="9" t="n">
        <v>125.2</v>
      </c>
      <c r="DY85" s="9" t="n">
        <v>87.56999999999999</v>
      </c>
      <c r="DZ85" s="9" t="n">
        <v>49.2</v>
      </c>
      <c r="EA85" s="9" t="n">
        <v>26.74</v>
      </c>
      <c r="EB85" s="9" t="n">
        <v>54.36</v>
      </c>
      <c r="EC85" s="9" t="n">
        <v>47.29</v>
      </c>
      <c r="ED85" s="9" t="n">
        <v>30.8</v>
      </c>
      <c r="EE85" s="33">
        <f>PERCENTRANK(ED$2:INDEX($ED:$ED,LOOKUP(2,1/(ISNUMBER($A$2:$A$1048576)),ROW($A$2:$A$1048576))),ED85)</f>
        <v/>
      </c>
      <c r="EF85" s="40">
        <f>sum(ED85-ED$106)/ED$107</f>
        <v/>
      </c>
      <c r="EG85" s="9" t="n">
        <v>65.14</v>
      </c>
      <c r="EH85" s="9" t="n">
        <v>70.48999999999999</v>
      </c>
      <c r="EI85" s="9" t="n">
        <v>47.26</v>
      </c>
      <c r="EJ85" s="33">
        <f>PERCENTRANK(EI$2:INDEX($EI:$EI,LOOKUP(2,1/(ISNUMBER($A$2:$A$1048576)),ROW($A$2:$A$1048576))),EI85)</f>
        <v/>
      </c>
      <c r="EK85" s="40">
        <f>sum(EI85-EI$106)/EI$107</f>
        <v/>
      </c>
      <c r="EL85" s="9" t="n">
        <v>67.04000000000001</v>
      </c>
      <c r="EM85" s="9" t="n">
        <v>0.89</v>
      </c>
      <c r="EN85" s="9" t="n">
        <v>0.31</v>
      </c>
      <c r="EO85" s="9" t="n">
        <v>35.48</v>
      </c>
      <c r="EP85" s="9" t="n">
        <v>21.03</v>
      </c>
      <c r="EQ85" s="9" t="n">
        <v>19.54</v>
      </c>
      <c r="ER85" s="9" t="n">
        <v>92.93000000000001</v>
      </c>
      <c r="ES85" s="9" t="n">
        <v>7.8</v>
      </c>
      <c r="ET85" s="9" t="n">
        <v>15.43</v>
      </c>
      <c r="EU85" s="9" t="n">
        <v>3.9</v>
      </c>
      <c r="EV85" s="9" t="n">
        <v>12.73</v>
      </c>
      <c r="EW85" s="9" t="n">
        <v>18.36</v>
      </c>
      <c r="EX85" s="33">
        <f>PERCENTRANK(EW$2:INDEX($EW:$EW,LOOKUP(2,1/(ISNUMBER($A$2:$A$1048576)),ROW($A$2:$A$1048576))),EW85)</f>
        <v/>
      </c>
      <c r="EY85" s="38">
        <f>1-(EW85-EW$106)/EW$107</f>
        <v/>
      </c>
      <c r="EZ85" s="9" t="n">
        <v>20.06</v>
      </c>
      <c r="FA85" s="9" t="n">
        <v>10.99</v>
      </c>
      <c r="FB85" s="33">
        <f>PERCENTRANK(FA$2:INDEX($FA:$FA,LOOKUP(2,1/(ISNUMBER($A$2:$A$1048576)),ROW($A$2:$A$1048576))),FA85)</f>
        <v/>
      </c>
      <c r="FC85" s="39">
        <f>1-(FA85-FA$106)/FA$107</f>
        <v/>
      </c>
      <c r="FD85" s="9" t="n">
        <v>0.9399999999999999</v>
      </c>
      <c r="FE85" s="9" t="n">
        <v>1.2</v>
      </c>
      <c r="FF85" s="33">
        <f>PERCENTRANK(FE$2:INDEX($FE:$FE,LOOKUP(2,1/(ISNUMBER($A$2:$A$1048576)),ROW($A$2:$A$1048576))),FE85)</f>
        <v/>
      </c>
      <c r="FG85" s="39">
        <f>1-(FE85-FE$106)/FE$107</f>
        <v/>
      </c>
      <c r="FH85" s="9" t="n">
        <v>10.29</v>
      </c>
      <c r="FI85" s="9" t="n">
        <v>3.23</v>
      </c>
      <c r="FJ85" s="9" t="n">
        <v>31.39</v>
      </c>
      <c r="FK85" s="9" t="n">
        <v>390.54</v>
      </c>
      <c r="FL85" s="33">
        <f>PERCENTRANK(FK$2:INDEX($FK:$FK,LOOKUP(2,1/(ISNUMBER($A$2:$A$1048576)),ROW($A$2:$A$1048576))),FK85)</f>
        <v/>
      </c>
      <c r="FM85" s="39">
        <f>SWA84-(FK85-FK$106)/FK$107</f>
        <v/>
      </c>
      <c r="FN85" s="9" t="n">
        <v>318</v>
      </c>
      <c r="FO85" s="9" t="n">
        <v>81.43000000000001</v>
      </c>
      <c r="FP85" s="9" t="n">
        <v>48.56</v>
      </c>
      <c r="FQ85" s="9" t="n">
        <v>108.74</v>
      </c>
      <c r="FR85" s="9" t="n">
        <v>16.89</v>
      </c>
      <c r="FS85" s="9" t="n">
        <v>37.29</v>
      </c>
      <c r="FT85" s="9" t="n">
        <v>54.57</v>
      </c>
      <c r="FU85" s="9" t="n">
        <v>81.86</v>
      </c>
      <c r="FV85" s="9" t="n">
        <v>32.34</v>
      </c>
      <c r="FW85" s="9" t="n">
        <v>35.57</v>
      </c>
      <c r="FX85" s="9" t="n">
        <v>13.94</v>
      </c>
      <c r="FY85" s="9" t="n">
        <v>206.31</v>
      </c>
      <c r="FZ85" s="9" t="n">
        <v>95.70999999999999</v>
      </c>
      <c r="GA85" s="9" t="n">
        <v>46.39</v>
      </c>
      <c r="GB85" s="9" t="n">
        <v>4.29</v>
      </c>
      <c r="GC85" s="9" t="n">
        <v>0.89</v>
      </c>
      <c r="GD85" s="9" t="n">
        <v>20.67</v>
      </c>
      <c r="GE85" s="9" t="n">
        <v>28.83</v>
      </c>
      <c r="GF85" s="9" t="n">
        <v>6.03</v>
      </c>
      <c r="GG85" s="9" t="n">
        <v>20.91</v>
      </c>
      <c r="GH85" s="9" t="n">
        <v>0.83</v>
      </c>
      <c r="GI85" s="9" t="n">
        <v>0.54</v>
      </c>
      <c r="GJ85" s="9" t="n">
        <v>65.52</v>
      </c>
      <c r="GK85" s="9" t="n">
        <v>25.09</v>
      </c>
      <c r="GL85" s="9" t="n">
        <v>3.31</v>
      </c>
      <c r="GM85" s="9" t="n">
        <v>13.21</v>
      </c>
      <c r="GN85" s="9" t="n">
        <v>4.91</v>
      </c>
      <c r="GO85" s="9" t="n">
        <v>1.54</v>
      </c>
      <c r="GP85" s="9" t="n">
        <v>31.4</v>
      </c>
      <c r="GQ85" s="9" t="n">
        <v>2.63</v>
      </c>
      <c r="GR85" s="9" t="n">
        <v>0.63</v>
      </c>
      <c r="GS85" s="9" t="n">
        <v>23.91</v>
      </c>
      <c r="GT85" s="9" t="n">
        <v>0.11</v>
      </c>
      <c r="GU85" s="9" t="n">
        <v>0.11</v>
      </c>
      <c r="GV85" s="9" t="n">
        <v>100</v>
      </c>
      <c r="GW85" s="9" t="n">
        <v>15</v>
      </c>
      <c r="GX85" s="9" t="n">
        <v>4.6</v>
      </c>
      <c r="GY85" s="9" t="n">
        <v>30.67</v>
      </c>
      <c r="GZ85" s="9" t="n">
        <v>4.63</v>
      </c>
      <c r="HA85" s="9" t="n">
        <v>6.51</v>
      </c>
      <c r="HB85" s="9" t="n">
        <v>23.14</v>
      </c>
      <c r="HC85" s="9" t="n">
        <v>3.71</v>
      </c>
      <c r="HD85" s="9" t="n">
        <v>8.74</v>
      </c>
      <c r="HE85" s="9" t="n">
        <v>16.46</v>
      </c>
      <c r="HF85" s="9" t="n">
        <v>69.94</v>
      </c>
      <c r="HG85" s="9" t="n">
        <v>24.54</v>
      </c>
      <c r="HH85" s="9" t="n">
        <v>35.09</v>
      </c>
      <c r="HI85" s="9" t="n">
        <v>1.6</v>
      </c>
      <c r="HJ85" s="9" t="n">
        <v>1.34</v>
      </c>
      <c r="HK85" s="9" t="n">
        <v>10.23</v>
      </c>
      <c r="HL85" s="9" t="n">
        <v>4.14</v>
      </c>
      <c r="HM85" s="9" t="n">
        <v>40.5</v>
      </c>
      <c r="HN85" s="9" t="n">
        <v>65.91</v>
      </c>
      <c r="HO85" s="9" t="n">
        <v>41.29</v>
      </c>
      <c r="HP85" s="9" t="n">
        <v>62.64</v>
      </c>
      <c r="HQ85" s="9" t="n">
        <v>40.4</v>
      </c>
      <c r="HR85" s="9" t="n">
        <v>17.94</v>
      </c>
      <c r="HS85" s="9" t="n">
        <v>44.41</v>
      </c>
      <c r="HT85" s="9" t="n">
        <v>2.37</v>
      </c>
      <c r="HU85" s="9" t="n">
        <v>1.23</v>
      </c>
      <c r="HV85" s="9" t="n">
        <v>51.81</v>
      </c>
      <c r="HW85" s="9" t="n">
        <v>36.14</v>
      </c>
      <c r="HX85" s="9" t="n">
        <v>12.89</v>
      </c>
      <c r="HY85" s="9" t="n">
        <v>15.09</v>
      </c>
      <c r="HZ85" s="9" t="n">
        <v>2.49</v>
      </c>
      <c r="IA85" s="9" t="n">
        <v>0.2</v>
      </c>
      <c r="IB85" s="9" t="n">
        <v>136.14</v>
      </c>
      <c r="IC85" s="9" t="n">
        <v>97.40000000000001</v>
      </c>
      <c r="ID85" s="9" t="n">
        <v>71.54000000000001</v>
      </c>
      <c r="IE85" s="9" t="n">
        <v>56.34</v>
      </c>
      <c r="IF85" s="9" t="n">
        <v>52.2</v>
      </c>
      <c r="IG85" s="9" t="n">
        <v>92.65000000000001</v>
      </c>
      <c r="IH85" s="9" t="n">
        <v>143.29</v>
      </c>
      <c r="II85" s="9" t="n">
        <v>125.69</v>
      </c>
      <c r="IJ85" s="9" t="n">
        <v>87.72</v>
      </c>
      <c r="IK85" s="9" t="n">
        <v>49.54</v>
      </c>
      <c r="IL85" s="9" t="n">
        <v>26.89</v>
      </c>
      <c r="IM85" s="9" t="n">
        <v>54.27</v>
      </c>
      <c r="IN85" s="9" t="n">
        <v>55.83</v>
      </c>
      <c r="IO85" s="9" t="n">
        <v>36.37</v>
      </c>
      <c r="IP85" s="9" t="n">
        <v>65.15000000000001</v>
      </c>
      <c r="IQ85" s="9" t="n">
        <v>71.11</v>
      </c>
      <c r="IR85" s="9" t="n">
        <v>52.09</v>
      </c>
      <c r="IS85" s="9" t="n">
        <v>73.23999999999999</v>
      </c>
      <c r="IT85" s="33">
        <f>PERCENTRANK(IS$2:INDEX($IS:$IS,LOOKUP(2,1/(ISNUMBER($A$2:$A$1048576)),ROW($A$2:$A$1048576))),IS85)</f>
        <v/>
      </c>
      <c r="IU85" s="39">
        <f>1-(IS85-IS$106)/IS$107</f>
        <v/>
      </c>
      <c r="IV85" s="9" t="n">
        <v>1.86</v>
      </c>
      <c r="IW85" s="9" t="n">
        <v>0.6899999999999999</v>
      </c>
      <c r="IX85" s="9" t="n">
        <v>36.92</v>
      </c>
      <c r="IY85" s="9" t="n">
        <v>22.97</v>
      </c>
      <c r="IZ85" s="9" t="n">
        <v>20.23</v>
      </c>
      <c r="JA85" s="9" t="n">
        <v>88.06</v>
      </c>
      <c r="JB85" s="9" t="n">
        <v>7.29</v>
      </c>
      <c r="JC85" s="9" t="n">
        <v>15.79</v>
      </c>
      <c r="JD85" s="9" t="n">
        <v>3.77</v>
      </c>
      <c r="JE85" s="9" t="n">
        <v>13.6</v>
      </c>
      <c r="JF85" s="9" t="n">
        <v>18.3</v>
      </c>
      <c r="JG85" s="9" t="n">
        <v>20.46</v>
      </c>
      <c r="JH85" s="9" t="n">
        <v>9.789999999999999</v>
      </c>
    </row>
    <row r="86">
      <c r="A86" s="12" t="n">
        <v>2024</v>
      </c>
      <c r="B86" s="31" t="inlineStr">
        <is>
          <t>Orange County SC</t>
        </is>
      </c>
      <c r="C86" s="12" t="n">
        <v>46</v>
      </c>
      <c r="D86" s="5">
        <f>(C86-AVERAGE($C$2:INDEX($C:$C,LOOKUP(2,1/(ISNUMBER($A$2:$A$1048576)),ROW($A$2:$A$1048576)))))/_xlfn.STDEV.P($C$2:INDEX($C:$C,LOOKUP(2,1/(ISNUMBER($A$2:$A$1048576)),ROW($A$2:$A$1048576))))</f>
        <v/>
      </c>
      <c r="E86" s="12" t="n">
        <v>6</v>
      </c>
      <c r="F86" s="6">
        <f>-E86</f>
        <v/>
      </c>
      <c r="G86" s="7">
        <f>(F86-AVERAGE($F$2:INDEX($F:$F,LOOKUP(2,1/(ISNUMBER($A$2:$A$1048576)),ROW($A$2:$A$1048576)))))/_xlfn.STDEV.P($F$2:INDEX($F:$F,LOOKUP(2,1/(ISNUMBER($A$2:$A$1048576)),ROW($A$2:$A$1048576))))</f>
        <v/>
      </c>
      <c r="H86" s="32">
        <f>sum(0.5*D86)+(0.5*G86)</f>
        <v/>
      </c>
      <c r="I86" s="12" t="inlineStr">
        <is>
          <t>West</t>
        </is>
      </c>
      <c r="J86" s="10">
        <f>sum(L86*L$105)+(N86*N$105)+(P86*P$105)+(T86*R$105)</f>
        <v/>
      </c>
      <c r="K86" s="33">
        <f>PERCENTRANK(J$2:INDEX($J:$J,LOOKUP(2,1/(ISNUMBER($A$2:$A$1048576)),ROW($A$2:$A$1048576))),J86)</f>
        <v/>
      </c>
      <c r="L86" s="10">
        <f>sum(AA86*0.66)+(AD86*0.55)+(AG86*0.59)+(CG86*0.51)+(CL86*0.6)+(EY86*0.31)</f>
        <v/>
      </c>
      <c r="M86" s="33">
        <f>PERCENTRANK(L$2:INDEX($L:$L,LOOKUP(2,1/(ISNUMBER($A$2:$A$1048576)),ROW($A$2:$A$1048576))),L86)</f>
        <v/>
      </c>
      <c r="N86" s="10">
        <f>sum(CT86*0.57)+(CW86*0.71)+(DJ86*0.08)+(FC86*0.33)+(FG86*0.69)+(FM86*0.26)+(IU86*0.54)+(AU86*0.4)</f>
        <v/>
      </c>
      <c r="O86" s="33">
        <f>PERCENTRANK(N$2:INDEX($N:$N,LOOKUP(2,1/(ISNUMBER($A$2:$A$1048576)),ROW($A$2:$A$1048576))),N86)</f>
        <v/>
      </c>
      <c r="P86" s="10">
        <f>sum(BG86*0.51)+(CD86*0.51)+(DR86*0.11)+(EF86*0.42)+(EK86*0.44)+(W86*0.6)</f>
        <v/>
      </c>
      <c r="Q86" s="33">
        <f>PERCENTRANK(P$2:INDEX($P:$P,LOOKUP(2,1/(ISNUMBER($A$2:$A$1048576)),ROW($A$2:$A$1048576))),P86)</f>
        <v/>
      </c>
      <c r="R86" s="10">
        <f>sum(Y86-FE86)</f>
        <v/>
      </c>
      <c r="S86" s="33">
        <f>PERCENTRANK(R$2:INDEX($R:$R,LOOKUP(2,1/(ISNUMBER($A$2:$A$1048576)),ROW($A$2:$A$1048576))),R86)</f>
        <v/>
      </c>
      <c r="T86" s="34">
        <f>sum(R86-R$106)/R$107</f>
        <v/>
      </c>
      <c r="U86" s="35">
        <f>sum(Y86/AI86)*100</f>
        <v/>
      </c>
      <c r="V86" s="33">
        <f>PERCENTRANK(U$2:INDEX($U:$U,LOOKUP(2,1/(ISNUMBER($A$2:$A$1048576)),ROW($A$2:$A$1048576))),U86)</f>
        <v/>
      </c>
      <c r="W86" s="36">
        <f>sum(U86-U$106)/U$107</f>
        <v/>
      </c>
      <c r="X86" s="9" t="n">
        <v>1.11</v>
      </c>
      <c r="Y86" s="9" t="n">
        <v>1.07</v>
      </c>
      <c r="Z86" s="33">
        <f>PERCENTRANK(Y$2:INDEX($Y:$Y,LOOKUP(2,1/(ISNUMBER($A$2:$A$1048576)),ROW($A$2:$A$1048576))),Y86)</f>
        <v/>
      </c>
      <c r="AA86" s="37">
        <f>sum(Y86-Y$106)/Y$107</f>
        <v/>
      </c>
      <c r="AB86" s="9" t="n">
        <v>9.19</v>
      </c>
      <c r="AC86" s="33">
        <f>PERCENTRANK(AB$2:INDEX($AB:$AB,LOOKUP(2,1/(ISNUMBER($A$2:$A$1048576)),ROW($A$2:$A$1048576))),AB86)</f>
        <v/>
      </c>
      <c r="AD86" s="38">
        <f>sum(AB86-AB$106)/AB$107</f>
        <v/>
      </c>
      <c r="AE86" s="9" t="n">
        <v>3.17</v>
      </c>
      <c r="AF86" s="33">
        <f>PERCENTRANK(AE$2:INDEX($AE:$AE,LOOKUP(2,1/(ISNUMBER($A$2:$A$1048576)),ROW($A$2:$A$1048576))),AE86)</f>
        <v/>
      </c>
      <c r="AG86" s="38">
        <f>sum(AE86-AE$106)/AE$107</f>
        <v/>
      </c>
      <c r="AH86" s="9" t="n">
        <v>34.44</v>
      </c>
      <c r="AI86" s="9" t="n">
        <v>394.06</v>
      </c>
      <c r="AJ86" s="9" t="n">
        <v>330.06</v>
      </c>
      <c r="AK86" s="9" t="n">
        <v>83.76000000000001</v>
      </c>
      <c r="AL86" s="9" t="n">
        <v>46.09</v>
      </c>
      <c r="AM86" s="9" t="n">
        <v>95.94</v>
      </c>
      <c r="AN86" s="9" t="n">
        <v>22.25</v>
      </c>
      <c r="AO86" s="9" t="n">
        <v>34.5</v>
      </c>
      <c r="AP86" s="9" t="n">
        <v>39.19</v>
      </c>
      <c r="AQ86" s="9" t="n">
        <v>72.5</v>
      </c>
      <c r="AR86" s="9" t="n">
        <v>37.92</v>
      </c>
      <c r="AS86" s="9" t="n">
        <v>25.19</v>
      </c>
      <c r="AT86" s="33">
        <f>PERCENTRANK(AS$2:INDEX($AS:$AS,LOOKUP(2,1/(ISNUMBER($A$2:$A$1048576)),ROW($A$2:$A$1048576))),AS86)</f>
        <v/>
      </c>
      <c r="AU86" s="39">
        <f>SUM(AS86-AS$106)/AS$107</f>
        <v/>
      </c>
      <c r="AV86" s="9" t="n">
        <v>9.390000000000001</v>
      </c>
      <c r="AW86" s="33">
        <f>PERCENTRANK(AV$2:INDEX($AV:$AV,LOOKUP(2,1/(ISNUMBER($A$2:$A$1048576)),ROW($A$2:$A$1048576))),AV86)</f>
        <v/>
      </c>
      <c r="AX86" s="9" t="n">
        <v>184.61</v>
      </c>
      <c r="AY86" s="9" t="n">
        <v>89.75</v>
      </c>
      <c r="AZ86" s="9" t="n">
        <v>48.62</v>
      </c>
      <c r="BA86" s="9" t="n">
        <v>3.53</v>
      </c>
      <c r="BB86" s="9" t="n">
        <v>0.97</v>
      </c>
      <c r="BC86" s="9" t="n">
        <v>27.56</v>
      </c>
      <c r="BD86" s="9" t="n">
        <v>23.14</v>
      </c>
      <c r="BE86" s="9" t="n">
        <v>5.58</v>
      </c>
      <c r="BF86" s="33">
        <f>PERCENTRANK(BE$2:INDEX($BE:$BE,LOOKUP(2,1/(ISNUMBER($A$2:$A$1048576)),ROW($A$2:$A$1048576))),BE86)</f>
        <v/>
      </c>
      <c r="BG86" s="40">
        <f>sum(BE86-BE$106)/BE$107</f>
        <v/>
      </c>
      <c r="BH86" s="9" t="n">
        <v>24.13</v>
      </c>
      <c r="BI86" s="9" t="n">
        <v>0.67</v>
      </c>
      <c r="BJ86" s="9" t="n">
        <v>0.5</v>
      </c>
      <c r="BK86" s="9" t="n">
        <v>75</v>
      </c>
      <c r="BL86" s="9" t="n">
        <v>25.61</v>
      </c>
      <c r="BM86" s="9" t="n">
        <v>2.72</v>
      </c>
      <c r="BN86" s="9" t="n">
        <v>10.63</v>
      </c>
      <c r="BO86" s="9" t="n">
        <v>3.42</v>
      </c>
      <c r="BP86" s="9" t="n">
        <v>1.11</v>
      </c>
      <c r="BQ86" s="9" t="n">
        <v>32.52</v>
      </c>
      <c r="BR86" s="9" t="n">
        <v>2.64</v>
      </c>
      <c r="BS86" s="9" t="n">
        <v>0.5600000000000001</v>
      </c>
      <c r="BT86" s="9" t="n">
        <v>21.05</v>
      </c>
      <c r="BU86" s="9" t="n">
        <v>0.03</v>
      </c>
      <c r="BV86" s="9" t="n">
        <v>0.03</v>
      </c>
      <c r="BW86" s="9" t="n">
        <v>100</v>
      </c>
      <c r="BX86" s="9" t="n">
        <v>12.31</v>
      </c>
      <c r="BY86" s="9" t="n">
        <v>4.14</v>
      </c>
      <c r="BZ86" s="9" t="n">
        <v>33.63</v>
      </c>
      <c r="CA86" s="9" t="n">
        <v>4.22</v>
      </c>
      <c r="CB86" s="9" t="n">
        <v>5.61</v>
      </c>
      <c r="CC86" s="33">
        <f>PERCENTRANK(CD$2:INDEX($CD:$CD,LOOKUP(2,1/(ISNUMBER($A$2:$A$1048576)),ROW($A$2:$A$1048576))),CD86)</f>
        <v/>
      </c>
      <c r="CD86" s="40">
        <f>sum(CB86-CB$106)/CB$107</f>
        <v/>
      </c>
      <c r="CE86" s="9" t="n">
        <v>19.61</v>
      </c>
      <c r="CF86" s="33">
        <f>PERCENTRANK(CE$2:INDEX($CE:$CE,LOOKUP(2,1/(ISNUMBER($A$2:$A$1048576)),ROW($A$2:$A$1048576))),CE86)</f>
        <v/>
      </c>
      <c r="CG86" s="38">
        <f>sum(CE86-CE$106)/CE$107</f>
        <v/>
      </c>
      <c r="CH86" s="9" t="n">
        <v>3.19</v>
      </c>
      <c r="CI86" s="9" t="n">
        <v>7.44</v>
      </c>
      <c r="CJ86" s="9" t="n">
        <v>13.36</v>
      </c>
      <c r="CK86" s="33">
        <f>PERCENTRANK(CJ$2:INDEX($CJ:$CJ,LOOKUP(2,1/(ISNUMBER($A$2:$A$1048576)),ROW($A$2:$A$1048576))),CJ86)</f>
        <v/>
      </c>
      <c r="CL86" s="38">
        <f>sum(CJ86-CJ$106)/CJ$107</f>
        <v/>
      </c>
      <c r="CM86" s="9" t="n">
        <v>60.58</v>
      </c>
      <c r="CN86" s="9" t="n">
        <v>22.72</v>
      </c>
      <c r="CO86" s="9" t="n">
        <v>37.51</v>
      </c>
      <c r="CP86" s="9" t="n">
        <v>1.72</v>
      </c>
      <c r="CQ86" s="9" t="n">
        <v>1.28</v>
      </c>
      <c r="CR86" s="9" t="n">
        <v>13.36</v>
      </c>
      <c r="CS86" s="33">
        <f>PERCENTRANK(CR$2:INDEX($CR:$CR,LOOKUP(2,1/(ISNUMBER($A$2:$A$1048576)),ROW($A$2:$A$1048576))),CR86)</f>
        <v/>
      </c>
      <c r="CT86" s="39">
        <f>1-(CR86-CR$106)/CR$107</f>
        <v/>
      </c>
      <c r="CU86" s="9" t="n">
        <v>4.94</v>
      </c>
      <c r="CV86" s="33">
        <f>PERCENTRANK(CU$2:INDEX($CU:$CU,LOOKUP(2,1/(ISNUMBER($A$2:$A$1048576)),ROW($A$2:$A$1048576))),CU86)</f>
        <v/>
      </c>
      <c r="CW86" s="39">
        <f>1-(CU86-CU$106)/CU$107</f>
        <v/>
      </c>
      <c r="CX86" s="9" t="n">
        <v>37.01</v>
      </c>
      <c r="CY86" s="9" t="n">
        <v>66.97</v>
      </c>
      <c r="CZ86" s="9" t="n">
        <v>41.61</v>
      </c>
      <c r="DA86" s="9" t="n">
        <v>62.13</v>
      </c>
      <c r="DB86" s="9" t="n">
        <v>34</v>
      </c>
      <c r="DC86" s="9" t="n">
        <v>16.78</v>
      </c>
      <c r="DD86" s="9" t="n">
        <v>49.35</v>
      </c>
      <c r="DE86" s="9" t="n">
        <v>2.78</v>
      </c>
      <c r="DF86" s="9" t="n">
        <v>1.28</v>
      </c>
      <c r="DG86" s="9" t="n">
        <v>46</v>
      </c>
      <c r="DH86" s="9" t="n">
        <v>37.25</v>
      </c>
      <c r="DI86" s="33">
        <f>PERCENTRANK(DH$2:INDEX($DH:$DH,LOOKUP(2,1/(ISNUMBER($A$2:$A$1048576)),ROW($A$2:$A$1048576))),DH86)</f>
        <v/>
      </c>
      <c r="DJ86" s="39">
        <f>SUM(DH86-DH$106)/DH$107</f>
        <v/>
      </c>
      <c r="DK86" s="9" t="n">
        <v>15.81</v>
      </c>
      <c r="DL86" s="9" t="n">
        <v>12.25</v>
      </c>
      <c r="DM86" s="9" t="n">
        <v>2.58</v>
      </c>
      <c r="DN86" s="9" t="n">
        <v>0.08</v>
      </c>
      <c r="DO86" s="9" t="n">
        <v>132</v>
      </c>
      <c r="DP86" s="9" t="n">
        <v>96.56</v>
      </c>
      <c r="DQ86" s="33">
        <f>PERCENTRANK(DP$2:INDEX($DP:$DP,LOOKUP(2,1/(ISNUMBER($A$2:$A$1048576)),ROW($A$2:$A$1048576))),DP86)</f>
        <v/>
      </c>
      <c r="DR86" s="40">
        <f>sum(DP86-DP$106)/DP$107</f>
        <v/>
      </c>
      <c r="DS86" s="9" t="n">
        <v>73.15000000000001</v>
      </c>
      <c r="DT86" s="9" t="n">
        <v>64.36</v>
      </c>
      <c r="DU86" s="9" t="n">
        <v>60.97</v>
      </c>
      <c r="DV86" s="9" t="n">
        <v>94.73</v>
      </c>
      <c r="DW86" s="9" t="n">
        <v>146.08</v>
      </c>
      <c r="DX86" s="9" t="n">
        <v>130.42</v>
      </c>
      <c r="DY86" s="9" t="n">
        <v>89.28</v>
      </c>
      <c r="DZ86" s="9" t="n">
        <v>47.92</v>
      </c>
      <c r="EA86" s="9" t="n">
        <v>25.75</v>
      </c>
      <c r="EB86" s="9" t="n">
        <v>53.74</v>
      </c>
      <c r="EC86" s="9" t="n">
        <v>48.31</v>
      </c>
      <c r="ED86" s="9" t="n">
        <v>31.86</v>
      </c>
      <c r="EE86" s="33">
        <f>PERCENTRANK(ED$2:INDEX($ED:$ED,LOOKUP(2,1/(ISNUMBER($A$2:$A$1048576)),ROW($A$2:$A$1048576))),ED86)</f>
        <v/>
      </c>
      <c r="EF86" s="40">
        <f>sum(ED86-ED$106)/ED$107</f>
        <v/>
      </c>
      <c r="EG86" s="9" t="n">
        <v>65.95999999999999</v>
      </c>
      <c r="EH86" s="9" t="n">
        <v>66.14</v>
      </c>
      <c r="EI86" s="9" t="n">
        <v>44.56</v>
      </c>
      <c r="EJ86" s="33">
        <f>PERCENTRANK(EI$2:INDEX($EI:$EI,LOOKUP(2,1/(ISNUMBER($A$2:$A$1048576)),ROW($A$2:$A$1048576))),EI86)</f>
        <v/>
      </c>
      <c r="EK86" s="40">
        <f>sum(EI86-EI$106)/EI$107</f>
        <v/>
      </c>
      <c r="EL86" s="9" t="n">
        <v>67.37</v>
      </c>
      <c r="EM86" s="9" t="n">
        <v>1.31</v>
      </c>
      <c r="EN86" s="9" t="n">
        <v>0.64</v>
      </c>
      <c r="EO86" s="9" t="n">
        <v>48.94</v>
      </c>
      <c r="EP86" s="9" t="n">
        <v>18.53</v>
      </c>
      <c r="EQ86" s="9" t="n">
        <v>16.22</v>
      </c>
      <c r="ER86" s="9" t="n">
        <v>87.56</v>
      </c>
      <c r="ES86" s="9" t="n">
        <v>8.609999999999999</v>
      </c>
      <c r="ET86" s="9" t="n">
        <v>16.24</v>
      </c>
      <c r="EU86" s="9" t="n">
        <v>3.98</v>
      </c>
      <c r="EV86" s="9" t="n">
        <v>12.61</v>
      </c>
      <c r="EW86" s="9" t="n">
        <v>17.77</v>
      </c>
      <c r="EX86" s="33">
        <f>PERCENTRANK(EW$2:INDEX($EW:$EW,LOOKUP(2,1/(ISNUMBER($A$2:$A$1048576)),ROW($A$2:$A$1048576))),EW86)</f>
        <v/>
      </c>
      <c r="EY86" s="38">
        <f>1-(EW86-EW$106)/EW$107</f>
        <v/>
      </c>
      <c r="EZ86" s="9" t="n">
        <v>20.3</v>
      </c>
      <c r="FA86" s="9" t="n">
        <v>15.56</v>
      </c>
      <c r="FB86" s="33">
        <f>PERCENTRANK(FA$2:INDEX($FA:$FA,LOOKUP(2,1/(ISNUMBER($A$2:$A$1048576)),ROW($A$2:$A$1048576))),FA86)</f>
        <v/>
      </c>
      <c r="FC86" s="39">
        <f>1-(FA86-FA$106)/FA$107</f>
        <v/>
      </c>
      <c r="FD86" s="9" t="n">
        <v>1.28</v>
      </c>
      <c r="FE86" s="9" t="n">
        <v>1.44</v>
      </c>
      <c r="FF86" s="33">
        <f>PERCENTRANK(FE$2:INDEX($FE:$FE,LOOKUP(2,1/(ISNUMBER($A$2:$A$1048576)),ROW($A$2:$A$1048576))),FE86)</f>
        <v/>
      </c>
      <c r="FG86" s="39">
        <f>1-(FE86-FE$106)/FE$107</f>
        <v/>
      </c>
      <c r="FH86" s="9" t="n">
        <v>13.36</v>
      </c>
      <c r="FI86" s="9" t="n">
        <v>4.72</v>
      </c>
      <c r="FJ86" s="9" t="n">
        <v>35.34</v>
      </c>
      <c r="FK86" s="9" t="n">
        <v>462.92</v>
      </c>
      <c r="FL86" s="33">
        <f>PERCENTRANK(FK$2:INDEX($FK:$FK,LOOKUP(2,1/(ISNUMBER($A$2:$A$1048576)),ROW($A$2:$A$1048576))),FK86)</f>
        <v/>
      </c>
      <c r="FM86" s="39">
        <f>SWA85-(FK86-FK$106)/FK$107</f>
        <v/>
      </c>
      <c r="FN86" s="9" t="n">
        <v>394.81</v>
      </c>
      <c r="FO86" s="9" t="n">
        <v>85.29000000000001</v>
      </c>
      <c r="FP86" s="9" t="n">
        <v>53.91</v>
      </c>
      <c r="FQ86" s="9" t="n">
        <v>95.25</v>
      </c>
      <c r="FR86" s="9" t="n">
        <v>15.33</v>
      </c>
      <c r="FS86" s="9" t="n">
        <v>29.58</v>
      </c>
      <c r="FT86" s="9" t="n">
        <v>50.33</v>
      </c>
      <c r="FU86" s="9" t="n">
        <v>73.19</v>
      </c>
      <c r="FV86" s="9" t="n">
        <v>30.14</v>
      </c>
      <c r="FW86" s="9" t="n">
        <v>28.67</v>
      </c>
      <c r="FX86" s="9" t="n">
        <v>14.39</v>
      </c>
      <c r="FY86" s="9" t="n">
        <v>184.61</v>
      </c>
      <c r="FZ86" s="9" t="n">
        <v>88.58</v>
      </c>
      <c r="GA86" s="9" t="n">
        <v>47.98</v>
      </c>
      <c r="GB86" s="9" t="n">
        <v>5.75</v>
      </c>
      <c r="GC86" s="9" t="n">
        <v>1.67</v>
      </c>
      <c r="GD86" s="9" t="n">
        <v>28.99</v>
      </c>
      <c r="GE86" s="9" t="n">
        <v>33.08</v>
      </c>
      <c r="GF86" s="9" t="n">
        <v>8.720000000000001</v>
      </c>
      <c r="GG86" s="9" t="n">
        <v>26.36</v>
      </c>
      <c r="GH86" s="9" t="n">
        <v>0.67</v>
      </c>
      <c r="GI86" s="9" t="n">
        <v>0.36</v>
      </c>
      <c r="GJ86" s="9" t="n">
        <v>54.17</v>
      </c>
      <c r="GK86" s="9" t="n">
        <v>25.86</v>
      </c>
      <c r="GL86" s="9" t="n">
        <v>3.72</v>
      </c>
      <c r="GM86" s="9" t="n">
        <v>14.39</v>
      </c>
      <c r="GN86" s="9" t="n">
        <v>5.08</v>
      </c>
      <c r="GO86" s="9" t="n">
        <v>1.5</v>
      </c>
      <c r="GP86" s="9" t="n">
        <v>29.51</v>
      </c>
      <c r="GQ86" s="9" t="n">
        <v>2.44</v>
      </c>
      <c r="GR86" s="9" t="n">
        <v>0.89</v>
      </c>
      <c r="GS86" s="9" t="n">
        <v>36.36</v>
      </c>
      <c r="GT86" s="9" t="n">
        <v>0.17</v>
      </c>
      <c r="GU86" s="9" t="n">
        <v>0.17</v>
      </c>
      <c r="GV86" s="9" t="n">
        <v>100</v>
      </c>
      <c r="GW86" s="9" t="n">
        <v>16.28</v>
      </c>
      <c r="GX86" s="9" t="n">
        <v>5.64</v>
      </c>
      <c r="GY86" s="9" t="n">
        <v>34.64</v>
      </c>
      <c r="GZ86" s="9" t="n">
        <v>5.39</v>
      </c>
      <c r="HA86" s="9" t="n">
        <v>7.94</v>
      </c>
      <c r="HB86" s="9" t="n">
        <v>25.97</v>
      </c>
      <c r="HC86" s="9" t="n">
        <v>3.94</v>
      </c>
      <c r="HD86" s="9" t="n">
        <v>9.859999999999999</v>
      </c>
      <c r="HE86" s="9" t="n">
        <v>18.11</v>
      </c>
      <c r="HF86" s="9" t="n">
        <v>66.97</v>
      </c>
      <c r="HG86" s="9" t="n">
        <v>25.36</v>
      </c>
      <c r="HH86" s="9" t="n">
        <v>37.87</v>
      </c>
      <c r="HI86" s="9" t="n">
        <v>1.78</v>
      </c>
      <c r="HJ86" s="9" t="n">
        <v>1.11</v>
      </c>
      <c r="HK86" s="9" t="n">
        <v>9.19</v>
      </c>
      <c r="HL86" s="9" t="n">
        <v>3.33</v>
      </c>
      <c r="HM86" s="9" t="n">
        <v>36.25</v>
      </c>
      <c r="HN86" s="9" t="n">
        <v>60.58</v>
      </c>
      <c r="HO86" s="9" t="n">
        <v>37.86</v>
      </c>
      <c r="HP86" s="9" t="n">
        <v>62.49</v>
      </c>
      <c r="HQ86" s="9" t="n">
        <v>34</v>
      </c>
      <c r="HR86" s="9" t="n">
        <v>14.58</v>
      </c>
      <c r="HS86" s="9" t="n">
        <v>42.89</v>
      </c>
      <c r="HT86" s="9" t="n">
        <v>3.17</v>
      </c>
      <c r="HU86" s="9" t="n">
        <v>1.47</v>
      </c>
      <c r="HV86" s="9" t="n">
        <v>46.49</v>
      </c>
      <c r="HW86" s="9" t="n">
        <v>33.69</v>
      </c>
      <c r="HX86" s="9" t="n">
        <v>12.47</v>
      </c>
      <c r="HY86" s="9" t="n">
        <v>13.83</v>
      </c>
      <c r="HZ86" s="9" t="n">
        <v>2.31</v>
      </c>
      <c r="IA86" s="9" t="n">
        <v>0.14</v>
      </c>
      <c r="IB86" s="9" t="n">
        <v>147.78</v>
      </c>
      <c r="IC86" s="9" t="n">
        <v>110.69</v>
      </c>
      <c r="ID86" s="9" t="n">
        <v>74.91</v>
      </c>
      <c r="IE86" s="9" t="n">
        <v>70.97</v>
      </c>
      <c r="IF86" s="9" t="n">
        <v>67.36</v>
      </c>
      <c r="IG86" s="9" t="n">
        <v>94.91</v>
      </c>
      <c r="IH86" s="9" t="n">
        <v>186.56</v>
      </c>
      <c r="II86" s="9" t="n">
        <v>169.19</v>
      </c>
      <c r="IJ86" s="9" t="n">
        <v>90.69</v>
      </c>
      <c r="IK86" s="9" t="n">
        <v>50.11</v>
      </c>
      <c r="IL86" s="9" t="n">
        <v>27.58</v>
      </c>
      <c r="IM86" s="9" t="n">
        <v>55.04</v>
      </c>
      <c r="IN86" s="9" t="n">
        <v>61.58</v>
      </c>
      <c r="IO86" s="9" t="n">
        <v>43.61</v>
      </c>
      <c r="IP86" s="9" t="n">
        <v>70.81999999999999</v>
      </c>
      <c r="IQ86" s="9" t="n">
        <v>75.03</v>
      </c>
      <c r="IR86" s="9" t="n">
        <v>57.58</v>
      </c>
      <c r="IS86" s="9" t="n">
        <v>76.75</v>
      </c>
      <c r="IT86" s="33">
        <f>PERCENTRANK(IS$2:INDEX($IS:$IS,LOOKUP(2,1/(ISNUMBER($A$2:$A$1048576)),ROW($A$2:$A$1048576))),IS86)</f>
        <v/>
      </c>
      <c r="IU86" s="39">
        <f>1-(IS86-IS$106)/IS$107</f>
        <v/>
      </c>
      <c r="IV86" s="9" t="n">
        <v>1.31</v>
      </c>
      <c r="IW86" s="9" t="n">
        <v>0.64</v>
      </c>
      <c r="IX86" s="9" t="n">
        <v>48.94</v>
      </c>
      <c r="IY86" s="9" t="n">
        <v>20.92</v>
      </c>
      <c r="IZ86" s="9" t="n">
        <v>19.53</v>
      </c>
      <c r="JA86" s="9" t="n">
        <v>93.36</v>
      </c>
      <c r="JB86" s="9" t="n">
        <v>7.72</v>
      </c>
      <c r="JC86" s="9" t="n">
        <v>16.48</v>
      </c>
      <c r="JD86" s="9" t="n">
        <v>4.64</v>
      </c>
      <c r="JE86" s="9" t="n">
        <v>11.07</v>
      </c>
      <c r="JF86" s="9" t="n">
        <v>19.05</v>
      </c>
      <c r="JG86" s="9" t="n">
        <v>20.56</v>
      </c>
      <c r="JH86" s="9" t="n">
        <v>10.37</v>
      </c>
    </row>
    <row r="87">
      <c r="A87" s="12" t="n">
        <v>2025</v>
      </c>
      <c r="B87" s="31" t="inlineStr">
        <is>
          <t>San Antonio</t>
        </is>
      </c>
      <c r="C87" s="12" t="n">
        <v>40</v>
      </c>
      <c r="D87" s="5">
        <f>(C87-AVERAGE($C$2:INDEX($C:$C,LOOKUP(2,1/(ISNUMBER($A$2:$A$1048576)),ROW($A$2:$A$1048576)))))/_xlfn.STDEV.P($C$2:INDEX($C:$C,LOOKUP(2,1/(ISNUMBER($A$2:$A$1048576)),ROW($A$2:$A$1048576))))</f>
        <v/>
      </c>
      <c r="E87" s="12" t="n">
        <v>6</v>
      </c>
      <c r="F87" s="6">
        <f>-E87</f>
        <v/>
      </c>
      <c r="G87" s="7">
        <f>(F87-AVERAGE($F$2:INDEX($F:$F,LOOKUP(2,1/(ISNUMBER($A$2:$A$1048576)),ROW($A$2:$A$1048576)))))/_xlfn.STDEV.P($F$2:INDEX($F:$F,LOOKUP(2,1/(ISNUMBER($A$2:$A$1048576)),ROW($A$2:$A$1048576))))</f>
        <v/>
      </c>
      <c r="H87" s="32">
        <f>sum(0.5*D87)+(0.5*G87)</f>
        <v/>
      </c>
      <c r="I87" s="12" t="inlineStr">
        <is>
          <t>West</t>
        </is>
      </c>
      <c r="J87" s="10">
        <f>sum(L87*L$105)+(N87*N$105)+(P87*P$105)+(T87*R$105)</f>
        <v/>
      </c>
      <c r="K87" s="33">
        <f>PERCENTRANK(J$2:INDEX($J:$J,LOOKUP(2,1/(ISNUMBER($A$2:$A$1048576)),ROW($A$2:$A$1048576))),J87)</f>
        <v/>
      </c>
      <c r="L87" s="10">
        <f>sum(AA87*0.66)+(AD87*0.55)+(AG87*0.59)+(CG87*0.51)+(CL87*0.6)+(EY87*0.31)</f>
        <v/>
      </c>
      <c r="M87" s="33">
        <f>PERCENTRANK(L$2:INDEX($L:$L,LOOKUP(2,1/(ISNUMBER($A$2:$A$1048576)),ROW($A$2:$A$1048576))),L87)</f>
        <v/>
      </c>
      <c r="N87" s="10">
        <f>sum(CT87*0.57)+(CW87*0.71)+(DJ87*0.08)+(FC87*0.33)+(FG87*0.69)+(FM87*0.26)+(IU87*0.54)+(AU87*0.4)</f>
        <v/>
      </c>
      <c r="O87" s="33">
        <f>PERCENTRANK(N$2:INDEX($N:$N,LOOKUP(2,1/(ISNUMBER($A$2:$A$1048576)),ROW($A$2:$A$1048576))),N87)</f>
        <v/>
      </c>
      <c r="P87" s="10">
        <f>sum(BG87*0.51)+(CD87*0.51)+(DR87*0.11)+(EF87*0.42)+(EK87*0.44)+(W87*0.6)</f>
        <v/>
      </c>
      <c r="Q87" s="33">
        <f>PERCENTRANK(P$2:INDEX($P:$P,LOOKUP(2,1/(ISNUMBER($A$2:$A$1048576)),ROW($A$2:$A$1048576))),P87)</f>
        <v/>
      </c>
      <c r="R87" s="10">
        <f>sum(Y87-FE87)</f>
        <v/>
      </c>
      <c r="S87" s="33">
        <f>PERCENTRANK(R$2:INDEX($R:$R,LOOKUP(2,1/(ISNUMBER($A$2:$A$1048576)),ROW($A$2:$A$1048576))),R87)</f>
        <v/>
      </c>
      <c r="T87" s="34">
        <f>sum(R87-R$106)/R$107</f>
        <v/>
      </c>
      <c r="U87" s="35">
        <f>sum(Y87/AI87)*100</f>
        <v/>
      </c>
      <c r="V87" s="33">
        <f>PERCENTRANK(U$2:INDEX($U:$U,LOOKUP(2,1/(ISNUMBER($A$2:$A$1048576)),ROW($A$2:$A$1048576))),U87)</f>
        <v/>
      </c>
      <c r="W87" s="36">
        <f>sum(U87-U$106)/U$107</f>
        <v/>
      </c>
      <c r="X87" s="9" t="n">
        <v>1.26</v>
      </c>
      <c r="Y87" s="9" t="n">
        <v>1.22</v>
      </c>
      <c r="Z87" s="33">
        <f>PERCENTRANK(Y$2:INDEX($Y:$Y,LOOKUP(2,1/(ISNUMBER($A$2:$A$1048576)),ROW($A$2:$A$1048576))),Y87)</f>
        <v/>
      </c>
      <c r="AA87" s="37">
        <f>sum(Y87-Y$106)/Y$107</f>
        <v/>
      </c>
      <c r="AB87" s="9" t="n">
        <v>10.61</v>
      </c>
      <c r="AC87" s="33">
        <f>PERCENTRANK(AB$2:INDEX($AB:$AB,LOOKUP(2,1/(ISNUMBER($A$2:$A$1048576)),ROW($A$2:$A$1048576))),AB87)</f>
        <v/>
      </c>
      <c r="AD87" s="38">
        <f>sum(AB87-AB$106)/AB$107</f>
        <v/>
      </c>
      <c r="AE87" s="9" t="n">
        <v>3.77</v>
      </c>
      <c r="AF87" s="33">
        <f>PERCENTRANK(AE$2:INDEX($AE:$AE,LOOKUP(2,1/(ISNUMBER($A$2:$A$1048576)),ROW($A$2:$A$1048576))),AE87)</f>
        <v/>
      </c>
      <c r="AG87" s="38">
        <f>sum(AE87-AE$106)/AE$107</f>
        <v/>
      </c>
      <c r="AH87" s="9" t="n">
        <v>35.56</v>
      </c>
      <c r="AI87" s="9" t="n">
        <v>385.29</v>
      </c>
      <c r="AJ87" s="9" t="n">
        <v>319.81</v>
      </c>
      <c r="AK87" s="9" t="n">
        <v>83</v>
      </c>
      <c r="AL87" s="9" t="n">
        <v>53.33</v>
      </c>
      <c r="AM87" s="9" t="n">
        <v>94.34999999999999</v>
      </c>
      <c r="AN87" s="9" t="n">
        <v>16.68</v>
      </c>
      <c r="AO87" s="9" t="n">
        <v>33.68</v>
      </c>
      <c r="AP87" s="9" t="n">
        <v>44</v>
      </c>
      <c r="AQ87" s="9" t="n">
        <v>66.87</v>
      </c>
      <c r="AR87" s="9" t="n">
        <v>30.55</v>
      </c>
      <c r="AS87" s="9" t="n">
        <v>26.58</v>
      </c>
      <c r="AT87" s="33">
        <f>PERCENTRANK(AS$2:INDEX($AS:$AS,LOOKUP(2,1/(ISNUMBER($A$2:$A$1048576)),ROW($A$2:$A$1048576))),AS87)</f>
        <v/>
      </c>
      <c r="AU87" s="39">
        <f>SUM(AS87-AS$106)/AS$107</f>
        <v/>
      </c>
      <c r="AV87" s="9" t="n">
        <v>9.74</v>
      </c>
      <c r="AW87" s="33">
        <f>PERCENTRANK(AV$2:INDEX($AV:$AV,LOOKUP(2,1/(ISNUMBER($A$2:$A$1048576)),ROW($A$2:$A$1048576))),AV87)</f>
        <v/>
      </c>
      <c r="AX87" s="9" t="n">
        <v>162.77</v>
      </c>
      <c r="AY87" s="9" t="n">
        <v>78.68000000000001</v>
      </c>
      <c r="AZ87" s="9" t="n">
        <v>48.34</v>
      </c>
      <c r="BA87" s="9" t="n">
        <v>4.87</v>
      </c>
      <c r="BB87" s="9" t="n">
        <v>1.13</v>
      </c>
      <c r="BC87" s="9" t="n">
        <v>23.18</v>
      </c>
      <c r="BD87" s="9" t="n">
        <v>22.94</v>
      </c>
      <c r="BE87" s="9" t="n">
        <v>5.58</v>
      </c>
      <c r="BF87" s="33">
        <f>PERCENTRANK(BE$2:INDEX($BE:$BE,LOOKUP(2,1/(ISNUMBER($A$2:$A$1048576)),ROW($A$2:$A$1048576))),BE87)</f>
        <v/>
      </c>
      <c r="BG87" s="40">
        <f>sum(BE87-BE$106)/BE$107</f>
        <v/>
      </c>
      <c r="BH87" s="9" t="n">
        <v>24.33</v>
      </c>
      <c r="BI87" s="9" t="n">
        <v>0.35</v>
      </c>
      <c r="BJ87" s="9" t="n">
        <v>0.26</v>
      </c>
      <c r="BK87" s="9" t="n">
        <v>72.73</v>
      </c>
      <c r="BL87" s="9" t="n">
        <v>28.32</v>
      </c>
      <c r="BM87" s="9" t="n">
        <v>4</v>
      </c>
      <c r="BN87" s="9" t="n">
        <v>14.12</v>
      </c>
      <c r="BO87" s="9" t="n">
        <v>4.1</v>
      </c>
      <c r="BP87" s="9" t="n">
        <v>1.39</v>
      </c>
      <c r="BQ87" s="9" t="n">
        <v>33.86</v>
      </c>
      <c r="BR87" s="9" t="n">
        <v>2.77</v>
      </c>
      <c r="BS87" s="9" t="n">
        <v>0.84</v>
      </c>
      <c r="BT87" s="9" t="n">
        <v>30.23</v>
      </c>
      <c r="BU87" s="9" t="n">
        <v>0.23</v>
      </c>
      <c r="BV87" s="9" t="n">
        <v>0.23</v>
      </c>
      <c r="BW87" s="9" t="n">
        <v>100</v>
      </c>
      <c r="BX87" s="9" t="n">
        <v>14</v>
      </c>
      <c r="BY87" s="9" t="n">
        <v>4.97</v>
      </c>
      <c r="BZ87" s="9" t="n">
        <v>35.48</v>
      </c>
      <c r="CA87" s="9" t="n">
        <v>4.87</v>
      </c>
      <c r="CB87" s="9" t="n">
        <v>5.29</v>
      </c>
      <c r="CC87" s="33">
        <f>PERCENTRANK(CD$2:INDEX($CD:$CD,LOOKUP(2,1/(ISNUMBER($A$2:$A$1048576)),ROW($A$2:$A$1048576))),CD87)</f>
        <v/>
      </c>
      <c r="CD87" s="40">
        <f>sum(CB87-CB$106)/CB$107</f>
        <v/>
      </c>
      <c r="CE87" s="9" t="n">
        <v>21.19</v>
      </c>
      <c r="CF87" s="33">
        <f>PERCENTRANK(CE$2:INDEX($CE:$CE,LOOKUP(2,1/(ISNUMBER($A$2:$A$1048576)),ROW($A$2:$A$1048576))),CE87)</f>
        <v/>
      </c>
      <c r="CG87" s="38">
        <f>sum(CE87-CE$106)/CE$107</f>
        <v/>
      </c>
      <c r="CH87" s="9" t="n">
        <v>2.77</v>
      </c>
      <c r="CI87" s="9" t="n">
        <v>9</v>
      </c>
      <c r="CJ87" s="9" t="n">
        <v>14</v>
      </c>
      <c r="CK87" s="33">
        <f>PERCENTRANK(CJ$2:INDEX($CJ:$CJ,LOOKUP(2,1/(ISNUMBER($A$2:$A$1048576)),ROW($A$2:$A$1048576))),CJ87)</f>
        <v/>
      </c>
      <c r="CL87" s="38">
        <f>sum(CJ87-CJ$106)/CJ$107</f>
        <v/>
      </c>
      <c r="CM87" s="9" t="n">
        <v>55.58</v>
      </c>
      <c r="CN87" s="9" t="n">
        <v>23.61</v>
      </c>
      <c r="CO87" s="9" t="n">
        <v>42.48</v>
      </c>
      <c r="CP87" s="9" t="n">
        <v>1.23</v>
      </c>
      <c r="CQ87" s="9" t="n">
        <v>1.29</v>
      </c>
      <c r="CR87" s="9" t="n">
        <v>9.84</v>
      </c>
      <c r="CS87" s="33">
        <f>PERCENTRANK(CR$2:INDEX($CR:$CR,LOOKUP(2,1/(ISNUMBER($A$2:$A$1048576)),ROW($A$2:$A$1048576))),CR87)</f>
        <v/>
      </c>
      <c r="CT87" s="39">
        <f>1-(CR87-CR$106)/CR$107</f>
        <v/>
      </c>
      <c r="CU87" s="9" t="n">
        <v>3.77</v>
      </c>
      <c r="CV87" s="33">
        <f>PERCENTRANK(CU$2:INDEX($CU:$CU,LOOKUP(2,1/(ISNUMBER($A$2:$A$1048576)),ROW($A$2:$A$1048576))),CU87)</f>
        <v/>
      </c>
      <c r="CW87" s="39">
        <f>1-(CU87-CU$106)/CU$107</f>
        <v/>
      </c>
      <c r="CX87" s="9" t="n">
        <v>38.36</v>
      </c>
      <c r="CY87" s="9" t="n">
        <v>56.45</v>
      </c>
      <c r="CZ87" s="9" t="n">
        <v>31.94</v>
      </c>
      <c r="DA87" s="9" t="n">
        <v>56.57</v>
      </c>
      <c r="DB87" s="9" t="n">
        <v>28.45</v>
      </c>
      <c r="DC87" s="9" t="n">
        <v>13.35</v>
      </c>
      <c r="DD87" s="9" t="n">
        <v>46.94</v>
      </c>
      <c r="DE87" s="9" t="n">
        <v>4</v>
      </c>
      <c r="DF87" s="9" t="n">
        <v>1.65</v>
      </c>
      <c r="DG87" s="9" t="n">
        <v>41.13</v>
      </c>
      <c r="DH87" s="9" t="n">
        <v>32.32</v>
      </c>
      <c r="DI87" s="33">
        <f>PERCENTRANK(DH$2:INDEX($DH:$DH,LOOKUP(2,1/(ISNUMBER($A$2:$A$1048576)),ROW($A$2:$A$1048576))),DH87)</f>
        <v/>
      </c>
      <c r="DJ87" s="39">
        <f>SUM(DH87-DH$106)/DH$107</f>
        <v/>
      </c>
      <c r="DK87" s="9" t="n">
        <v>11.87</v>
      </c>
      <c r="DL87" s="9" t="n">
        <v>15.87</v>
      </c>
      <c r="DM87" s="9" t="n">
        <v>3.03</v>
      </c>
      <c r="DN87" s="9" t="n">
        <v>0.16</v>
      </c>
      <c r="DO87" s="9" t="n">
        <v>130.58</v>
      </c>
      <c r="DP87" s="9" t="n">
        <v>93.70999999999999</v>
      </c>
      <c r="DQ87" s="33">
        <f>PERCENTRANK(DP$2:INDEX($DP:$DP,LOOKUP(2,1/(ISNUMBER($A$2:$A$1048576)),ROW($A$2:$A$1048576))),DP87)</f>
        <v/>
      </c>
      <c r="DR87" s="40">
        <f>sum(DP87-DP$106)/DP$107</f>
        <v/>
      </c>
      <c r="DS87" s="9" t="n">
        <v>71.76000000000001</v>
      </c>
      <c r="DT87" s="9" t="n">
        <v>58.32</v>
      </c>
      <c r="DU87" s="9" t="n">
        <v>55</v>
      </c>
      <c r="DV87" s="9" t="n">
        <v>94.3</v>
      </c>
      <c r="DW87" s="9" t="n">
        <v>151.32</v>
      </c>
      <c r="DX87" s="9" t="n">
        <v>135.35</v>
      </c>
      <c r="DY87" s="9" t="n">
        <v>89.45</v>
      </c>
      <c r="DZ87" s="9" t="n">
        <v>49.74</v>
      </c>
      <c r="EA87" s="9" t="n">
        <v>27.03</v>
      </c>
      <c r="EB87" s="9" t="n">
        <v>54.35</v>
      </c>
      <c r="EC87" s="9" t="n">
        <v>46.55</v>
      </c>
      <c r="ED87" s="9" t="n">
        <v>28.97</v>
      </c>
      <c r="EE87" s="33">
        <f>PERCENTRANK(ED$2:INDEX($ED:$ED,LOOKUP(2,1/(ISNUMBER($A$2:$A$1048576)),ROW($A$2:$A$1048576))),ED87)</f>
        <v/>
      </c>
      <c r="EF87" s="40">
        <f>sum(ED87-ED$106)/ED$107</f>
        <v/>
      </c>
      <c r="EG87" s="9" t="n">
        <v>62.23</v>
      </c>
      <c r="EH87" s="9" t="n">
        <v>67.68000000000001</v>
      </c>
      <c r="EI87" s="9" t="n">
        <v>48.74</v>
      </c>
      <c r="EJ87" s="33">
        <f>PERCENTRANK(EI$2:INDEX($EI:$EI,LOOKUP(2,1/(ISNUMBER($A$2:$A$1048576)),ROW($A$2:$A$1048576))),EI87)</f>
        <v/>
      </c>
      <c r="EK87" s="40">
        <f>sum(EI87-EI$106)/EI$107</f>
        <v/>
      </c>
      <c r="EL87" s="9" t="n">
        <v>72.02</v>
      </c>
      <c r="EM87" s="9" t="n">
        <v>0.45</v>
      </c>
      <c r="EN87" s="9" t="n">
        <v>0.1</v>
      </c>
      <c r="EO87" s="9" t="n">
        <v>21.43</v>
      </c>
      <c r="EP87" s="9" t="n">
        <v>19</v>
      </c>
      <c r="EQ87" s="9" t="n">
        <v>17.58</v>
      </c>
      <c r="ER87" s="9" t="n">
        <v>92.53</v>
      </c>
      <c r="ES87" s="9" t="n">
        <v>7.42</v>
      </c>
      <c r="ET87" s="9" t="n">
        <v>15.2</v>
      </c>
      <c r="EU87" s="9" t="n">
        <v>4.02</v>
      </c>
      <c r="EV87" s="9" t="n">
        <v>13.37</v>
      </c>
      <c r="EW87" s="9" t="n">
        <v>19.66</v>
      </c>
      <c r="EX87" s="33">
        <f>PERCENTRANK(EW$2:INDEX($EW:$EW,LOOKUP(2,1/(ISNUMBER($A$2:$A$1048576)),ROW($A$2:$A$1048576))),EW87)</f>
        <v/>
      </c>
      <c r="EY87" s="38">
        <f>1-(EW87-EW$106)/EW$107</f>
        <v/>
      </c>
      <c r="EZ87" s="9" t="n">
        <v>21.38</v>
      </c>
      <c r="FA87" s="9" t="n">
        <v>8.66</v>
      </c>
      <c r="FB87" s="33">
        <f>PERCENTRANK(FA$2:INDEX($FA:$FA,LOOKUP(2,1/(ISNUMBER($A$2:$A$1048576)),ROW($A$2:$A$1048576))),FA87)</f>
        <v/>
      </c>
      <c r="FC87" s="39">
        <f>1-(FA87-FA$106)/FA$107</f>
        <v/>
      </c>
      <c r="FD87" s="9" t="n">
        <v>1.29</v>
      </c>
      <c r="FE87" s="9" t="n">
        <v>1.24</v>
      </c>
      <c r="FF87" s="33">
        <f>PERCENTRANK(FE$2:INDEX($FE:$FE,LOOKUP(2,1/(ISNUMBER($A$2:$A$1048576)),ROW($A$2:$A$1048576))),FE87)</f>
        <v/>
      </c>
      <c r="FG87" s="39">
        <f>1-(FE87-FE$106)/FE$107</f>
        <v/>
      </c>
      <c r="FH87" s="9" t="n">
        <v>9.84</v>
      </c>
      <c r="FI87" s="9" t="n">
        <v>3.55</v>
      </c>
      <c r="FJ87" s="9" t="n">
        <v>36.07</v>
      </c>
      <c r="FK87" s="9" t="n">
        <v>344.42</v>
      </c>
      <c r="FL87" s="33">
        <f>PERCENTRANK(FK$2:INDEX($FK:$FK,LOOKUP(2,1/(ISNUMBER($A$2:$A$1048576)),ROW($A$2:$A$1048576))),FK87)</f>
        <v/>
      </c>
      <c r="FM87" s="39">
        <f>SWA86-(FK87-FK$106)/FK$107</f>
        <v/>
      </c>
      <c r="FN87" s="9" t="n">
        <v>281.06</v>
      </c>
      <c r="FO87" s="9" t="n">
        <v>81.61</v>
      </c>
      <c r="FP87" s="9" t="n">
        <v>46.67</v>
      </c>
      <c r="FQ87" s="9" t="n">
        <v>90.48</v>
      </c>
      <c r="FR87" s="9" t="n">
        <v>17.23</v>
      </c>
      <c r="FS87" s="9" t="n">
        <v>32.94</v>
      </c>
      <c r="FT87" s="9" t="n">
        <v>40.32</v>
      </c>
      <c r="FU87" s="9" t="n">
        <v>67.26000000000001</v>
      </c>
      <c r="FV87" s="9" t="n">
        <v>30.26</v>
      </c>
      <c r="FW87" s="9" t="n">
        <v>26.39</v>
      </c>
      <c r="FX87" s="9" t="n">
        <v>10.61</v>
      </c>
      <c r="FY87" s="9" t="n">
        <v>162.77</v>
      </c>
      <c r="FZ87" s="9" t="n">
        <v>77.65000000000001</v>
      </c>
      <c r="GA87" s="9" t="n">
        <v>47.7</v>
      </c>
      <c r="GB87" s="9" t="n">
        <v>4.42</v>
      </c>
      <c r="GC87" s="9" t="n">
        <v>1.32</v>
      </c>
      <c r="GD87" s="9" t="n">
        <v>29.93</v>
      </c>
      <c r="GE87" s="9" t="n">
        <v>22.77</v>
      </c>
      <c r="GF87" s="9" t="n">
        <v>6.19</v>
      </c>
      <c r="GG87" s="9" t="n">
        <v>27.2</v>
      </c>
      <c r="GH87" s="9" t="n">
        <v>0.77</v>
      </c>
      <c r="GI87" s="9" t="n">
        <v>0.32</v>
      </c>
      <c r="GJ87" s="9" t="n">
        <v>41.67</v>
      </c>
      <c r="GK87" s="9" t="n">
        <v>27.35</v>
      </c>
      <c r="GL87" s="9" t="n">
        <v>2.81</v>
      </c>
      <c r="GM87" s="9" t="n">
        <v>10.26</v>
      </c>
      <c r="GN87" s="9" t="n">
        <v>3.58</v>
      </c>
      <c r="GO87" s="9" t="n">
        <v>1.16</v>
      </c>
      <c r="GP87" s="9" t="n">
        <v>32.43</v>
      </c>
      <c r="GQ87" s="9" t="n">
        <v>2.61</v>
      </c>
      <c r="GR87" s="9" t="n">
        <v>0.45</v>
      </c>
      <c r="GS87" s="9" t="n">
        <v>17.28</v>
      </c>
      <c r="GT87" s="9" t="n">
        <v>0.16</v>
      </c>
      <c r="GU87" s="9" t="n">
        <v>0.16</v>
      </c>
      <c r="GV87" s="9" t="n">
        <v>100</v>
      </c>
      <c r="GW87" s="9" t="n">
        <v>11.42</v>
      </c>
      <c r="GX87" s="9" t="n">
        <v>3.45</v>
      </c>
      <c r="GY87" s="9" t="n">
        <v>30.23</v>
      </c>
      <c r="GZ87" s="9" t="n">
        <v>3.32</v>
      </c>
      <c r="HA87" s="9" t="n">
        <v>5.32</v>
      </c>
      <c r="HB87" s="9" t="n">
        <v>19.39</v>
      </c>
      <c r="HC87" s="9" t="n">
        <v>3.52</v>
      </c>
      <c r="HD87" s="9" t="n">
        <v>6.32</v>
      </c>
      <c r="HE87" s="9" t="n">
        <v>13.97</v>
      </c>
      <c r="HF87" s="9" t="n">
        <v>56.45</v>
      </c>
      <c r="HG87" s="9" t="n">
        <v>24.52</v>
      </c>
      <c r="HH87" s="9" t="n">
        <v>43.43</v>
      </c>
      <c r="HI87" s="9" t="n">
        <v>2.39</v>
      </c>
      <c r="HJ87" s="9" t="n">
        <v>1.26</v>
      </c>
      <c r="HK87" s="9" t="n">
        <v>10.61</v>
      </c>
      <c r="HL87" s="9" t="n">
        <v>3.84</v>
      </c>
      <c r="HM87" s="9" t="n">
        <v>36.17</v>
      </c>
      <c r="HN87" s="9" t="n">
        <v>55.55</v>
      </c>
      <c r="HO87" s="9" t="n">
        <v>31.94</v>
      </c>
      <c r="HP87" s="9" t="n">
        <v>57.49</v>
      </c>
      <c r="HQ87" s="9" t="n">
        <v>28.48</v>
      </c>
      <c r="HR87" s="9" t="n">
        <v>12.39</v>
      </c>
      <c r="HS87" s="9" t="n">
        <v>43.49</v>
      </c>
      <c r="HT87" s="9" t="n">
        <v>2.42</v>
      </c>
      <c r="HU87" s="9" t="n">
        <v>1.19</v>
      </c>
      <c r="HV87" s="9" t="n">
        <v>49.33</v>
      </c>
      <c r="HW87" s="9" t="n">
        <v>34.52</v>
      </c>
      <c r="HX87" s="9" t="n">
        <v>12.94</v>
      </c>
      <c r="HY87" s="9" t="n">
        <v>15.32</v>
      </c>
      <c r="HZ87" s="9" t="n">
        <v>3.1</v>
      </c>
      <c r="IA87" s="9" t="n">
        <v>0.16</v>
      </c>
      <c r="IB87" s="9" t="n">
        <v>117.94</v>
      </c>
      <c r="IC87" s="9" t="n">
        <v>83.09999999999999</v>
      </c>
      <c r="ID87" s="9" t="n">
        <v>70.45999999999999</v>
      </c>
      <c r="IE87" s="9" t="n">
        <v>53.1</v>
      </c>
      <c r="IF87" s="9" t="n">
        <v>49.35</v>
      </c>
      <c r="IG87" s="9" t="n">
        <v>92.95</v>
      </c>
      <c r="IH87" s="9" t="n">
        <v>124.48</v>
      </c>
      <c r="II87" s="9" t="n">
        <v>109.87</v>
      </c>
      <c r="IJ87" s="9" t="n">
        <v>88.26000000000001</v>
      </c>
      <c r="IK87" s="9" t="n">
        <v>40.87</v>
      </c>
      <c r="IL87" s="9" t="n">
        <v>20.45</v>
      </c>
      <c r="IM87" s="9" t="n">
        <v>50.04</v>
      </c>
      <c r="IN87" s="9" t="n">
        <v>43.71</v>
      </c>
      <c r="IO87" s="9" t="n">
        <v>27.58</v>
      </c>
      <c r="IP87" s="9" t="n">
        <v>63.1</v>
      </c>
      <c r="IQ87" s="9" t="n">
        <v>57.81</v>
      </c>
      <c r="IR87" s="9" t="n">
        <v>39.06</v>
      </c>
      <c r="IS87" s="9" t="n">
        <v>67.58</v>
      </c>
      <c r="IT87" s="33">
        <f>PERCENTRANK(IS$2:INDEX($IS:$IS,LOOKUP(2,1/(ISNUMBER($A$2:$A$1048576)),ROW($A$2:$A$1048576))),IS87)</f>
        <v/>
      </c>
      <c r="IU87" s="39">
        <f>1-(IS87-IS$106)/IS$107</f>
        <v/>
      </c>
      <c r="IV87" s="9" t="n">
        <v>1.23</v>
      </c>
      <c r="IW87" s="9" t="n">
        <v>0.35</v>
      </c>
      <c r="IX87" s="9" t="n">
        <v>28.95</v>
      </c>
      <c r="IY87" s="9" t="n">
        <v>18.19</v>
      </c>
      <c r="IZ87" s="9" t="n">
        <v>15.48</v>
      </c>
      <c r="JA87" s="9" t="n">
        <v>85.11</v>
      </c>
      <c r="JB87" s="9" t="n">
        <v>8</v>
      </c>
      <c r="JC87" s="9" t="n">
        <v>15.7</v>
      </c>
      <c r="JD87" s="9" t="n">
        <v>3.64</v>
      </c>
      <c r="JE87" s="9" t="n">
        <v>12.22</v>
      </c>
      <c r="JF87" s="9" t="n">
        <v>18.87</v>
      </c>
      <c r="JG87" s="9" t="n">
        <v>20.27</v>
      </c>
      <c r="JH87" s="9" t="n">
        <v>11.17</v>
      </c>
    </row>
    <row r="88">
      <c r="A88" s="12" t="n">
        <v>2025</v>
      </c>
      <c r="B88" s="31" t="inlineStr">
        <is>
          <t>Orange County SC</t>
        </is>
      </c>
      <c r="C88" s="12" t="n">
        <v>39</v>
      </c>
      <c r="D88" s="5">
        <f>(C88-AVERAGE($C$2:INDEX($C:$C,LOOKUP(2,1/(ISNUMBER($A$2:$A$1048576)),ROW($A$2:$A$1048576)))))/_xlfn.STDEV.P($C$2:INDEX($C:$C,LOOKUP(2,1/(ISNUMBER($A$2:$A$1048576)),ROW($A$2:$A$1048576))))</f>
        <v/>
      </c>
      <c r="E88" s="12" t="n">
        <v>7</v>
      </c>
      <c r="F88" s="6">
        <f>-E88</f>
        <v/>
      </c>
      <c r="G88" s="7">
        <f>(F88-AVERAGE($F$2:INDEX($F:$F,LOOKUP(2,1/(ISNUMBER($A$2:$A$1048576)),ROW($A$2:$A$1048576)))))/_xlfn.STDEV.P($F$2:INDEX($F:$F,LOOKUP(2,1/(ISNUMBER($A$2:$A$1048576)),ROW($A$2:$A$1048576))))</f>
        <v/>
      </c>
      <c r="H88" s="32">
        <f>sum(0.5*D88)+(0.5*G88)</f>
        <v/>
      </c>
      <c r="I88" s="12" t="inlineStr">
        <is>
          <t>West</t>
        </is>
      </c>
      <c r="J88" s="10">
        <f>sum(L88*L$105)+(N88*N$105)+(P88*P$105)+(T88*R$105)</f>
        <v/>
      </c>
      <c r="K88" s="33">
        <f>PERCENTRANK(J$2:INDEX($J:$J,LOOKUP(2,1/(ISNUMBER($A$2:$A$1048576)),ROW($A$2:$A$1048576))),J88)</f>
        <v/>
      </c>
      <c r="L88" s="10">
        <f>sum(AA88*0.66)+(AD88*0.55)+(AG88*0.59)+(CG88*0.51)+(CL88*0.6)+(EY88*0.31)</f>
        <v/>
      </c>
      <c r="M88" s="33">
        <f>PERCENTRANK(L$2:INDEX($L:$L,LOOKUP(2,1/(ISNUMBER($A$2:$A$1048576)),ROW($A$2:$A$1048576))),L88)</f>
        <v/>
      </c>
      <c r="N88" s="10">
        <f>sum(CT88*0.57)+(CW88*0.71)+(DJ88*0.08)+(FC88*0.33)+(FG88*0.69)+(FM88*0.26)+(IU88*0.54)+(AU88*0.4)</f>
        <v/>
      </c>
      <c r="O88" s="33">
        <f>PERCENTRANK(N$2:INDEX($N:$N,LOOKUP(2,1/(ISNUMBER($A$2:$A$1048576)),ROW($A$2:$A$1048576))),N88)</f>
        <v/>
      </c>
      <c r="P88" s="10">
        <f>sum(BG88*0.51)+(CD88*0.51)+(DR88*0.11)+(EF88*0.42)+(EK88*0.44)+(W88*0.6)</f>
        <v/>
      </c>
      <c r="Q88" s="33">
        <f>PERCENTRANK(P$2:INDEX($P:$P,LOOKUP(2,1/(ISNUMBER($A$2:$A$1048576)),ROW($A$2:$A$1048576))),P88)</f>
        <v/>
      </c>
      <c r="R88" s="10">
        <f>sum(Y88-FE88)</f>
        <v/>
      </c>
      <c r="S88" s="33">
        <f>PERCENTRANK(R$2:INDEX($R:$R,LOOKUP(2,1/(ISNUMBER($A$2:$A$1048576)),ROW($A$2:$A$1048576))),R88)</f>
        <v/>
      </c>
      <c r="T88" s="34">
        <f>sum(R88-R$106)/R$107</f>
        <v/>
      </c>
      <c r="U88" s="35">
        <f>sum(Y88/AI88)*100</f>
        <v/>
      </c>
      <c r="V88" s="33">
        <f>PERCENTRANK(U$2:INDEX($U:$U,LOOKUP(2,1/(ISNUMBER($A$2:$A$1048576)),ROW($A$2:$A$1048576))),U88)</f>
        <v/>
      </c>
      <c r="W88" s="36">
        <f>sum(U88-U$106)/U$107</f>
        <v/>
      </c>
      <c r="X88" s="9" t="n">
        <v>1.41</v>
      </c>
      <c r="Y88" s="9" t="n">
        <v>1.28</v>
      </c>
      <c r="Z88" s="33">
        <f>PERCENTRANK(Y$2:INDEX($Y:$Y,LOOKUP(2,1/(ISNUMBER($A$2:$A$1048576)),ROW($A$2:$A$1048576))),Y88)</f>
        <v/>
      </c>
      <c r="AA88" s="37">
        <f>sum(Y88-Y$106)/Y$107</f>
        <v/>
      </c>
      <c r="AB88" s="9" t="n">
        <v>10.75</v>
      </c>
      <c r="AC88" s="33">
        <f>PERCENTRANK(AB$2:INDEX($AB:$AB,LOOKUP(2,1/(ISNUMBER($A$2:$A$1048576)),ROW($A$2:$A$1048576))),AB88)</f>
        <v/>
      </c>
      <c r="AD88" s="38">
        <f>sum(AB88-AB$106)/AB$107</f>
        <v/>
      </c>
      <c r="AE88" s="9" t="n">
        <v>3.72</v>
      </c>
      <c r="AF88" s="33">
        <f>PERCENTRANK(AE$2:INDEX($AE:$AE,LOOKUP(2,1/(ISNUMBER($A$2:$A$1048576)),ROW($A$2:$A$1048576))),AE88)</f>
        <v/>
      </c>
      <c r="AG88" s="38">
        <f>sum(AE88-AE$106)/AE$107</f>
        <v/>
      </c>
      <c r="AH88" s="9" t="n">
        <v>34.59</v>
      </c>
      <c r="AI88" s="9" t="n">
        <v>394.28</v>
      </c>
      <c r="AJ88" s="9" t="n">
        <v>331.53</v>
      </c>
      <c r="AK88" s="9" t="n">
        <v>84.08</v>
      </c>
      <c r="AL88" s="9" t="n">
        <v>49.45</v>
      </c>
      <c r="AM88" s="9" t="n">
        <v>96.19</v>
      </c>
      <c r="AN88" s="9" t="n">
        <v>19.25</v>
      </c>
      <c r="AO88" s="9" t="n">
        <v>33.63</v>
      </c>
      <c r="AP88" s="9" t="n">
        <v>43.31</v>
      </c>
      <c r="AQ88" s="9" t="n">
        <v>67.16</v>
      </c>
      <c r="AR88" s="9" t="n">
        <v>32.72</v>
      </c>
      <c r="AS88" s="9" t="n">
        <v>25.16</v>
      </c>
      <c r="AT88" s="33">
        <f>PERCENTRANK(AS$2:INDEX($AS:$AS,LOOKUP(2,1/(ISNUMBER($A$2:$A$1048576)),ROW($A$2:$A$1048576))),AS88)</f>
        <v/>
      </c>
      <c r="AU88" s="39">
        <f>SUM(AS88-AS$106)/AS$107</f>
        <v/>
      </c>
      <c r="AV88" s="9" t="n">
        <v>9.279999999999999</v>
      </c>
      <c r="AW88" s="33">
        <f>PERCENTRANK(AV$2:INDEX($AV:$AV,LOOKUP(2,1/(ISNUMBER($A$2:$A$1048576)),ROW($A$2:$A$1048576))),AV88)</f>
        <v/>
      </c>
      <c r="AX88" s="9" t="n">
        <v>171.25</v>
      </c>
      <c r="AY88" s="9" t="n">
        <v>82.75</v>
      </c>
      <c r="AZ88" s="9" t="n">
        <v>48.32</v>
      </c>
      <c r="BA88" s="9" t="n">
        <v>4.53</v>
      </c>
      <c r="BB88" s="9" t="n">
        <v>1.13</v>
      </c>
      <c r="BC88" s="9" t="n">
        <v>24.83</v>
      </c>
      <c r="BD88" s="9" t="n">
        <v>23.69</v>
      </c>
      <c r="BE88" s="9" t="n">
        <v>6.31</v>
      </c>
      <c r="BF88" s="33">
        <f>PERCENTRANK(BE$2:INDEX($BE:$BE,LOOKUP(2,1/(ISNUMBER($A$2:$A$1048576)),ROW($A$2:$A$1048576))),BE88)</f>
        <v/>
      </c>
      <c r="BG88" s="40">
        <f>sum(BE88-BE$106)/BE$107</f>
        <v/>
      </c>
      <c r="BH88" s="9" t="n">
        <v>26.65</v>
      </c>
      <c r="BI88" s="9" t="n">
        <v>0.44</v>
      </c>
      <c r="BJ88" s="9" t="n">
        <v>0.28</v>
      </c>
      <c r="BK88" s="9" t="n">
        <v>64.29000000000001</v>
      </c>
      <c r="BL88" s="9" t="n">
        <v>27.28</v>
      </c>
      <c r="BM88" s="9" t="n">
        <v>3.72</v>
      </c>
      <c r="BN88" s="9" t="n">
        <v>13.63</v>
      </c>
      <c r="BO88" s="9" t="n">
        <v>4.41</v>
      </c>
      <c r="BP88" s="9" t="n">
        <v>1.34</v>
      </c>
      <c r="BQ88" s="9" t="n">
        <v>30.5</v>
      </c>
      <c r="BR88" s="9" t="n">
        <v>2.41</v>
      </c>
      <c r="BS88" s="9" t="n">
        <v>0.84</v>
      </c>
      <c r="BT88" s="9" t="n">
        <v>35.06</v>
      </c>
      <c r="BU88" s="9" t="n">
        <v>0.16</v>
      </c>
      <c r="BV88" s="9" t="n">
        <v>0.13</v>
      </c>
      <c r="BW88" s="9" t="n">
        <v>80</v>
      </c>
      <c r="BX88" s="9" t="n">
        <v>12.84</v>
      </c>
      <c r="BY88" s="9" t="n">
        <v>4.63</v>
      </c>
      <c r="BZ88" s="9" t="n">
        <v>36.01</v>
      </c>
      <c r="CA88" s="9" t="n">
        <v>4.31</v>
      </c>
      <c r="CB88" s="9" t="n">
        <v>5.72</v>
      </c>
      <c r="CC88" s="33">
        <f>PERCENTRANK(CD$2:INDEX($CD:$CD,LOOKUP(2,1/(ISNUMBER($A$2:$A$1048576)),ROW($A$2:$A$1048576))),CD88)</f>
        <v/>
      </c>
      <c r="CD88" s="40">
        <f>sum(CB88-CB$106)/CB$107</f>
        <v/>
      </c>
      <c r="CE88" s="9" t="n">
        <v>20.78</v>
      </c>
      <c r="CF88" s="33">
        <f>PERCENTRANK(CE$2:INDEX($CE:$CE,LOOKUP(2,1/(ISNUMBER($A$2:$A$1048576)),ROW($A$2:$A$1048576))),CE88)</f>
        <v/>
      </c>
      <c r="CG88" s="38">
        <f>sum(CE88-CE$106)/CE$107</f>
        <v/>
      </c>
      <c r="CH88" s="9" t="n">
        <v>3.22</v>
      </c>
      <c r="CI88" s="9" t="n">
        <v>7.88</v>
      </c>
      <c r="CJ88" s="9" t="n">
        <v>13.84</v>
      </c>
      <c r="CK88" s="33">
        <f>PERCENTRANK(CJ$2:INDEX($CJ:$CJ,LOOKUP(2,1/(ISNUMBER($A$2:$A$1048576)),ROW($A$2:$A$1048576))),CJ88)</f>
        <v/>
      </c>
      <c r="CL88" s="38">
        <f>sum(CJ88-CJ$106)/CJ$107</f>
        <v/>
      </c>
      <c r="CM88" s="9" t="n">
        <v>56.78</v>
      </c>
      <c r="CN88" s="9" t="n">
        <v>24.97</v>
      </c>
      <c r="CO88" s="9" t="n">
        <v>43.97</v>
      </c>
      <c r="CP88" s="9" t="n">
        <v>1.63</v>
      </c>
      <c r="CQ88" s="9" t="n">
        <v>1.47</v>
      </c>
      <c r="CR88" s="9" t="n">
        <v>11.94</v>
      </c>
      <c r="CS88" s="33">
        <f>PERCENTRANK(CR$2:INDEX($CR:$CR,LOOKUP(2,1/(ISNUMBER($A$2:$A$1048576)),ROW($A$2:$A$1048576))),CR88)</f>
        <v/>
      </c>
      <c r="CT88" s="39">
        <f>1-(CR88-CR$106)/CR$107</f>
        <v/>
      </c>
      <c r="CU88" s="9" t="n">
        <v>4.22</v>
      </c>
      <c r="CV88" s="33">
        <f>PERCENTRANK(CU$2:INDEX($CU:$CU,LOOKUP(2,1/(ISNUMBER($A$2:$A$1048576)),ROW($A$2:$A$1048576))),CU88)</f>
        <v/>
      </c>
      <c r="CW88" s="39">
        <f>1-(CU88-CU$106)/CU$107</f>
        <v/>
      </c>
      <c r="CX88" s="9" t="n">
        <v>35.34</v>
      </c>
      <c r="CY88" s="9" t="n">
        <v>59</v>
      </c>
      <c r="CZ88" s="9" t="n">
        <v>35.16</v>
      </c>
      <c r="DA88" s="9" t="n">
        <v>59.59</v>
      </c>
      <c r="DB88" s="9" t="n">
        <v>35.25</v>
      </c>
      <c r="DC88" s="9" t="n">
        <v>14.28</v>
      </c>
      <c r="DD88" s="9" t="n">
        <v>40.51</v>
      </c>
      <c r="DE88" s="9" t="n">
        <v>2.72</v>
      </c>
      <c r="DF88" s="9" t="n">
        <v>1.44</v>
      </c>
      <c r="DG88" s="9" t="n">
        <v>52.87</v>
      </c>
      <c r="DH88" s="9" t="n">
        <v>33.78</v>
      </c>
      <c r="DI88" s="33">
        <f>PERCENTRANK(DH$2:INDEX($DH:$DH,LOOKUP(2,1/(ISNUMBER($A$2:$A$1048576)),ROW($A$2:$A$1048576))),DH88)</f>
        <v/>
      </c>
      <c r="DJ88" s="39">
        <f>SUM(DH88-DH$106)/DH$107</f>
        <v/>
      </c>
      <c r="DK88" s="9" t="n">
        <v>14.59</v>
      </c>
      <c r="DL88" s="9" t="n">
        <v>12.63</v>
      </c>
      <c r="DM88" s="9" t="n">
        <v>2.25</v>
      </c>
      <c r="DN88" s="9" t="n">
        <v>0.13</v>
      </c>
      <c r="DO88" s="9" t="n">
        <v>132.47</v>
      </c>
      <c r="DP88" s="9" t="n">
        <v>96.06</v>
      </c>
      <c r="DQ88" s="33">
        <f>PERCENTRANK(DP$2:INDEX($DP:$DP,LOOKUP(2,1/(ISNUMBER($A$2:$A$1048576)),ROW($A$2:$A$1048576))),DP88)</f>
        <v/>
      </c>
      <c r="DR88" s="40">
        <f>sum(DP88-DP$106)/DP$107</f>
        <v/>
      </c>
      <c r="DS88" s="9" t="n">
        <v>72.52</v>
      </c>
      <c r="DT88" s="9" t="n">
        <v>59.34</v>
      </c>
      <c r="DU88" s="9" t="n">
        <v>56.13</v>
      </c>
      <c r="DV88" s="9" t="n">
        <v>94.58</v>
      </c>
      <c r="DW88" s="9" t="n">
        <v>149.28</v>
      </c>
      <c r="DX88" s="9" t="n">
        <v>135.19</v>
      </c>
      <c r="DY88" s="9" t="n">
        <v>90.56</v>
      </c>
      <c r="DZ88" s="9" t="n">
        <v>45.41</v>
      </c>
      <c r="EA88" s="9" t="n">
        <v>24.44</v>
      </c>
      <c r="EB88" s="9" t="n">
        <v>53.82</v>
      </c>
      <c r="EC88" s="9" t="n">
        <v>48.13</v>
      </c>
      <c r="ED88" s="9" t="n">
        <v>32.09</v>
      </c>
      <c r="EE88" s="33">
        <f>PERCENTRANK(ED$2:INDEX($ED:$ED,LOOKUP(2,1/(ISNUMBER($A$2:$A$1048576)),ROW($A$2:$A$1048576))),ED88)</f>
        <v/>
      </c>
      <c r="EF88" s="40">
        <f>sum(ED88-ED$106)/ED$107</f>
        <v/>
      </c>
      <c r="EG88" s="9" t="n">
        <v>66.69</v>
      </c>
      <c r="EH88" s="9" t="n">
        <v>64.81</v>
      </c>
      <c r="EI88" s="9" t="n">
        <v>46.5</v>
      </c>
      <c r="EJ88" s="33">
        <f>PERCENTRANK(EI$2:INDEX($EI:$EI,LOOKUP(2,1/(ISNUMBER($A$2:$A$1048576)),ROW($A$2:$A$1048576))),EI88)</f>
        <v/>
      </c>
      <c r="EK88" s="40">
        <f>sum(EI88-EI$106)/EI$107</f>
        <v/>
      </c>
      <c r="EL88" s="9" t="n">
        <v>71.75</v>
      </c>
      <c r="EM88" s="9" t="n">
        <v>0.5</v>
      </c>
      <c r="EN88" s="9" t="n">
        <v>0.25</v>
      </c>
      <c r="EO88" s="9" t="n">
        <v>50</v>
      </c>
      <c r="EP88" s="9" t="n">
        <v>16.66</v>
      </c>
      <c r="EQ88" s="9" t="n">
        <v>15.03</v>
      </c>
      <c r="ER88" s="9" t="n">
        <v>90.23999999999999</v>
      </c>
      <c r="ES88" s="9" t="n">
        <v>8.44</v>
      </c>
      <c r="ET88" s="9" t="n">
        <v>15.68</v>
      </c>
      <c r="EU88" s="9" t="n">
        <v>4.21</v>
      </c>
      <c r="EV88" s="9" t="n">
        <v>12.29</v>
      </c>
      <c r="EW88" s="9" t="n">
        <v>18.09</v>
      </c>
      <c r="EX88" s="33">
        <f>PERCENTRANK(EW$2:INDEX($EW:$EW,LOOKUP(2,1/(ISNUMBER($A$2:$A$1048576)),ROW($A$2:$A$1048576))),EW88)</f>
        <v/>
      </c>
      <c r="EY88" s="38">
        <f>1-(EW88-EW$106)/EW$107</f>
        <v/>
      </c>
      <c r="EZ88" s="9" t="n">
        <v>20.61</v>
      </c>
      <c r="FA88" s="9" t="n">
        <v>13.05</v>
      </c>
      <c r="FB88" s="33">
        <f>PERCENTRANK(FA$2:INDEX($FA:$FA,LOOKUP(2,1/(ISNUMBER($A$2:$A$1048576)),ROW($A$2:$A$1048576))),FA88)</f>
        <v/>
      </c>
      <c r="FC88" s="39">
        <f>1-(FA88-FA$106)/FA$107</f>
        <v/>
      </c>
      <c r="FD88" s="9" t="n">
        <v>1.47</v>
      </c>
      <c r="FE88" s="9" t="n">
        <v>1.32</v>
      </c>
      <c r="FF88" s="33">
        <f>PERCENTRANK(FE$2:INDEX($FE:$FE,LOOKUP(2,1/(ISNUMBER($A$2:$A$1048576)),ROW($A$2:$A$1048576))),FE88)</f>
        <v/>
      </c>
      <c r="FG88" s="39">
        <f>1-(FE88-FE$106)/FE$107</f>
        <v/>
      </c>
      <c r="FH88" s="9" t="n">
        <v>11.94</v>
      </c>
      <c r="FI88" s="9" t="n">
        <v>4.03</v>
      </c>
      <c r="FJ88" s="9" t="n">
        <v>33.77</v>
      </c>
      <c r="FK88" s="9" t="n">
        <v>401.31</v>
      </c>
      <c r="FL88" s="33">
        <f>PERCENTRANK(FK$2:INDEX($FK:$FK,LOOKUP(2,1/(ISNUMBER($A$2:$A$1048576)),ROW($A$2:$A$1048576))),FK88)</f>
        <v/>
      </c>
      <c r="FM88" s="39">
        <f>SWA87-(FK88-FK$106)/FK$107</f>
        <v/>
      </c>
      <c r="FN88" s="9" t="n">
        <v>339.22</v>
      </c>
      <c r="FO88" s="9" t="n">
        <v>84.53</v>
      </c>
      <c r="FP88" s="9" t="n">
        <v>50.55</v>
      </c>
      <c r="FQ88" s="9" t="n">
        <v>95.06</v>
      </c>
      <c r="FR88" s="9" t="n">
        <v>17.41</v>
      </c>
      <c r="FS88" s="9" t="n">
        <v>30.72</v>
      </c>
      <c r="FT88" s="9" t="n">
        <v>46.94</v>
      </c>
      <c r="FU88" s="9" t="n">
        <v>69.38</v>
      </c>
      <c r="FV88" s="9" t="n">
        <v>30.91</v>
      </c>
      <c r="FW88" s="9" t="n">
        <v>26.59</v>
      </c>
      <c r="FX88" s="9" t="n">
        <v>11.88</v>
      </c>
      <c r="FY88" s="9" t="n">
        <v>171.25</v>
      </c>
      <c r="FZ88" s="9" t="n">
        <v>81.5</v>
      </c>
      <c r="GA88" s="9" t="n">
        <v>47.59</v>
      </c>
      <c r="GB88" s="9" t="n">
        <v>5.28</v>
      </c>
      <c r="GC88" s="9" t="n">
        <v>1.31</v>
      </c>
      <c r="GD88" s="9" t="n">
        <v>24.85</v>
      </c>
      <c r="GE88" s="9" t="n">
        <v>27.16</v>
      </c>
      <c r="GF88" s="9" t="n">
        <v>6.69</v>
      </c>
      <c r="GG88" s="9" t="n">
        <v>24.63</v>
      </c>
      <c r="GH88" s="9" t="n">
        <v>0.41</v>
      </c>
      <c r="GI88" s="9" t="n">
        <v>0.34</v>
      </c>
      <c r="GJ88" s="9" t="n">
        <v>84.62</v>
      </c>
      <c r="GK88" s="9" t="n">
        <v>26</v>
      </c>
      <c r="GL88" s="9" t="n">
        <v>4.16</v>
      </c>
      <c r="GM88" s="9" t="n">
        <v>15.99</v>
      </c>
      <c r="GN88" s="9" t="n">
        <v>5.47</v>
      </c>
      <c r="GO88" s="9" t="n">
        <v>1.56</v>
      </c>
      <c r="GP88" s="9" t="n">
        <v>28.57</v>
      </c>
      <c r="GQ88" s="9" t="n">
        <v>2.75</v>
      </c>
      <c r="GR88" s="9" t="n">
        <v>0.9399999999999999</v>
      </c>
      <c r="GS88" s="9" t="n">
        <v>34.09</v>
      </c>
      <c r="GT88" s="9" t="n">
        <v>0.13</v>
      </c>
      <c r="GU88" s="9" t="n">
        <v>0.13</v>
      </c>
      <c r="GV88" s="9" t="n">
        <v>100</v>
      </c>
      <c r="GW88" s="9" t="n">
        <v>16.09</v>
      </c>
      <c r="GX88" s="9" t="n">
        <v>5.09</v>
      </c>
      <c r="GY88" s="9" t="n">
        <v>31.65</v>
      </c>
      <c r="GZ88" s="9" t="n">
        <v>5.16</v>
      </c>
      <c r="HA88" s="9" t="n">
        <v>6.84</v>
      </c>
      <c r="HB88" s="9" t="n">
        <v>22.5</v>
      </c>
      <c r="HC88" s="9" t="n">
        <v>3.13</v>
      </c>
      <c r="HD88" s="9" t="n">
        <v>10.06</v>
      </c>
      <c r="HE88" s="9" t="n">
        <v>16.72</v>
      </c>
      <c r="HF88" s="9" t="n">
        <v>58.97</v>
      </c>
      <c r="HG88" s="9" t="n">
        <v>23.81</v>
      </c>
      <c r="HH88" s="9" t="n">
        <v>40.38</v>
      </c>
      <c r="HI88" s="9" t="n">
        <v>1.25</v>
      </c>
      <c r="HJ88" s="9" t="n">
        <v>1.41</v>
      </c>
      <c r="HK88" s="9" t="n">
        <v>10.75</v>
      </c>
      <c r="HL88" s="9" t="n">
        <v>3.94</v>
      </c>
      <c r="HM88" s="9" t="n">
        <v>36.63</v>
      </c>
      <c r="HN88" s="9" t="n">
        <v>56.81</v>
      </c>
      <c r="HO88" s="9" t="n">
        <v>31.81</v>
      </c>
      <c r="HP88" s="9" t="n">
        <v>56</v>
      </c>
      <c r="HQ88" s="9" t="n">
        <v>35.25</v>
      </c>
      <c r="HR88" s="9" t="n">
        <v>17.13</v>
      </c>
      <c r="HS88" s="9" t="n">
        <v>48.58</v>
      </c>
      <c r="HT88" s="9" t="n">
        <v>2.44</v>
      </c>
      <c r="HU88" s="9" t="n">
        <v>1.16</v>
      </c>
      <c r="HV88" s="9" t="n">
        <v>47.44</v>
      </c>
      <c r="HW88" s="9" t="n">
        <v>32.06</v>
      </c>
      <c r="HX88" s="9" t="n">
        <v>13.94</v>
      </c>
      <c r="HY88" s="9" t="n">
        <v>15.03</v>
      </c>
      <c r="HZ88" s="9" t="n">
        <v>2.97</v>
      </c>
      <c r="IA88" s="9" t="n">
        <v>0.19</v>
      </c>
      <c r="IB88" s="9" t="n">
        <v>134.94</v>
      </c>
      <c r="IC88" s="9" t="n">
        <v>101.34</v>
      </c>
      <c r="ID88" s="9" t="n">
        <v>75.09999999999999</v>
      </c>
      <c r="IE88" s="9" t="n">
        <v>65.31</v>
      </c>
      <c r="IF88" s="9" t="n">
        <v>62.25</v>
      </c>
      <c r="IG88" s="9" t="n">
        <v>95.31</v>
      </c>
      <c r="IH88" s="9" t="n">
        <v>144.06</v>
      </c>
      <c r="II88" s="9" t="n">
        <v>127.47</v>
      </c>
      <c r="IJ88" s="9" t="n">
        <v>88.48</v>
      </c>
      <c r="IK88" s="9" t="n">
        <v>41.84</v>
      </c>
      <c r="IL88" s="9" t="n">
        <v>23.56</v>
      </c>
      <c r="IM88" s="9" t="n">
        <v>56.31</v>
      </c>
      <c r="IN88" s="9" t="n">
        <v>52.63</v>
      </c>
      <c r="IO88" s="9" t="n">
        <v>38</v>
      </c>
      <c r="IP88" s="9" t="n">
        <v>72.20999999999999</v>
      </c>
      <c r="IQ88" s="9" t="n">
        <v>67.19</v>
      </c>
      <c r="IR88" s="9" t="n">
        <v>49.5</v>
      </c>
      <c r="IS88" s="9" t="n">
        <v>73.67</v>
      </c>
      <c r="IT88" s="33">
        <f>PERCENTRANK(IS$2:INDEX($IS:$IS,LOOKUP(2,1/(ISNUMBER($A$2:$A$1048576)),ROW($A$2:$A$1048576))),IS88)</f>
        <v/>
      </c>
      <c r="IU88" s="39">
        <f>1-(IS88-IS$106)/IS$107</f>
        <v/>
      </c>
      <c r="IV88" s="9" t="n">
        <v>0.38</v>
      </c>
      <c r="IW88" s="9" t="n">
        <v>0.13</v>
      </c>
      <c r="IX88" s="9" t="n">
        <v>33.33</v>
      </c>
      <c r="IY88" s="9" t="n">
        <v>16.44</v>
      </c>
      <c r="IZ88" s="9" t="n">
        <v>14.75</v>
      </c>
      <c r="JA88" s="9" t="n">
        <v>89.73</v>
      </c>
      <c r="JB88" s="9" t="n">
        <v>7.06</v>
      </c>
      <c r="JC88" s="9" t="n">
        <v>15.7</v>
      </c>
      <c r="JD88" s="9" t="n">
        <v>4.27</v>
      </c>
      <c r="JE88" s="9" t="n">
        <v>11.04</v>
      </c>
      <c r="JF88" s="9" t="n">
        <v>18.79</v>
      </c>
      <c r="JG88" s="9" t="n">
        <v>19.78</v>
      </c>
      <c r="JH88" s="9" t="n">
        <v>11.67</v>
      </c>
    </row>
    <row r="89">
      <c r="A89" s="12" t="n">
        <v>2022</v>
      </c>
      <c r="B89" s="31" t="inlineStr">
        <is>
          <t>Atlanta United II</t>
        </is>
      </c>
      <c r="C89" s="12" t="n">
        <v>23</v>
      </c>
      <c r="D89" s="5">
        <f>(C89-AVERAGE($C$2:INDEX($C:$C,LOOKUP(2,1/(ISNUMBER($A$2:$A$1048576)),ROW($A$2:$A$1048576)))))/_xlfn.STDEV.P($C$2:INDEX($C:$C,LOOKUP(2,1/(ISNUMBER($A$2:$A$1048576)),ROW($A$2:$A$1048576))))</f>
        <v/>
      </c>
      <c r="E89" s="12" t="n">
        <v>13</v>
      </c>
      <c r="F89" s="6">
        <f>-E89</f>
        <v/>
      </c>
      <c r="G89" s="7">
        <f>(F89-AVERAGE($F$2:INDEX($F:$F,LOOKUP(2,1/(ISNUMBER($A$2:$A$1048576)),ROW($A$2:$A$1048576)))))/_xlfn.STDEV.P($F$2:INDEX($F:$F,LOOKUP(2,1/(ISNUMBER($A$2:$A$1048576)),ROW($A$2:$A$1048576))))</f>
        <v/>
      </c>
      <c r="H89" s="32">
        <f>sum(0.5*D89)+(0.5*G89)</f>
        <v/>
      </c>
      <c r="I89" s="12" t="inlineStr">
        <is>
          <t>East</t>
        </is>
      </c>
      <c r="J89" s="10">
        <f>sum(L89*L$105)+(N89*N$105)+(P89*P$105)+(T89*R$105)</f>
        <v/>
      </c>
      <c r="K89" s="33">
        <f>PERCENTRANK(J$2:INDEX($J:$J,LOOKUP(2,1/(ISNUMBER($A$2:$A$1048576)),ROW($A$2:$A$1048576))),J89)</f>
        <v/>
      </c>
      <c r="L89" s="10">
        <f>sum(AA89*0.66)+(AD89*0.55)+(AG89*0.59)+(CG89*0.51)+(CL89*0.6)+(EY89*0.31)</f>
        <v/>
      </c>
      <c r="M89" s="33">
        <f>PERCENTRANK(L$2:INDEX($L:$L,LOOKUP(2,1/(ISNUMBER($A$2:$A$1048576)),ROW($A$2:$A$1048576))),L89)</f>
        <v/>
      </c>
      <c r="N89" s="10">
        <f>sum(CT89*0.57)+(CW89*0.71)+(DJ89*0.08)+(FC89*0.33)+(FG89*0.69)+(FM89*0.26)+(IU89*0.54)+(AU89*0.4)</f>
        <v/>
      </c>
      <c r="O89" s="33">
        <f>PERCENTRANK(N$2:INDEX($N:$N,LOOKUP(2,1/(ISNUMBER($A$2:$A$1048576)),ROW($A$2:$A$1048576))),N89)</f>
        <v/>
      </c>
      <c r="P89" s="10">
        <f>sum(BG89*0.51)+(CD89*0.51)+(DR89*0.11)+(EF89*0.42)+(EK89*0.44)+(W89*0.6)</f>
        <v/>
      </c>
      <c r="Q89" s="33">
        <f>PERCENTRANK(P$2:INDEX($P:$P,LOOKUP(2,1/(ISNUMBER($A$2:$A$1048576)),ROW($A$2:$A$1048576))),P89)</f>
        <v/>
      </c>
      <c r="R89" s="10">
        <f>sum(Y89-FE89)</f>
        <v/>
      </c>
      <c r="S89" s="33">
        <f>PERCENTRANK(R$2:INDEX($R:$R,LOOKUP(2,1/(ISNUMBER($A$2:$A$1048576)),ROW($A$2:$A$1048576))),R89)</f>
        <v/>
      </c>
      <c r="T89" s="34">
        <f>sum(R89-R$106)/R$107</f>
        <v/>
      </c>
      <c r="U89" s="35">
        <f>sum(Y89/AI89)*100</f>
        <v/>
      </c>
      <c r="V89" s="33">
        <f>PERCENTRANK(U$2:INDEX($U:$U,LOOKUP(2,1/(ISNUMBER($A$2:$A$1048576)),ROW($A$2:$A$1048576))),U89)</f>
        <v/>
      </c>
      <c r="W89" s="36">
        <f>sum(U89-U$106)/U$107</f>
        <v/>
      </c>
      <c r="X89" s="9" t="n">
        <v>1.15</v>
      </c>
      <c r="Y89" s="9" t="n">
        <v>1.11</v>
      </c>
      <c r="Z89" s="33">
        <f>PERCENTRANK(Y$2:INDEX($Y:$Y,LOOKUP(2,1/(ISNUMBER($A$2:$A$1048576)),ROW($A$2:$A$1048576))),Y89)</f>
        <v/>
      </c>
      <c r="AA89" s="37">
        <f>sum(Y89-Y$106)/Y$107</f>
        <v/>
      </c>
      <c r="AB89" s="9" t="n">
        <v>9.710000000000001</v>
      </c>
      <c r="AC89" s="33">
        <f>PERCENTRANK(AB$2:INDEX($AB:$AB,LOOKUP(2,1/(ISNUMBER($A$2:$A$1048576)),ROW($A$2:$A$1048576))),AB89)</f>
        <v/>
      </c>
      <c r="AD89" s="38">
        <f>sum(AB89-AB$106)/AB$107</f>
        <v/>
      </c>
      <c r="AE89" s="9" t="n">
        <v>3.41</v>
      </c>
      <c r="AF89" s="33">
        <f>PERCENTRANK(AE$2:INDEX($AE:$AE,LOOKUP(2,1/(ISNUMBER($A$2:$A$1048576)),ROW($A$2:$A$1048576))),AE89)</f>
        <v/>
      </c>
      <c r="AG89" s="38">
        <f>sum(AE89-AE$106)/AE$107</f>
        <v/>
      </c>
      <c r="AH89" s="9" t="n">
        <v>35.15</v>
      </c>
      <c r="AI89" s="9" t="n">
        <v>407.79</v>
      </c>
      <c r="AJ89" s="9" t="n">
        <v>335.53</v>
      </c>
      <c r="AK89" s="9" t="n">
        <v>82.28</v>
      </c>
      <c r="AL89" s="9" t="n">
        <v>49.82</v>
      </c>
      <c r="AM89" s="9" t="n">
        <v>105.38</v>
      </c>
      <c r="AN89" s="9" t="n">
        <v>24.32</v>
      </c>
      <c r="AO89" s="9" t="n">
        <v>38.82</v>
      </c>
      <c r="AP89" s="9" t="n">
        <v>42.24</v>
      </c>
      <c r="AQ89" s="9" t="n">
        <v>77.79000000000001</v>
      </c>
      <c r="AR89" s="9" t="n">
        <v>40.65</v>
      </c>
      <c r="AS89" s="9" t="n">
        <v>27.91</v>
      </c>
      <c r="AT89" s="33">
        <f>PERCENTRANK(AS$2:INDEX($AS:$AS,LOOKUP(2,1/(ISNUMBER($A$2:$A$1048576)),ROW($A$2:$A$1048576))),AS89)</f>
        <v/>
      </c>
      <c r="AU89" s="39">
        <f>SUM(AS89-AS$106)/AS$107</f>
        <v/>
      </c>
      <c r="AV89" s="9" t="n">
        <v>9.24</v>
      </c>
      <c r="AW89" s="33">
        <f>PERCENTRANK(AV$2:INDEX($AV:$AV,LOOKUP(2,1/(ISNUMBER($A$2:$A$1048576)),ROW($A$2:$A$1048576))),AV89)</f>
        <v/>
      </c>
      <c r="AX89" s="9" t="n">
        <v>201.12</v>
      </c>
      <c r="AY89" s="9" t="n">
        <v>96.23999999999999</v>
      </c>
      <c r="AZ89" s="9" t="n">
        <v>47.85</v>
      </c>
      <c r="BA89" s="9" t="n">
        <v>3.85</v>
      </c>
      <c r="BB89" s="9" t="n">
        <v>0.88</v>
      </c>
      <c r="BC89" s="9" t="n">
        <v>22.9</v>
      </c>
      <c r="BD89" s="9" t="n">
        <v>22.5</v>
      </c>
      <c r="BE89" s="9" t="n">
        <v>5.5</v>
      </c>
      <c r="BF89" s="33">
        <f>PERCENTRANK(BE$2:INDEX($BE:$BE,LOOKUP(2,1/(ISNUMBER($A$2:$A$1048576)),ROW($A$2:$A$1048576))),BE89)</f>
        <v/>
      </c>
      <c r="BG89" s="40">
        <f>sum(BE89-BE$106)/BE$107</f>
        <v/>
      </c>
      <c r="BH89" s="9" t="n">
        <v>24.44</v>
      </c>
      <c r="BI89" s="9" t="n">
        <v>1.47</v>
      </c>
      <c r="BJ89" s="9" t="n">
        <v>0.71</v>
      </c>
      <c r="BK89" s="9" t="n">
        <v>48</v>
      </c>
      <c r="BL89" s="9" t="n">
        <v>27.44</v>
      </c>
      <c r="BM89" s="9" t="n">
        <v>2.97</v>
      </c>
      <c r="BN89" s="9" t="n">
        <v>10.83</v>
      </c>
      <c r="BO89" s="9" t="n">
        <v>3.15</v>
      </c>
      <c r="BP89" s="9" t="n">
        <v>0.74</v>
      </c>
      <c r="BQ89" s="9" t="n">
        <v>23.36</v>
      </c>
      <c r="BR89" s="9" t="n">
        <v>1.97</v>
      </c>
      <c r="BS89" s="9" t="n">
        <v>0.62</v>
      </c>
      <c r="BT89" s="9" t="n">
        <v>31.34</v>
      </c>
      <c r="BU89" s="9" t="n">
        <v>0.06</v>
      </c>
      <c r="BV89" s="9" t="n">
        <v>0.06</v>
      </c>
      <c r="BW89" s="9" t="n">
        <v>100</v>
      </c>
      <c r="BX89" s="9" t="n">
        <v>12.68</v>
      </c>
      <c r="BY89" s="9" t="n">
        <v>4.79</v>
      </c>
      <c r="BZ89" s="9" t="n">
        <v>37.82</v>
      </c>
      <c r="CA89" s="9" t="n">
        <v>4.74</v>
      </c>
      <c r="CB89" s="9" t="n">
        <v>4.79</v>
      </c>
      <c r="CC89" s="33">
        <f>PERCENTRANK(CD$2:INDEX($CD:$CD,LOOKUP(2,1/(ISNUMBER($A$2:$A$1048576)),ROW($A$2:$A$1048576))),CD89)</f>
        <v/>
      </c>
      <c r="CD89" s="40">
        <f>sum(CB89-CB$106)/CB$107</f>
        <v/>
      </c>
      <c r="CE89" s="9" t="n">
        <v>20.32</v>
      </c>
      <c r="CF89" s="33">
        <f>PERCENTRANK(CE$2:INDEX($CE:$CE,LOOKUP(2,1/(ISNUMBER($A$2:$A$1048576)),ROW($A$2:$A$1048576))),CE89)</f>
        <v/>
      </c>
      <c r="CG89" s="38">
        <f>sum(CE89-CE$106)/CE$107</f>
        <v/>
      </c>
      <c r="CH89" s="9" t="n">
        <v>3.15</v>
      </c>
      <c r="CI89" s="9" t="n">
        <v>8.210000000000001</v>
      </c>
      <c r="CJ89" s="9" t="n">
        <v>13.47</v>
      </c>
      <c r="CK89" s="33">
        <f>PERCENTRANK(CJ$2:INDEX($CJ:$CJ,LOOKUP(2,1/(ISNUMBER($A$2:$A$1048576)),ROW($A$2:$A$1048576))),CJ89)</f>
        <v/>
      </c>
      <c r="CL89" s="38">
        <f>sum(CJ89-CJ$106)/CJ$107</f>
        <v/>
      </c>
      <c r="CM89" s="9" t="n">
        <v>67.12</v>
      </c>
      <c r="CN89" s="9" t="n">
        <v>28.41</v>
      </c>
      <c r="CO89" s="9" t="n">
        <v>42.33</v>
      </c>
      <c r="CP89" s="9" t="n">
        <v>1.82</v>
      </c>
      <c r="CQ89" s="9" t="n">
        <v>2.5</v>
      </c>
      <c r="CR89" s="9" t="n">
        <v>17.82</v>
      </c>
      <c r="CS89" s="33">
        <f>PERCENTRANK(CR$2:INDEX($CR:$CR,LOOKUP(2,1/(ISNUMBER($A$2:$A$1048576)),ROW($A$2:$A$1048576))),CR89)</f>
        <v/>
      </c>
      <c r="CT89" s="39">
        <f>1-(CR89-CR$106)/CR$107</f>
        <v/>
      </c>
      <c r="CU89" s="9" t="n">
        <v>7.56</v>
      </c>
      <c r="CV89" s="33">
        <f>PERCENTRANK(CU$2:INDEX($CU:$CU,LOOKUP(2,1/(ISNUMBER($A$2:$A$1048576)),ROW($A$2:$A$1048576))),CU89)</f>
        <v/>
      </c>
      <c r="CW89" s="39">
        <f>1-(CU89-CU$106)/CU$107</f>
        <v/>
      </c>
      <c r="CX89" s="9" t="n">
        <v>42.41</v>
      </c>
      <c r="CY89" s="9" t="n">
        <v>72.23999999999999</v>
      </c>
      <c r="CZ89" s="9" t="n">
        <v>41.03</v>
      </c>
      <c r="DA89" s="9" t="n">
        <v>56.8</v>
      </c>
      <c r="DB89" s="9" t="n">
        <v>32.41</v>
      </c>
      <c r="DC89" s="9" t="n">
        <v>14.5</v>
      </c>
      <c r="DD89" s="9" t="n">
        <v>44.74</v>
      </c>
      <c r="DE89" s="9" t="n">
        <v>4.32</v>
      </c>
      <c r="DF89" s="9" t="n">
        <v>1.85</v>
      </c>
      <c r="DG89" s="9" t="n">
        <v>42.86</v>
      </c>
      <c r="DH89" s="9" t="n">
        <v>43.15</v>
      </c>
      <c r="DI89" s="33">
        <f>PERCENTRANK(DH$2:INDEX($DH:$DH,LOOKUP(2,1/(ISNUMBER($A$2:$A$1048576)),ROW($A$2:$A$1048576))),DH89)</f>
        <v/>
      </c>
      <c r="DJ89" s="39">
        <f>SUM(DH89-DH$106)/DH$107</f>
        <v/>
      </c>
      <c r="DK89" s="9" t="n">
        <v>17.74</v>
      </c>
      <c r="DL89" s="9" t="n">
        <v>12.15</v>
      </c>
      <c r="DM89" s="9" t="n">
        <v>2.26</v>
      </c>
      <c r="DN89" s="9" t="n">
        <v>0.21</v>
      </c>
      <c r="DO89" s="9" t="n">
        <v>142.79</v>
      </c>
      <c r="DP89" s="9" t="n">
        <v>100.62</v>
      </c>
      <c r="DQ89" s="33">
        <f>PERCENTRANK(DP$2:INDEX($DP:$DP,LOOKUP(2,1/(ISNUMBER($A$2:$A$1048576)),ROW($A$2:$A$1048576))),DP89)</f>
        <v/>
      </c>
      <c r="DR89" s="40">
        <f>sum(DP89-DP$106)/DP$107</f>
        <v/>
      </c>
      <c r="DS89" s="9" t="n">
        <v>70.45999999999999</v>
      </c>
      <c r="DT89" s="9" t="n">
        <v>58.65</v>
      </c>
      <c r="DU89" s="9" t="n">
        <v>55.15</v>
      </c>
      <c r="DV89" s="9" t="n">
        <v>94.03</v>
      </c>
      <c r="DW89" s="9" t="n">
        <v>146.06</v>
      </c>
      <c r="DX89" s="9" t="n">
        <v>128.79</v>
      </c>
      <c r="DY89" s="9" t="n">
        <v>88.18000000000001</v>
      </c>
      <c r="DZ89" s="9" t="n">
        <v>46.59</v>
      </c>
      <c r="EA89" s="9" t="n">
        <v>22.68</v>
      </c>
      <c r="EB89" s="9" t="n">
        <v>48.67</v>
      </c>
      <c r="EC89" s="9" t="n">
        <v>42.21</v>
      </c>
      <c r="ED89" s="9" t="n">
        <v>24.88</v>
      </c>
      <c r="EE89" s="33">
        <f>PERCENTRANK(ED$2:INDEX($ED:$ED,LOOKUP(2,1/(ISNUMBER($A$2:$A$1048576)),ROW($A$2:$A$1048576))),ED89)</f>
        <v/>
      </c>
      <c r="EF89" s="40">
        <f>sum(ED89-ED$106)/ED$107</f>
        <v/>
      </c>
      <c r="EG89" s="9" t="n">
        <v>58.95</v>
      </c>
      <c r="EH89" s="9" t="n">
        <v>65.81999999999999</v>
      </c>
      <c r="EI89" s="9" t="n">
        <v>41.38</v>
      </c>
      <c r="EJ89" s="33">
        <f>PERCENTRANK(EI$2:INDEX($EI:$EI,LOOKUP(2,1/(ISNUMBER($A$2:$A$1048576)),ROW($A$2:$A$1048576))),EI89)</f>
        <v/>
      </c>
      <c r="EK89" s="40">
        <f>sum(EI89-EI$106)/EI$107</f>
        <v/>
      </c>
      <c r="EL89" s="9" t="n">
        <v>62.87</v>
      </c>
      <c r="EM89" s="9" t="n">
        <v>4.09</v>
      </c>
      <c r="EN89" s="9" t="n">
        <v>1.53</v>
      </c>
      <c r="EO89" s="9" t="n">
        <v>37.41</v>
      </c>
      <c r="EP89" s="9" t="n">
        <v>21.06</v>
      </c>
      <c r="EQ89" s="9" t="n">
        <v>18.74</v>
      </c>
      <c r="ER89" s="9" t="n">
        <v>88.97</v>
      </c>
      <c r="ES89" s="9" t="n">
        <v>10.91</v>
      </c>
      <c r="ET89" s="9" t="n">
        <v>15.91</v>
      </c>
      <c r="EU89" s="9" t="n">
        <v>3.75</v>
      </c>
      <c r="EV89" s="9" t="n">
        <v>11.79</v>
      </c>
      <c r="EW89" s="9" t="n">
        <v>18.6</v>
      </c>
      <c r="EX89" s="33">
        <f>PERCENTRANK(EW$2:INDEX($EW:$EW,LOOKUP(2,1/(ISNUMBER($A$2:$A$1048576)),ROW($A$2:$A$1048576))),EW89)</f>
        <v/>
      </c>
      <c r="EY89" s="38">
        <f>1-(EW89-EW$106)/EW$107</f>
        <v/>
      </c>
      <c r="EZ89" s="9" t="n">
        <v>19.77</v>
      </c>
      <c r="FA89" s="9" t="n">
        <v>10.97</v>
      </c>
      <c r="FB89" s="33">
        <f>PERCENTRANK(FA$2:INDEX($FA:$FA,LOOKUP(2,1/(ISNUMBER($A$2:$A$1048576)),ROW($A$2:$A$1048576))),FA89)</f>
        <v/>
      </c>
      <c r="FC89" s="39">
        <f>1-(FA89-FA$106)/FA$107</f>
        <v/>
      </c>
      <c r="FD89" s="9" t="n">
        <v>2.5</v>
      </c>
      <c r="FE89" s="9" t="n">
        <v>2.39</v>
      </c>
      <c r="FF89" s="33">
        <f>PERCENTRANK(FE$2:INDEX($FE:$FE,LOOKUP(2,1/(ISNUMBER($A$2:$A$1048576)),ROW($A$2:$A$1048576))),FE89)</f>
        <v/>
      </c>
      <c r="FG89" s="39">
        <f>1-(FE89-FE$106)/FE$107</f>
        <v/>
      </c>
      <c r="FH89" s="9" t="n">
        <v>17.82</v>
      </c>
      <c r="FI89" s="9" t="n">
        <v>7.15</v>
      </c>
      <c r="FJ89" s="9" t="n">
        <v>40.1</v>
      </c>
      <c r="FK89" s="9" t="n">
        <v>428.15</v>
      </c>
      <c r="FL89" s="33">
        <f>PERCENTRANK(FK$2:INDEX($FK:$FK,LOOKUP(2,1/(ISNUMBER($A$2:$A$1048576)),ROW($A$2:$A$1048576))),FK89)</f>
        <v/>
      </c>
      <c r="FM89" s="39">
        <f>SWA88-(FK89-FK$106)/FK$107</f>
        <v/>
      </c>
      <c r="FN89" s="9" t="n">
        <v>356.44</v>
      </c>
      <c r="FO89" s="9" t="n">
        <v>83.25</v>
      </c>
      <c r="FP89" s="9" t="n">
        <v>50.18</v>
      </c>
      <c r="FQ89" s="9" t="n">
        <v>100.59</v>
      </c>
      <c r="FR89" s="9" t="n">
        <v>15.24</v>
      </c>
      <c r="FS89" s="9" t="n">
        <v>33.79</v>
      </c>
      <c r="FT89" s="9" t="n">
        <v>51.56</v>
      </c>
      <c r="FU89" s="9" t="n">
        <v>83.88</v>
      </c>
      <c r="FV89" s="9" t="n">
        <v>33.18</v>
      </c>
      <c r="FW89" s="9" t="n">
        <v>34</v>
      </c>
      <c r="FX89" s="9" t="n">
        <v>16.71</v>
      </c>
      <c r="FY89" s="9" t="n">
        <v>201.12</v>
      </c>
      <c r="FZ89" s="9" t="n">
        <v>97.68000000000001</v>
      </c>
      <c r="GA89" s="9" t="n">
        <v>48.57</v>
      </c>
      <c r="GB89" s="9" t="n">
        <v>6.71</v>
      </c>
      <c r="GC89" s="9" t="n">
        <v>1.91</v>
      </c>
      <c r="GD89" s="9" t="n">
        <v>28.51</v>
      </c>
      <c r="GE89" s="9" t="n">
        <v>37.09</v>
      </c>
      <c r="GF89" s="9" t="n">
        <v>11.59</v>
      </c>
      <c r="GG89" s="9" t="n">
        <v>31.25</v>
      </c>
      <c r="GH89" s="9" t="n">
        <v>1.76</v>
      </c>
      <c r="GI89" s="9" t="n">
        <v>0.85</v>
      </c>
      <c r="GJ89" s="9" t="n">
        <v>48.33</v>
      </c>
      <c r="GK89" s="9" t="n">
        <v>26.41</v>
      </c>
      <c r="GL89" s="9" t="n">
        <v>4.53</v>
      </c>
      <c r="GM89" s="9" t="n">
        <v>17.15</v>
      </c>
      <c r="GN89" s="9" t="n">
        <v>5.88</v>
      </c>
      <c r="GO89" s="9" t="n">
        <v>2.03</v>
      </c>
      <c r="GP89" s="9" t="n">
        <v>34.5</v>
      </c>
      <c r="GQ89" s="9" t="n">
        <v>2.71</v>
      </c>
      <c r="GR89" s="9" t="n">
        <v>0.59</v>
      </c>
      <c r="GS89" s="9" t="n">
        <v>21.74</v>
      </c>
      <c r="GT89" s="9" t="n">
        <v>0.26</v>
      </c>
      <c r="GU89" s="9" t="n">
        <v>0.15</v>
      </c>
      <c r="GV89" s="9" t="n">
        <v>55.56</v>
      </c>
      <c r="GW89" s="9" t="n">
        <v>16.59</v>
      </c>
      <c r="GX89" s="9" t="n">
        <v>5.85</v>
      </c>
      <c r="GY89" s="9" t="n">
        <v>35.28</v>
      </c>
      <c r="GZ89" s="9" t="n">
        <v>5.91</v>
      </c>
      <c r="HA89" s="9" t="n">
        <v>11.21</v>
      </c>
      <c r="HB89" s="9" t="n">
        <v>30.53</v>
      </c>
      <c r="HC89" s="9" t="n">
        <v>6.24</v>
      </c>
      <c r="HD89" s="9" t="n">
        <v>9.119999999999999</v>
      </c>
      <c r="HE89" s="9" t="n">
        <v>26.59</v>
      </c>
      <c r="HF89" s="9" t="n">
        <v>72.23999999999999</v>
      </c>
      <c r="HG89" s="9" t="n">
        <v>31.21</v>
      </c>
      <c r="HH89" s="9" t="n">
        <v>43.2</v>
      </c>
      <c r="HI89" s="9" t="n">
        <v>1.56</v>
      </c>
      <c r="HJ89" s="9" t="n">
        <v>1.15</v>
      </c>
      <c r="HK89" s="9" t="n">
        <v>9.710000000000001</v>
      </c>
      <c r="HL89" s="9" t="n">
        <v>3.53</v>
      </c>
      <c r="HM89" s="9" t="n">
        <v>36.36</v>
      </c>
      <c r="HN89" s="9" t="n">
        <v>67.12</v>
      </c>
      <c r="HO89" s="9" t="n">
        <v>38.71</v>
      </c>
      <c r="HP89" s="9" t="n">
        <v>57.67</v>
      </c>
      <c r="HQ89" s="9" t="n">
        <v>32.41</v>
      </c>
      <c r="HR89" s="9" t="n">
        <v>15.65</v>
      </c>
      <c r="HS89" s="9" t="n">
        <v>48.28</v>
      </c>
      <c r="HT89" s="9" t="n">
        <v>3.97</v>
      </c>
      <c r="HU89" s="9" t="n">
        <v>1.74</v>
      </c>
      <c r="HV89" s="9" t="n">
        <v>43.7</v>
      </c>
      <c r="HW89" s="9" t="n">
        <v>36.38</v>
      </c>
      <c r="HX89" s="9" t="n">
        <v>13.65</v>
      </c>
      <c r="HY89" s="9" t="n">
        <v>13.24</v>
      </c>
      <c r="HZ89" s="9" t="n">
        <v>2.18</v>
      </c>
      <c r="IA89" s="9" t="n">
        <v>0.15</v>
      </c>
      <c r="IB89" s="9" t="n">
        <v>142.85</v>
      </c>
      <c r="IC89" s="9" t="n">
        <v>105.62</v>
      </c>
      <c r="ID89" s="9" t="n">
        <v>73.93000000000001</v>
      </c>
      <c r="IE89" s="9" t="n">
        <v>68.06</v>
      </c>
      <c r="IF89" s="9" t="n">
        <v>64.41</v>
      </c>
      <c r="IG89" s="9" t="n">
        <v>94.64</v>
      </c>
      <c r="IH89" s="9" t="n">
        <v>154.71</v>
      </c>
      <c r="II89" s="9" t="n">
        <v>136.18</v>
      </c>
      <c r="IJ89" s="9" t="n">
        <v>88.02</v>
      </c>
      <c r="IK89" s="9" t="n">
        <v>47.35</v>
      </c>
      <c r="IL89" s="9" t="n">
        <v>26.68</v>
      </c>
      <c r="IM89" s="9" t="n">
        <v>56.34</v>
      </c>
      <c r="IN89" s="9" t="n">
        <v>60.44</v>
      </c>
      <c r="IO89" s="9" t="n">
        <v>42.85</v>
      </c>
      <c r="IP89" s="9" t="n">
        <v>70.90000000000001</v>
      </c>
      <c r="IQ89" s="9" t="n">
        <v>80.62</v>
      </c>
      <c r="IR89" s="9" t="n">
        <v>63.29</v>
      </c>
      <c r="IS89" s="9" t="n">
        <v>78.51000000000001</v>
      </c>
      <c r="IT89" s="33">
        <f>PERCENTRANK(IS$2:INDEX($IS:$IS,LOOKUP(2,1/(ISNUMBER($A$2:$A$1048576)),ROW($A$2:$A$1048576))),IS89)</f>
        <v/>
      </c>
      <c r="IU89" s="39">
        <f>1-(IS89-IS$106)/IS$107</f>
        <v/>
      </c>
      <c r="IV89" s="9" t="n">
        <v>5.24</v>
      </c>
      <c r="IW89" s="9" t="n">
        <v>2.21</v>
      </c>
      <c r="IX89" s="9" t="n">
        <v>42.13</v>
      </c>
      <c r="IY89" s="9" t="n">
        <v>21.94</v>
      </c>
      <c r="IZ89" s="9" t="n">
        <v>19.74</v>
      </c>
      <c r="JA89" s="9" t="n">
        <v>89.95</v>
      </c>
      <c r="JB89" s="9" t="n">
        <v>7.97</v>
      </c>
      <c r="JC89" s="9" t="n">
        <v>16.66</v>
      </c>
      <c r="JD89" s="9" t="n">
        <v>3.89</v>
      </c>
      <c r="JE89" s="9" t="n">
        <v>11.35</v>
      </c>
      <c r="JF89" s="9" t="n">
        <v>17.27</v>
      </c>
      <c r="JG89" s="9" t="n">
        <v>19.9</v>
      </c>
      <c r="JH89" s="9" t="n">
        <v>10.51</v>
      </c>
    </row>
    <row r="90">
      <c r="A90" s="12" t="n">
        <v>2025</v>
      </c>
      <c r="B90" s="31" t="inlineStr">
        <is>
          <t>Monterey Bay FC</t>
        </is>
      </c>
      <c r="C90" s="12" t="n">
        <v>29</v>
      </c>
      <c r="D90" s="5">
        <f>(C90-AVERAGE($C$2:INDEX($C:$C,LOOKUP(2,1/(ISNUMBER($A$2:$A$1048576)),ROW($A$2:$A$1048576)))))/_xlfn.STDEV.P($C$2:INDEX($C:$C,LOOKUP(2,1/(ISNUMBER($A$2:$A$1048576)),ROW($A$2:$A$1048576))))</f>
        <v/>
      </c>
      <c r="E90" s="12" t="n">
        <v>11</v>
      </c>
      <c r="F90" s="6">
        <f>-E90</f>
        <v/>
      </c>
      <c r="G90" s="7">
        <f>(F90-AVERAGE($F$2:INDEX($F:$F,LOOKUP(2,1/(ISNUMBER($A$2:$A$1048576)),ROW($A$2:$A$1048576)))))/_xlfn.STDEV.P($F$2:INDEX($F:$F,LOOKUP(2,1/(ISNUMBER($A$2:$A$1048576)),ROW($A$2:$A$1048576))))</f>
        <v/>
      </c>
      <c r="H90" s="32">
        <f>sum(0.5*D90)+(0.5*G90)</f>
        <v/>
      </c>
      <c r="I90" s="12" t="inlineStr">
        <is>
          <t>West</t>
        </is>
      </c>
      <c r="J90" s="10">
        <f>sum(L90*L$105)+(N90*N$105)+(P90*P$105)+(T90*R$105)</f>
        <v/>
      </c>
      <c r="K90" s="33">
        <f>PERCENTRANK(J$2:INDEX($J:$J,LOOKUP(2,1/(ISNUMBER($A$2:$A$1048576)),ROW($A$2:$A$1048576))),J90)</f>
        <v/>
      </c>
      <c r="L90" s="10">
        <f>sum(AA90*0.66)+(AD90*0.55)+(AG90*0.59)+(CG90*0.51)+(CL90*0.6)+(EY90*0.31)</f>
        <v/>
      </c>
      <c r="M90" s="33">
        <f>PERCENTRANK(L$2:INDEX($L:$L,LOOKUP(2,1/(ISNUMBER($A$2:$A$1048576)),ROW($A$2:$A$1048576))),L90)</f>
        <v/>
      </c>
      <c r="N90" s="10">
        <f>sum(CT90*0.57)+(CW90*0.71)+(DJ90*0.08)+(FC90*0.33)+(FG90*0.69)+(FM90*0.26)+(IU90*0.54)+(AU90*0.4)</f>
        <v/>
      </c>
      <c r="O90" s="33">
        <f>PERCENTRANK(N$2:INDEX($N:$N,LOOKUP(2,1/(ISNUMBER($A$2:$A$1048576)),ROW($A$2:$A$1048576))),N90)</f>
        <v/>
      </c>
      <c r="P90" s="10">
        <f>sum(BG90*0.51)+(CD90*0.51)+(DR90*0.11)+(EF90*0.42)+(EK90*0.44)+(W90*0.6)</f>
        <v/>
      </c>
      <c r="Q90" s="33">
        <f>PERCENTRANK(P$2:INDEX($P:$P,LOOKUP(2,1/(ISNUMBER($A$2:$A$1048576)),ROW($A$2:$A$1048576))),P90)</f>
        <v/>
      </c>
      <c r="R90" s="10">
        <f>sum(Y90-FE90)</f>
        <v/>
      </c>
      <c r="S90" s="33">
        <f>PERCENTRANK(R$2:INDEX($R:$R,LOOKUP(2,1/(ISNUMBER($A$2:$A$1048576)),ROW($A$2:$A$1048576))),R90)</f>
        <v/>
      </c>
      <c r="T90" s="34">
        <f>sum(R90-R$106)/R$107</f>
        <v/>
      </c>
      <c r="U90" s="35">
        <f>sum(Y90/AI90)*100</f>
        <v/>
      </c>
      <c r="V90" s="33">
        <f>PERCENTRANK(U$2:INDEX($U:$U,LOOKUP(2,1/(ISNUMBER($A$2:$A$1048576)),ROW($A$2:$A$1048576))),U90)</f>
        <v/>
      </c>
      <c r="W90" s="36">
        <f>sum(U90-U$106)/U$107</f>
        <v/>
      </c>
      <c r="X90" s="9" t="n">
        <v>0.9</v>
      </c>
      <c r="Y90" s="9" t="n">
        <v>1.21</v>
      </c>
      <c r="Z90" s="33">
        <f>PERCENTRANK(Y$2:INDEX($Y:$Y,LOOKUP(2,1/(ISNUMBER($A$2:$A$1048576)),ROW($A$2:$A$1048576))),Y90)</f>
        <v/>
      </c>
      <c r="AA90" s="37">
        <f>sum(Y90-Y$106)/Y$107</f>
        <v/>
      </c>
      <c r="AB90" s="9" t="n">
        <v>9.5</v>
      </c>
      <c r="AC90" s="33">
        <f>PERCENTRANK(AB$2:INDEX($AB:$AB,LOOKUP(2,1/(ISNUMBER($A$2:$A$1048576)),ROW($A$2:$A$1048576))),AB90)</f>
        <v/>
      </c>
      <c r="AD90" s="38">
        <f>sum(AB90-AB$106)/AB$107</f>
        <v/>
      </c>
      <c r="AE90" s="9" t="n">
        <v>3.33</v>
      </c>
      <c r="AF90" s="33">
        <f>PERCENTRANK(AE$2:INDEX($AE:$AE,LOOKUP(2,1/(ISNUMBER($A$2:$A$1048576)),ROW($A$2:$A$1048576))),AE90)</f>
        <v/>
      </c>
      <c r="AG90" s="38">
        <f>sum(AE90-AE$106)/AE$107</f>
        <v/>
      </c>
      <c r="AH90" s="9" t="n">
        <v>35.09</v>
      </c>
      <c r="AI90" s="9" t="n">
        <v>363.3</v>
      </c>
      <c r="AJ90" s="9" t="n">
        <v>297.13</v>
      </c>
      <c r="AK90" s="9" t="n">
        <v>81.79000000000001</v>
      </c>
      <c r="AL90" s="9" t="n">
        <v>47.09</v>
      </c>
      <c r="AM90" s="9" t="n">
        <v>101.17</v>
      </c>
      <c r="AN90" s="9" t="n">
        <v>19.93</v>
      </c>
      <c r="AO90" s="9" t="n">
        <v>37.4</v>
      </c>
      <c r="AP90" s="9" t="n">
        <v>43.83</v>
      </c>
      <c r="AQ90" s="9" t="n">
        <v>73.13</v>
      </c>
      <c r="AR90" s="9" t="n">
        <v>36.73</v>
      </c>
      <c r="AS90" s="9" t="n">
        <v>27.2</v>
      </c>
      <c r="AT90" s="33">
        <f>PERCENTRANK(AS$2:INDEX($AS:$AS,LOOKUP(2,1/(ISNUMBER($A$2:$A$1048576)),ROW($A$2:$A$1048576))),AS90)</f>
        <v/>
      </c>
      <c r="AU90" s="39">
        <f>SUM(AS90-AS$106)/AS$107</f>
        <v/>
      </c>
      <c r="AV90" s="9" t="n">
        <v>9.199999999999999</v>
      </c>
      <c r="AW90" s="33">
        <f>PERCENTRANK(AV$2:INDEX($AV:$AV,LOOKUP(2,1/(ISNUMBER($A$2:$A$1048576)),ROW($A$2:$A$1048576))),AV90)</f>
        <v/>
      </c>
      <c r="AX90" s="9" t="n">
        <v>185.03</v>
      </c>
      <c r="AY90" s="9" t="n">
        <v>88.93000000000001</v>
      </c>
      <c r="AZ90" s="9" t="n">
        <v>48.06</v>
      </c>
      <c r="BA90" s="9" t="n">
        <v>3.73</v>
      </c>
      <c r="BB90" s="9" t="n">
        <v>1.1</v>
      </c>
      <c r="BC90" s="9" t="n">
        <v>29.46</v>
      </c>
      <c r="BD90" s="9" t="n">
        <v>23.93</v>
      </c>
      <c r="BE90" s="9" t="n">
        <v>5.8</v>
      </c>
      <c r="BF90" s="33">
        <f>PERCENTRANK(BE$2:INDEX($BE:$BE,LOOKUP(2,1/(ISNUMBER($A$2:$A$1048576)),ROW($A$2:$A$1048576))),BE90)</f>
        <v/>
      </c>
      <c r="BG90" s="40">
        <f>sum(BE90-BE$106)/BE$107</f>
        <v/>
      </c>
      <c r="BH90" s="9" t="n">
        <v>24.23</v>
      </c>
      <c r="BI90" s="9" t="n">
        <v>0.5</v>
      </c>
      <c r="BJ90" s="9" t="n">
        <v>0.4</v>
      </c>
      <c r="BK90" s="9" t="n">
        <v>80</v>
      </c>
      <c r="BL90" s="9" t="n">
        <v>26.27</v>
      </c>
      <c r="BM90" s="9" t="n">
        <v>2.83</v>
      </c>
      <c r="BN90" s="9" t="n">
        <v>10.79</v>
      </c>
      <c r="BO90" s="9" t="n">
        <v>4.5</v>
      </c>
      <c r="BP90" s="9" t="n">
        <v>0.97</v>
      </c>
      <c r="BQ90" s="9" t="n">
        <v>21.48</v>
      </c>
      <c r="BR90" s="9" t="n">
        <v>2.97</v>
      </c>
      <c r="BS90" s="9" t="n">
        <v>0.67</v>
      </c>
      <c r="BT90" s="9" t="n">
        <v>22.47</v>
      </c>
      <c r="BU90" s="9" t="n">
        <v>0.1</v>
      </c>
      <c r="BV90" s="9" t="n">
        <v>0.07000000000000001</v>
      </c>
      <c r="BW90" s="9" t="n">
        <v>66.67</v>
      </c>
      <c r="BX90" s="9" t="n">
        <v>14.43</v>
      </c>
      <c r="BY90" s="9" t="n">
        <v>4.97</v>
      </c>
      <c r="BZ90" s="9" t="n">
        <v>34.41</v>
      </c>
      <c r="CA90" s="9" t="n">
        <v>4.97</v>
      </c>
      <c r="CB90" s="9" t="n">
        <v>6.03</v>
      </c>
      <c r="CC90" s="33">
        <f>PERCENTRANK(CD$2:INDEX($CD:$CD,LOOKUP(2,1/(ISNUMBER($A$2:$A$1048576)),ROW($A$2:$A$1048576))),CD90)</f>
        <v/>
      </c>
      <c r="CD90" s="40">
        <f>sum(CB90-CB$106)/CB$107</f>
        <v/>
      </c>
      <c r="CE90" s="9" t="n">
        <v>20.97</v>
      </c>
      <c r="CF90" s="33">
        <f>PERCENTRANK(CE$2:INDEX($CE:$CE,LOOKUP(2,1/(ISNUMBER($A$2:$A$1048576)),ROW($A$2:$A$1048576))),CE90)</f>
        <v/>
      </c>
      <c r="CG90" s="38">
        <f>sum(CE90-CE$106)/CE$107</f>
        <v/>
      </c>
      <c r="CH90" s="9" t="n">
        <v>3.43</v>
      </c>
      <c r="CI90" s="9" t="n">
        <v>8.699999999999999</v>
      </c>
      <c r="CJ90" s="9" t="n">
        <v>15.67</v>
      </c>
      <c r="CK90" s="33">
        <f>PERCENTRANK(CJ$2:INDEX($CJ:$CJ,LOOKUP(2,1/(ISNUMBER($A$2:$A$1048576)),ROW($A$2:$A$1048576))),CJ90)</f>
        <v/>
      </c>
      <c r="CL90" s="38">
        <f>sum(CJ90-CJ$106)/CJ$107</f>
        <v/>
      </c>
      <c r="CM90" s="9" t="n">
        <v>59.27</v>
      </c>
      <c r="CN90" s="9" t="n">
        <v>23.13</v>
      </c>
      <c r="CO90" s="9" t="n">
        <v>39.03</v>
      </c>
      <c r="CP90" s="9" t="n">
        <v>1.9</v>
      </c>
      <c r="CQ90" s="9" t="n">
        <v>1.5</v>
      </c>
      <c r="CR90" s="9" t="n">
        <v>10.17</v>
      </c>
      <c r="CS90" s="33">
        <f>PERCENTRANK(CR$2:INDEX($CR:$CR,LOOKUP(2,1/(ISNUMBER($A$2:$A$1048576)),ROW($A$2:$A$1048576))),CR90)</f>
        <v/>
      </c>
      <c r="CT90" s="39">
        <f>1-(CR90-CR$106)/CR$107</f>
        <v/>
      </c>
      <c r="CU90" s="9" t="n">
        <v>4.5</v>
      </c>
      <c r="CV90" s="33">
        <f>PERCENTRANK(CU$2:INDEX($CU:$CU,LOOKUP(2,1/(ISNUMBER($A$2:$A$1048576)),ROW($A$2:$A$1048576))),CU90)</f>
        <v/>
      </c>
      <c r="CW90" s="39">
        <f>1-(CU90-CU$106)/CU$107</f>
        <v/>
      </c>
      <c r="CX90" s="9" t="n">
        <v>44.26</v>
      </c>
      <c r="CY90" s="9" t="n">
        <v>61.83</v>
      </c>
      <c r="CZ90" s="9" t="n">
        <v>37.97</v>
      </c>
      <c r="DA90" s="9" t="n">
        <v>61.4</v>
      </c>
      <c r="DB90" s="9" t="n">
        <v>37.87</v>
      </c>
      <c r="DC90" s="9" t="n">
        <v>16.3</v>
      </c>
      <c r="DD90" s="9" t="n">
        <v>43.05</v>
      </c>
      <c r="DE90" s="9" t="n">
        <v>3.13</v>
      </c>
      <c r="DF90" s="9" t="n">
        <v>1.67</v>
      </c>
      <c r="DG90" s="9" t="n">
        <v>53.19</v>
      </c>
      <c r="DH90" s="9" t="n">
        <v>36.97</v>
      </c>
      <c r="DI90" s="33">
        <f>PERCENTRANK(DH$2:INDEX($DH:$DH,LOOKUP(2,1/(ISNUMBER($A$2:$A$1048576)),ROW($A$2:$A$1048576))),DH90)</f>
        <v/>
      </c>
      <c r="DJ90" s="39">
        <f>SUM(DH90-DH$106)/DH$107</f>
        <v/>
      </c>
      <c r="DK90" s="9" t="n">
        <v>16.13</v>
      </c>
      <c r="DL90" s="9" t="n">
        <v>15.23</v>
      </c>
      <c r="DM90" s="9" t="n">
        <v>2.3</v>
      </c>
      <c r="DN90" s="9" t="n">
        <v>0.03</v>
      </c>
      <c r="DO90" s="9" t="n">
        <v>137.17</v>
      </c>
      <c r="DP90" s="9" t="n">
        <v>99.06999999999999</v>
      </c>
      <c r="DQ90" s="33">
        <f>PERCENTRANK(DP$2:INDEX($DP:$DP,LOOKUP(2,1/(ISNUMBER($A$2:$A$1048576)),ROW($A$2:$A$1048576))),DP90)</f>
        <v/>
      </c>
      <c r="DR90" s="40">
        <f>sum(DP90-DP$106)/DP$107</f>
        <v/>
      </c>
      <c r="DS90" s="9" t="n">
        <v>72.22</v>
      </c>
      <c r="DT90" s="9" t="n">
        <v>58.27</v>
      </c>
      <c r="DU90" s="9" t="n">
        <v>54.63</v>
      </c>
      <c r="DV90" s="9" t="n">
        <v>93.76000000000001</v>
      </c>
      <c r="DW90" s="9" t="n">
        <v>119.47</v>
      </c>
      <c r="DX90" s="9" t="n">
        <v>104.13</v>
      </c>
      <c r="DY90" s="9" t="n">
        <v>87.17</v>
      </c>
      <c r="DZ90" s="9" t="n">
        <v>48.53</v>
      </c>
      <c r="EA90" s="9" t="n">
        <v>26.6</v>
      </c>
      <c r="EB90" s="9" t="n">
        <v>54.81</v>
      </c>
      <c r="EC90" s="9" t="n">
        <v>46.33</v>
      </c>
      <c r="ED90" s="9" t="n">
        <v>30.33</v>
      </c>
      <c r="EE90" s="33">
        <f>PERCENTRANK(ED$2:INDEX($ED:$ED,LOOKUP(2,1/(ISNUMBER($A$2:$A$1048576)),ROW($A$2:$A$1048576))),ED90)</f>
        <v/>
      </c>
      <c r="EF90" s="40">
        <f>sum(ED90-ED$106)/ED$107</f>
        <v/>
      </c>
      <c r="EG90" s="9" t="n">
        <v>65.47</v>
      </c>
      <c r="EH90" s="9" t="n">
        <v>68.77</v>
      </c>
      <c r="EI90" s="9" t="n">
        <v>48.07</v>
      </c>
      <c r="EJ90" s="33">
        <f>PERCENTRANK(EI$2:INDEX($EI:$EI,LOOKUP(2,1/(ISNUMBER($A$2:$A$1048576)),ROW($A$2:$A$1048576))),EI90)</f>
        <v/>
      </c>
      <c r="EK90" s="40">
        <f>sum(EI90-EI$106)/EI$107</f>
        <v/>
      </c>
      <c r="EL90" s="9" t="n">
        <v>69.90000000000001</v>
      </c>
      <c r="EM90" s="9" t="n">
        <v>0.33</v>
      </c>
      <c r="EN90" s="9" t="n">
        <v>0.13</v>
      </c>
      <c r="EO90" s="9" t="n">
        <v>40</v>
      </c>
      <c r="EP90" s="9" t="n">
        <v>19.63</v>
      </c>
      <c r="EQ90" s="9" t="n">
        <v>17.4</v>
      </c>
      <c r="ER90" s="9" t="n">
        <v>88.62</v>
      </c>
      <c r="ES90" s="9" t="n">
        <v>7.5</v>
      </c>
      <c r="ET90" s="9" t="n">
        <v>16.01</v>
      </c>
      <c r="EU90" s="9" t="n">
        <v>3.67</v>
      </c>
      <c r="EV90" s="9" t="n">
        <v>13.58</v>
      </c>
      <c r="EW90" s="9" t="n">
        <v>18.24</v>
      </c>
      <c r="EX90" s="33">
        <f>PERCENTRANK(EW$2:INDEX($EW:$EW,LOOKUP(2,1/(ISNUMBER($A$2:$A$1048576)),ROW($A$2:$A$1048576))),EW90)</f>
        <v/>
      </c>
      <c r="EY90" s="38">
        <f>1-(EW90-EW$106)/EW$107</f>
        <v/>
      </c>
      <c r="EZ90" s="9" t="n">
        <v>20.53</v>
      </c>
      <c r="FA90" s="9" t="n">
        <v>11</v>
      </c>
      <c r="FB90" s="33">
        <f>PERCENTRANK(FA$2:INDEX($FA:$FA,LOOKUP(2,1/(ISNUMBER($A$2:$A$1048576)),ROW($A$2:$A$1048576))),FA90)</f>
        <v/>
      </c>
      <c r="FC90" s="39">
        <f>1-(FA90-FA$106)/FA$107</f>
        <v/>
      </c>
      <c r="FD90" s="9" t="n">
        <v>1.5</v>
      </c>
      <c r="FE90" s="9" t="n">
        <v>1.34</v>
      </c>
      <c r="FF90" s="33">
        <f>PERCENTRANK(FE$2:INDEX($FE:$FE,LOOKUP(2,1/(ISNUMBER($A$2:$A$1048576)),ROW($A$2:$A$1048576))),FE90)</f>
        <v/>
      </c>
      <c r="FG90" s="39">
        <f>1-(FE90-FE$106)/FE$107</f>
        <v/>
      </c>
      <c r="FH90" s="9" t="n">
        <v>10.17</v>
      </c>
      <c r="FI90" s="9" t="n">
        <v>4.33</v>
      </c>
      <c r="FJ90" s="9" t="n">
        <v>42.62</v>
      </c>
      <c r="FK90" s="9" t="n">
        <v>392.7</v>
      </c>
      <c r="FL90" s="33">
        <f>PERCENTRANK(FK$2:INDEX($FK:$FK,LOOKUP(2,1/(ISNUMBER($A$2:$A$1048576)),ROW($A$2:$A$1048576))),FK90)</f>
        <v/>
      </c>
      <c r="FM90" s="39">
        <f>SWA89-(FK90-FK$106)/FK$107</f>
        <v/>
      </c>
      <c r="FN90" s="9" t="n">
        <v>325.4</v>
      </c>
      <c r="FO90" s="9" t="n">
        <v>82.86</v>
      </c>
      <c r="FP90" s="9" t="n">
        <v>52.91</v>
      </c>
      <c r="FQ90" s="9" t="n">
        <v>102.1</v>
      </c>
      <c r="FR90" s="9" t="n">
        <v>17.13</v>
      </c>
      <c r="FS90" s="9" t="n">
        <v>33.37</v>
      </c>
      <c r="FT90" s="9" t="n">
        <v>51.6</v>
      </c>
      <c r="FU90" s="9" t="n">
        <v>70.59999999999999</v>
      </c>
      <c r="FV90" s="9" t="n">
        <v>30.8</v>
      </c>
      <c r="FW90" s="9" t="n">
        <v>29.07</v>
      </c>
      <c r="FX90" s="9" t="n">
        <v>10.73</v>
      </c>
      <c r="FY90" s="9" t="n">
        <v>185.03</v>
      </c>
      <c r="FZ90" s="9" t="n">
        <v>88.90000000000001</v>
      </c>
      <c r="GA90" s="9" t="n">
        <v>48.05</v>
      </c>
      <c r="GB90" s="9" t="n">
        <v>4.07</v>
      </c>
      <c r="GC90" s="9" t="n">
        <v>1.37</v>
      </c>
      <c r="GD90" s="9" t="n">
        <v>33.61</v>
      </c>
      <c r="GE90" s="9" t="n">
        <v>27</v>
      </c>
      <c r="GF90" s="9" t="n">
        <v>6.17</v>
      </c>
      <c r="GG90" s="9" t="n">
        <v>22.84</v>
      </c>
      <c r="GH90" s="9" t="n">
        <v>0.33</v>
      </c>
      <c r="GI90" s="9" t="n">
        <v>0.13</v>
      </c>
      <c r="GJ90" s="9" t="n">
        <v>40</v>
      </c>
      <c r="GK90" s="9" t="n">
        <v>28.97</v>
      </c>
      <c r="GL90" s="9" t="n">
        <v>3.3</v>
      </c>
      <c r="GM90" s="9" t="n">
        <v>11.39</v>
      </c>
      <c r="GN90" s="9" t="n">
        <v>5.1</v>
      </c>
      <c r="GO90" s="9" t="n">
        <v>1.43</v>
      </c>
      <c r="GP90" s="9" t="n">
        <v>28.1</v>
      </c>
      <c r="GQ90" s="9" t="n">
        <v>2.3</v>
      </c>
      <c r="GR90" s="9" t="n">
        <v>0.6</v>
      </c>
      <c r="GS90" s="9" t="n">
        <v>26.09</v>
      </c>
      <c r="GT90" s="9" t="n">
        <v>0.1</v>
      </c>
      <c r="GU90" s="9" t="n">
        <v>0.1</v>
      </c>
      <c r="GV90" s="9" t="n">
        <v>100</v>
      </c>
      <c r="GW90" s="9" t="n">
        <v>13.63</v>
      </c>
      <c r="GX90" s="9" t="n">
        <v>4.57</v>
      </c>
      <c r="GY90" s="9" t="n">
        <v>33.5</v>
      </c>
      <c r="GZ90" s="9" t="n">
        <v>4.57</v>
      </c>
      <c r="HA90" s="9" t="n">
        <v>7.1</v>
      </c>
      <c r="HB90" s="9" t="n">
        <v>22.63</v>
      </c>
      <c r="HC90" s="9" t="n">
        <v>3.37</v>
      </c>
      <c r="HD90" s="9" t="n">
        <v>7.9</v>
      </c>
      <c r="HE90" s="9" t="n">
        <v>16.27</v>
      </c>
      <c r="HF90" s="9" t="n">
        <v>61.87</v>
      </c>
      <c r="HG90" s="9" t="n">
        <v>23.87</v>
      </c>
      <c r="HH90" s="9" t="n">
        <v>38.58</v>
      </c>
      <c r="HI90" s="9" t="n">
        <v>1.23</v>
      </c>
      <c r="HJ90" s="9" t="n">
        <v>0.9</v>
      </c>
      <c r="HK90" s="9" t="n">
        <v>9.5</v>
      </c>
      <c r="HL90" s="9" t="n">
        <v>3.43</v>
      </c>
      <c r="HM90" s="9" t="n">
        <v>36.14</v>
      </c>
      <c r="HN90" s="9" t="n">
        <v>59.3</v>
      </c>
      <c r="HO90" s="9" t="n">
        <v>36.13</v>
      </c>
      <c r="HP90" s="9" t="n">
        <v>60.93</v>
      </c>
      <c r="HQ90" s="9" t="n">
        <v>37.8</v>
      </c>
      <c r="HR90" s="9" t="n">
        <v>18.33</v>
      </c>
      <c r="HS90" s="9" t="n">
        <v>48.5</v>
      </c>
      <c r="HT90" s="9" t="n">
        <v>2.4</v>
      </c>
      <c r="HU90" s="9" t="n">
        <v>1.23</v>
      </c>
      <c r="HV90" s="9" t="n">
        <v>51.39</v>
      </c>
      <c r="HW90" s="9" t="n">
        <v>31.57</v>
      </c>
      <c r="HX90" s="9" t="n">
        <v>14.87</v>
      </c>
      <c r="HY90" s="9" t="n">
        <v>14.27</v>
      </c>
      <c r="HZ90" s="9" t="n">
        <v>2.27</v>
      </c>
      <c r="IA90" s="9" t="n">
        <v>0.17</v>
      </c>
      <c r="IB90" s="9" t="n">
        <v>132.1</v>
      </c>
      <c r="IC90" s="9" t="n">
        <v>94.56999999999999</v>
      </c>
      <c r="ID90" s="9" t="n">
        <v>71.59</v>
      </c>
      <c r="IE90" s="9" t="n">
        <v>61.2</v>
      </c>
      <c r="IF90" s="9" t="n">
        <v>58.07</v>
      </c>
      <c r="IG90" s="9" t="n">
        <v>94.88</v>
      </c>
      <c r="IH90" s="9" t="n">
        <v>144.33</v>
      </c>
      <c r="II90" s="9" t="n">
        <v>129.2</v>
      </c>
      <c r="IJ90" s="9" t="n">
        <v>89.52</v>
      </c>
      <c r="IK90" s="9" t="n">
        <v>43.43</v>
      </c>
      <c r="IL90" s="9" t="n">
        <v>22.97</v>
      </c>
      <c r="IM90" s="9" t="n">
        <v>52.88</v>
      </c>
      <c r="IN90" s="9" t="n">
        <v>53.17</v>
      </c>
      <c r="IO90" s="9" t="n">
        <v>34.73</v>
      </c>
      <c r="IP90" s="9" t="n">
        <v>65.33</v>
      </c>
      <c r="IQ90" s="9" t="n">
        <v>68.73</v>
      </c>
      <c r="IR90" s="9" t="n">
        <v>51.77</v>
      </c>
      <c r="IS90" s="9" t="n">
        <v>75.31999999999999</v>
      </c>
      <c r="IT90" s="33">
        <f>PERCENTRANK(IS$2:INDEX($IS:$IS,LOOKUP(2,1/(ISNUMBER($A$2:$A$1048576)),ROW($A$2:$A$1048576))),IS90)</f>
        <v/>
      </c>
      <c r="IU90" s="39">
        <f>1-(IS90-IS$106)/IS$107</f>
        <v/>
      </c>
      <c r="IV90" s="9" t="n">
        <v>0.83</v>
      </c>
      <c r="IW90" s="9" t="n">
        <v>0.3</v>
      </c>
      <c r="IX90" s="9" t="n">
        <v>36</v>
      </c>
      <c r="IY90" s="9" t="n">
        <v>21.87</v>
      </c>
      <c r="IZ90" s="9" t="n">
        <v>19.57</v>
      </c>
      <c r="JA90" s="9" t="n">
        <v>89.48</v>
      </c>
      <c r="JB90" s="9" t="n">
        <v>8.17</v>
      </c>
      <c r="JC90" s="9" t="n">
        <v>15.22</v>
      </c>
      <c r="JD90" s="9" t="n">
        <v>3.92</v>
      </c>
      <c r="JE90" s="9" t="n">
        <v>11.44</v>
      </c>
      <c r="JF90" s="9" t="n">
        <v>17.63</v>
      </c>
      <c r="JG90" s="9" t="n">
        <v>20.03</v>
      </c>
      <c r="JH90" s="9" t="n">
        <v>10.44</v>
      </c>
    </row>
    <row r="91">
      <c r="A91" s="12" t="n">
        <v>2025</v>
      </c>
      <c r="B91" s="31" t="inlineStr">
        <is>
          <t>North Carolina FC</t>
        </is>
      </c>
      <c r="C91" s="12" t="n">
        <v>45</v>
      </c>
      <c r="D91" s="5">
        <f>(C91-AVERAGE($C$2:INDEX($C:$C,LOOKUP(2,1/(ISNUMBER($A$2:$A$1048576)),ROW($A$2:$A$1048576)))))/_xlfn.STDEV.P($C$2:INDEX($C:$C,LOOKUP(2,1/(ISNUMBER($A$2:$A$1048576)),ROW($A$2:$A$1048576))))</f>
        <v/>
      </c>
      <c r="E91" s="12" t="n">
        <v>3</v>
      </c>
      <c r="F91" s="6">
        <f>-E91</f>
        <v/>
      </c>
      <c r="G91" s="7">
        <f>(F91-AVERAGE($F$2:INDEX($F:$F,LOOKUP(2,1/(ISNUMBER($A$2:$A$1048576)),ROW($A$2:$A$1048576)))))/_xlfn.STDEV.P($F$2:INDEX($F:$F,LOOKUP(2,1/(ISNUMBER($A$2:$A$1048576)),ROW($A$2:$A$1048576))))</f>
        <v/>
      </c>
      <c r="H91" s="32">
        <f>sum(0.5*D91)+(0.5*G91)</f>
        <v/>
      </c>
      <c r="I91" s="12" t="inlineStr">
        <is>
          <t>East</t>
        </is>
      </c>
      <c r="J91" s="10">
        <f>sum(L91*L$105)+(N91*N$105)+(P91*P$105)+(T91*R$105)</f>
        <v/>
      </c>
      <c r="K91" s="33">
        <f>PERCENTRANK(J$2:INDEX($J:$J,LOOKUP(2,1/(ISNUMBER($A$2:$A$1048576)),ROW($A$2:$A$1048576))),J91)</f>
        <v/>
      </c>
      <c r="L91" s="10">
        <f>sum(AA91*0.66)+(AD91*0.55)+(AG91*0.59)+(CG91*0.51)+(CL91*0.6)+(EY91*0.31)</f>
        <v/>
      </c>
      <c r="M91" s="33">
        <f>PERCENTRANK(L$2:INDEX($L:$L,LOOKUP(2,1/(ISNUMBER($A$2:$A$1048576)),ROW($A$2:$A$1048576))),L91)</f>
        <v/>
      </c>
      <c r="N91" s="10">
        <f>sum(CT91*0.57)+(CW91*0.71)+(DJ91*0.08)+(FC91*0.33)+(FG91*0.69)+(FM91*0.26)+(IU91*0.54)+(AU91*0.4)</f>
        <v/>
      </c>
      <c r="O91" s="33">
        <f>PERCENTRANK(N$2:INDEX($N:$N,LOOKUP(2,1/(ISNUMBER($A$2:$A$1048576)),ROW($A$2:$A$1048576))),N91)</f>
        <v/>
      </c>
      <c r="P91" s="10">
        <f>sum(BG91*0.51)+(CD91*0.51)+(DR91*0.11)+(EF91*0.42)+(EK91*0.44)+(W91*0.6)</f>
        <v/>
      </c>
      <c r="Q91" s="33">
        <f>PERCENTRANK(P$2:INDEX($P:$P,LOOKUP(2,1/(ISNUMBER($A$2:$A$1048576)),ROW($A$2:$A$1048576))),P91)</f>
        <v/>
      </c>
      <c r="R91" s="10">
        <f>sum(Y91-FE91)</f>
        <v/>
      </c>
      <c r="S91" s="33">
        <f>PERCENTRANK(R$2:INDEX($R:$R,LOOKUP(2,1/(ISNUMBER($A$2:$A$1048576)),ROW($A$2:$A$1048576))),R91)</f>
        <v/>
      </c>
      <c r="T91" s="34">
        <f>sum(R91-R$106)/R$107</f>
        <v/>
      </c>
      <c r="U91" s="35">
        <f>sum(Y91/AI91)*100</f>
        <v/>
      </c>
      <c r="V91" s="33">
        <f>PERCENTRANK(U$2:INDEX($U:$U,LOOKUP(2,1/(ISNUMBER($A$2:$A$1048576)),ROW($A$2:$A$1048576))),U91)</f>
        <v/>
      </c>
      <c r="W91" s="36">
        <f>sum(U91-U$106)/U$107</f>
        <v/>
      </c>
      <c r="X91" s="9" t="n">
        <v>1.28</v>
      </c>
      <c r="Y91" s="9" t="n">
        <v>1.08</v>
      </c>
      <c r="Z91" s="33">
        <f>PERCENTRANK(Y$2:INDEX($Y:$Y,LOOKUP(2,1/(ISNUMBER($A$2:$A$1048576)),ROW($A$2:$A$1048576))),Y91)</f>
        <v/>
      </c>
      <c r="AA91" s="37">
        <f>sum(Y91-Y$106)/Y$107</f>
        <v/>
      </c>
      <c r="AB91" s="9" t="n">
        <v>9.69</v>
      </c>
      <c r="AC91" s="33">
        <f>PERCENTRANK(AB$2:INDEX($AB:$AB,LOOKUP(2,1/(ISNUMBER($A$2:$A$1048576)),ROW($A$2:$A$1048576))),AB91)</f>
        <v/>
      </c>
      <c r="AD91" s="38">
        <f>sum(AB91-AB$106)/AB$107</f>
        <v/>
      </c>
      <c r="AE91" s="9" t="n">
        <v>3.31</v>
      </c>
      <c r="AF91" s="33">
        <f>PERCENTRANK(AE$2:INDEX($AE:$AE,LOOKUP(2,1/(ISNUMBER($A$2:$A$1048576)),ROW($A$2:$A$1048576))),AE91)</f>
        <v/>
      </c>
      <c r="AG91" s="38">
        <f>sum(AE91-AE$106)/AE$107</f>
        <v/>
      </c>
      <c r="AH91" s="9" t="n">
        <v>34.19</v>
      </c>
      <c r="AI91" s="9" t="n">
        <v>344.09</v>
      </c>
      <c r="AJ91" s="9" t="n">
        <v>277.84</v>
      </c>
      <c r="AK91" s="9" t="n">
        <v>80.75</v>
      </c>
      <c r="AL91" s="9" t="n">
        <v>44.88</v>
      </c>
      <c r="AM91" s="9" t="n">
        <v>106.47</v>
      </c>
      <c r="AN91" s="9" t="n">
        <v>21.13</v>
      </c>
      <c r="AO91" s="9" t="n">
        <v>39.97</v>
      </c>
      <c r="AP91" s="9" t="n">
        <v>45.38</v>
      </c>
      <c r="AQ91" s="9" t="n">
        <v>70.38</v>
      </c>
      <c r="AR91" s="9" t="n">
        <v>32.44</v>
      </c>
      <c r="AS91" s="9" t="n">
        <v>28.94</v>
      </c>
      <c r="AT91" s="33">
        <f>PERCENTRANK(AS$2:INDEX($AS:$AS,LOOKUP(2,1/(ISNUMBER($A$2:$A$1048576)),ROW($A$2:$A$1048576))),AS91)</f>
        <v/>
      </c>
      <c r="AU91" s="39">
        <f>SUM(AS91-AS$106)/AS$107</f>
        <v/>
      </c>
      <c r="AV91" s="9" t="n">
        <v>9</v>
      </c>
      <c r="AW91" s="33">
        <f>PERCENTRANK(AV$2:INDEX($AV:$AV,LOOKUP(2,1/(ISNUMBER($A$2:$A$1048576)),ROW($A$2:$A$1048576))),AV91)</f>
        <v/>
      </c>
      <c r="AX91" s="9" t="n">
        <v>169.53</v>
      </c>
      <c r="AY91" s="9" t="n">
        <v>77.97</v>
      </c>
      <c r="AZ91" s="9" t="n">
        <v>45.99</v>
      </c>
      <c r="BA91" s="9" t="n">
        <v>4.16</v>
      </c>
      <c r="BB91" s="9" t="n">
        <v>1.03</v>
      </c>
      <c r="BC91" s="9" t="n">
        <v>24.81</v>
      </c>
      <c r="BD91" s="9" t="n">
        <v>22.56</v>
      </c>
      <c r="BE91" s="9" t="n">
        <v>6.19</v>
      </c>
      <c r="BF91" s="33">
        <f>PERCENTRANK(BE$2:INDEX($BE:$BE,LOOKUP(2,1/(ISNUMBER($A$2:$A$1048576)),ROW($A$2:$A$1048576))),BE91)</f>
        <v/>
      </c>
      <c r="BG91" s="40">
        <f>sum(BE91-BE$106)/BE$107</f>
        <v/>
      </c>
      <c r="BH91" s="9" t="n">
        <v>27.42</v>
      </c>
      <c r="BI91" s="9" t="n">
        <v>1.03</v>
      </c>
      <c r="BJ91" s="9" t="n">
        <v>0.53</v>
      </c>
      <c r="BK91" s="9" t="n">
        <v>51.52</v>
      </c>
      <c r="BL91" s="9" t="n">
        <v>26.84</v>
      </c>
      <c r="BM91" s="9" t="n">
        <v>2.34</v>
      </c>
      <c r="BN91" s="9" t="n">
        <v>8.73</v>
      </c>
      <c r="BO91" s="9" t="n">
        <v>4.03</v>
      </c>
      <c r="BP91" s="9" t="n">
        <v>0.91</v>
      </c>
      <c r="BQ91" s="9" t="n">
        <v>22.48</v>
      </c>
      <c r="BR91" s="9" t="n">
        <v>3.16</v>
      </c>
      <c r="BS91" s="9" t="n">
        <v>0.53</v>
      </c>
      <c r="BT91" s="9" t="n">
        <v>16.83</v>
      </c>
      <c r="BU91" s="9" t="n">
        <v>0.03</v>
      </c>
      <c r="BV91" s="9" t="n">
        <v>0.03</v>
      </c>
      <c r="BW91" s="9" t="n">
        <v>100</v>
      </c>
      <c r="BX91" s="9" t="n">
        <v>10.28</v>
      </c>
      <c r="BY91" s="9" t="n">
        <v>3.38</v>
      </c>
      <c r="BZ91" s="9" t="n">
        <v>32.83</v>
      </c>
      <c r="CA91" s="9" t="n">
        <v>3.47</v>
      </c>
      <c r="CB91" s="9" t="n">
        <v>3.75</v>
      </c>
      <c r="CC91" s="33">
        <f>PERCENTRANK(CD$2:INDEX($CD:$CD,LOOKUP(2,1/(ISNUMBER($A$2:$A$1048576)),ROW($A$2:$A$1048576))),CD91)</f>
        <v/>
      </c>
      <c r="CD91" s="40">
        <f>sum(CB91-CB$106)/CB$107</f>
        <v/>
      </c>
      <c r="CE91" s="9" t="n">
        <v>17.81</v>
      </c>
      <c r="CF91" s="33">
        <f>PERCENTRANK(CE$2:INDEX($CE:$CE,LOOKUP(2,1/(ISNUMBER($A$2:$A$1048576)),ROW($A$2:$A$1048576))),CE91)</f>
        <v/>
      </c>
      <c r="CG91" s="38">
        <f>sum(CE91-CE$106)/CE$107</f>
        <v/>
      </c>
      <c r="CH91" s="9" t="n">
        <v>3.13</v>
      </c>
      <c r="CI91" s="9" t="n">
        <v>6.53</v>
      </c>
      <c r="CJ91" s="9" t="n">
        <v>12.78</v>
      </c>
      <c r="CK91" s="33">
        <f>PERCENTRANK(CJ$2:INDEX($CJ:$CJ,LOOKUP(2,1/(ISNUMBER($A$2:$A$1048576)),ROW($A$2:$A$1048576))),CJ91)</f>
        <v/>
      </c>
      <c r="CL91" s="38">
        <f>sum(CJ91-CJ$106)/CJ$107</f>
        <v/>
      </c>
      <c r="CM91" s="9" t="n">
        <v>53.63</v>
      </c>
      <c r="CN91" s="9" t="n">
        <v>21.19</v>
      </c>
      <c r="CO91" s="9" t="n">
        <v>39.51</v>
      </c>
      <c r="CP91" s="9" t="n">
        <v>1.41</v>
      </c>
      <c r="CQ91" s="9" t="n">
        <v>1.28</v>
      </c>
      <c r="CR91" s="9" t="n">
        <v>12.25</v>
      </c>
      <c r="CS91" s="33">
        <f>PERCENTRANK(CR$2:INDEX($CR:$CR,LOOKUP(2,1/(ISNUMBER($A$2:$A$1048576)),ROW($A$2:$A$1048576))),CR91)</f>
        <v/>
      </c>
      <c r="CT91" s="39">
        <f>1-(CR91-CR$106)/CR$107</f>
        <v/>
      </c>
      <c r="CU91" s="9" t="n">
        <v>3.97</v>
      </c>
      <c r="CV91" s="33">
        <f>PERCENTRANK(CU$2:INDEX($CU:$CU,LOOKUP(2,1/(ISNUMBER($A$2:$A$1048576)),ROW($A$2:$A$1048576))),CU91)</f>
        <v/>
      </c>
      <c r="CW91" s="39">
        <f>1-(CU91-CU$106)/CU$107</f>
        <v/>
      </c>
      <c r="CX91" s="9" t="n">
        <v>32.4</v>
      </c>
      <c r="CY91" s="9" t="n">
        <v>52.75</v>
      </c>
      <c r="CZ91" s="9" t="n">
        <v>30.72</v>
      </c>
      <c r="DA91" s="9" t="n">
        <v>58.23</v>
      </c>
      <c r="DB91" s="9" t="n">
        <v>40.53</v>
      </c>
      <c r="DC91" s="9" t="n">
        <v>17.5</v>
      </c>
      <c r="DD91" s="9" t="n">
        <v>43.18</v>
      </c>
      <c r="DE91" s="9" t="n">
        <v>2.16</v>
      </c>
      <c r="DF91" s="9" t="n">
        <v>1.22</v>
      </c>
      <c r="DG91" s="9" t="n">
        <v>56.52</v>
      </c>
      <c r="DH91" s="9" t="n">
        <v>37.16</v>
      </c>
      <c r="DI91" s="33">
        <f>PERCENTRANK(DH$2:INDEX($DH:$DH,LOOKUP(2,1/(ISNUMBER($A$2:$A$1048576)),ROW($A$2:$A$1048576))),DH91)</f>
        <v/>
      </c>
      <c r="DJ91" s="39">
        <f>SUM(DH91-DH$106)/DH$107</f>
        <v/>
      </c>
      <c r="DK91" s="9" t="n">
        <v>15.31</v>
      </c>
      <c r="DL91" s="9" t="n">
        <v>12.63</v>
      </c>
      <c r="DM91" s="9" t="n">
        <v>2.22</v>
      </c>
      <c r="DN91" s="9" t="n">
        <v>0</v>
      </c>
      <c r="DO91" s="9" t="n">
        <v>121.28</v>
      </c>
      <c r="DP91" s="9" t="n">
        <v>82.03</v>
      </c>
      <c r="DQ91" s="33">
        <f>PERCENTRANK(DP$2:INDEX($DP:$DP,LOOKUP(2,1/(ISNUMBER($A$2:$A$1048576)),ROW($A$2:$A$1048576))),DP91)</f>
        <v/>
      </c>
      <c r="DR91" s="40">
        <f>sum(DP91-DP$106)/DP$107</f>
        <v/>
      </c>
      <c r="DS91" s="9" t="n">
        <v>67.64</v>
      </c>
      <c r="DT91" s="9" t="n">
        <v>52.53</v>
      </c>
      <c r="DU91" s="9" t="n">
        <v>49.22</v>
      </c>
      <c r="DV91" s="9" t="n">
        <v>93.69</v>
      </c>
      <c r="DW91" s="9" t="n">
        <v>123.88</v>
      </c>
      <c r="DX91" s="9" t="n">
        <v>110.38</v>
      </c>
      <c r="DY91" s="9" t="n">
        <v>89.09999999999999</v>
      </c>
      <c r="DZ91" s="9" t="n">
        <v>40.63</v>
      </c>
      <c r="EA91" s="9" t="n">
        <v>20.56</v>
      </c>
      <c r="EB91" s="9" t="n">
        <v>50.62</v>
      </c>
      <c r="EC91" s="9" t="n">
        <v>44.06</v>
      </c>
      <c r="ED91" s="9" t="n">
        <v>27.66</v>
      </c>
      <c r="EE91" s="33">
        <f>PERCENTRANK(ED$2:INDEX($ED:$ED,LOOKUP(2,1/(ISNUMBER($A$2:$A$1048576)),ROW($A$2:$A$1048576))),ED91)</f>
        <v/>
      </c>
      <c r="EF91" s="40">
        <f>sum(ED91-ED$106)/ED$107</f>
        <v/>
      </c>
      <c r="EG91" s="9" t="n">
        <v>62.77</v>
      </c>
      <c r="EH91" s="9" t="n">
        <v>62.53</v>
      </c>
      <c r="EI91" s="9" t="n">
        <v>41.81</v>
      </c>
      <c r="EJ91" s="33">
        <f>PERCENTRANK(EI$2:INDEX($EI:$EI,LOOKUP(2,1/(ISNUMBER($A$2:$A$1048576)),ROW($A$2:$A$1048576))),EI91)</f>
        <v/>
      </c>
      <c r="EK91" s="40">
        <f>sum(EI91-EI$106)/EI$107</f>
        <v/>
      </c>
      <c r="EL91" s="9" t="n">
        <v>66.87</v>
      </c>
      <c r="EM91" s="9" t="n">
        <v>0.5600000000000001</v>
      </c>
      <c r="EN91" s="9" t="n">
        <v>0.41</v>
      </c>
      <c r="EO91" s="9" t="n">
        <v>72.22</v>
      </c>
      <c r="EP91" s="9" t="n">
        <v>20.06</v>
      </c>
      <c r="EQ91" s="9" t="n">
        <v>16.63</v>
      </c>
      <c r="ER91" s="9" t="n">
        <v>82.87</v>
      </c>
      <c r="ES91" s="9" t="n">
        <v>8.630000000000001</v>
      </c>
      <c r="ET91" s="9" t="n">
        <v>15.65</v>
      </c>
      <c r="EU91" s="9" t="n">
        <v>3.5</v>
      </c>
      <c r="EV91" s="9" t="n">
        <v>12.41</v>
      </c>
      <c r="EW91" s="9" t="n">
        <v>18.5</v>
      </c>
      <c r="EX91" s="33">
        <f>PERCENTRANK(EW$2:INDEX($EW:$EW,LOOKUP(2,1/(ISNUMBER($A$2:$A$1048576)),ROW($A$2:$A$1048576))),EW91)</f>
        <v/>
      </c>
      <c r="EY91" s="38">
        <f>1-(EW91-EW$106)/EW$107</f>
        <v/>
      </c>
      <c r="EZ91" s="9" t="n">
        <v>20.2</v>
      </c>
      <c r="FA91" s="9" t="n">
        <v>14.06</v>
      </c>
      <c r="FB91" s="33">
        <f>PERCENTRANK(FA$2:INDEX($FA:$FA,LOOKUP(2,1/(ISNUMBER($A$2:$A$1048576)),ROW($A$2:$A$1048576))),FA91)</f>
        <v/>
      </c>
      <c r="FC91" s="39">
        <f>1-(FA91-FA$106)/FA$107</f>
        <v/>
      </c>
      <c r="FD91" s="9" t="n">
        <v>1.28</v>
      </c>
      <c r="FE91" s="9" t="n">
        <v>1.42</v>
      </c>
      <c r="FF91" s="33">
        <f>PERCENTRANK(FE$2:INDEX($FE:$FE,LOOKUP(2,1/(ISNUMBER($A$2:$A$1048576)),ROW($A$2:$A$1048576))),FE91)</f>
        <v/>
      </c>
      <c r="FG91" s="39">
        <f>1-(FE91-FE$106)/FE$107</f>
        <v/>
      </c>
      <c r="FH91" s="9" t="n">
        <v>12.25</v>
      </c>
      <c r="FI91" s="9" t="n">
        <v>3.72</v>
      </c>
      <c r="FJ91" s="9" t="n">
        <v>30.36</v>
      </c>
      <c r="FK91" s="9" t="n">
        <v>436.16</v>
      </c>
      <c r="FL91" s="33">
        <f>PERCENTRANK(FK$2:INDEX($FK:$FK,LOOKUP(2,1/(ISNUMBER($A$2:$A$1048576)),ROW($A$2:$A$1048576))),FK91)</f>
        <v/>
      </c>
      <c r="FM91" s="39">
        <f>SWA90-(FK91-FK$106)/FK$107</f>
        <v/>
      </c>
      <c r="FN91" s="9" t="n">
        <v>363.31</v>
      </c>
      <c r="FO91" s="9" t="n">
        <v>83.3</v>
      </c>
      <c r="FP91" s="9" t="n">
        <v>55.12</v>
      </c>
      <c r="FQ91" s="9" t="n">
        <v>101.97</v>
      </c>
      <c r="FR91" s="9" t="n">
        <v>16.38</v>
      </c>
      <c r="FS91" s="9" t="n">
        <v>36.69</v>
      </c>
      <c r="FT91" s="9" t="n">
        <v>48.91</v>
      </c>
      <c r="FU91" s="9" t="n">
        <v>74.53</v>
      </c>
      <c r="FV91" s="9" t="n">
        <v>31.41</v>
      </c>
      <c r="FW91" s="9" t="n">
        <v>31.59</v>
      </c>
      <c r="FX91" s="9" t="n">
        <v>11.53</v>
      </c>
      <c r="FY91" s="9" t="n">
        <v>169.53</v>
      </c>
      <c r="FZ91" s="9" t="n">
        <v>83.94</v>
      </c>
      <c r="GA91" s="9" t="n">
        <v>49.51</v>
      </c>
      <c r="GB91" s="9" t="n">
        <v>5.38</v>
      </c>
      <c r="GC91" s="9" t="n">
        <v>1.19</v>
      </c>
      <c r="GD91" s="9" t="n">
        <v>22.09</v>
      </c>
      <c r="GE91" s="9" t="n">
        <v>26.84</v>
      </c>
      <c r="GF91" s="9" t="n">
        <v>7.78</v>
      </c>
      <c r="GG91" s="9" t="n">
        <v>28.99</v>
      </c>
      <c r="GH91" s="9" t="n">
        <v>0.47</v>
      </c>
      <c r="GI91" s="9" t="n">
        <v>0.16</v>
      </c>
      <c r="GJ91" s="9" t="n">
        <v>33.33</v>
      </c>
      <c r="GK91" s="9" t="n">
        <v>24.69</v>
      </c>
      <c r="GL91" s="9" t="n">
        <v>3.75</v>
      </c>
      <c r="GM91" s="9" t="n">
        <v>15.19</v>
      </c>
      <c r="GN91" s="9" t="n">
        <v>4.47</v>
      </c>
      <c r="GO91" s="9" t="n">
        <v>1.59</v>
      </c>
      <c r="GP91" s="9" t="n">
        <v>35.66</v>
      </c>
      <c r="GQ91" s="9" t="n">
        <v>2.34</v>
      </c>
      <c r="GR91" s="9" t="n">
        <v>0.59</v>
      </c>
      <c r="GS91" s="9" t="n">
        <v>25.33</v>
      </c>
      <c r="GT91" s="9" t="n">
        <v>0.13</v>
      </c>
      <c r="GU91" s="9" t="n">
        <v>0.13</v>
      </c>
      <c r="GV91" s="9" t="n">
        <v>100</v>
      </c>
      <c r="GW91" s="9" t="n">
        <v>14.72</v>
      </c>
      <c r="GX91" s="9" t="n">
        <v>5.72</v>
      </c>
      <c r="GY91" s="9" t="n">
        <v>38.85</v>
      </c>
      <c r="GZ91" s="9" t="n">
        <v>5.47</v>
      </c>
      <c r="HA91" s="9" t="n">
        <v>5.38</v>
      </c>
      <c r="HB91" s="9" t="n">
        <v>23.66</v>
      </c>
      <c r="HC91" s="9" t="n">
        <v>3.28</v>
      </c>
      <c r="HD91" s="9" t="n">
        <v>9.41</v>
      </c>
      <c r="HE91" s="9" t="n">
        <v>15.88</v>
      </c>
      <c r="HF91" s="9" t="n">
        <v>52.75</v>
      </c>
      <c r="HG91" s="9" t="n">
        <v>22.03</v>
      </c>
      <c r="HH91" s="9" t="n">
        <v>41.77</v>
      </c>
      <c r="HI91" s="9" t="n">
        <v>2.66</v>
      </c>
      <c r="HJ91" s="9" t="n">
        <v>1.28</v>
      </c>
      <c r="HK91" s="9" t="n">
        <v>9.69</v>
      </c>
      <c r="HL91" s="9" t="n">
        <v>3.63</v>
      </c>
      <c r="HM91" s="9" t="n">
        <v>37.42</v>
      </c>
      <c r="HN91" s="9" t="n">
        <v>53.63</v>
      </c>
      <c r="HO91" s="9" t="n">
        <v>32.44</v>
      </c>
      <c r="HP91" s="9" t="n">
        <v>60.49</v>
      </c>
      <c r="HQ91" s="9" t="n">
        <v>40.53</v>
      </c>
      <c r="HR91" s="9" t="n">
        <v>19</v>
      </c>
      <c r="HS91" s="9" t="n">
        <v>46.88</v>
      </c>
      <c r="HT91" s="9" t="n">
        <v>2.63</v>
      </c>
      <c r="HU91" s="9" t="n">
        <v>1.31</v>
      </c>
      <c r="HV91" s="9" t="n">
        <v>50</v>
      </c>
      <c r="HW91" s="9" t="n">
        <v>34.56</v>
      </c>
      <c r="HX91" s="9" t="n">
        <v>15.59</v>
      </c>
      <c r="HY91" s="9" t="n">
        <v>13.03</v>
      </c>
      <c r="HZ91" s="9" t="n">
        <v>2.16</v>
      </c>
      <c r="IA91" s="9" t="n">
        <v>0.06</v>
      </c>
      <c r="IB91" s="9" t="n">
        <v>145.25</v>
      </c>
      <c r="IC91" s="9" t="n">
        <v>103.41</v>
      </c>
      <c r="ID91" s="9" t="n">
        <v>71.19</v>
      </c>
      <c r="IE91" s="9" t="n">
        <v>63.69</v>
      </c>
      <c r="IF91" s="9" t="n">
        <v>60.19</v>
      </c>
      <c r="IG91" s="9" t="n">
        <v>94.5</v>
      </c>
      <c r="IH91" s="9" t="n">
        <v>168.41</v>
      </c>
      <c r="II91" s="9" t="n">
        <v>151.19</v>
      </c>
      <c r="IJ91" s="9" t="n">
        <v>89.78</v>
      </c>
      <c r="IK91" s="9" t="n">
        <v>51.81</v>
      </c>
      <c r="IL91" s="9" t="n">
        <v>25.81</v>
      </c>
      <c r="IM91" s="9" t="n">
        <v>49.82</v>
      </c>
      <c r="IN91" s="9" t="n">
        <v>60.59</v>
      </c>
      <c r="IO91" s="9" t="n">
        <v>39.34</v>
      </c>
      <c r="IP91" s="9" t="n">
        <v>64.93000000000001</v>
      </c>
      <c r="IQ91" s="9" t="n">
        <v>72.66</v>
      </c>
      <c r="IR91" s="9" t="n">
        <v>53.88</v>
      </c>
      <c r="IS91" s="9" t="n">
        <v>74.15000000000001</v>
      </c>
      <c r="IT91" s="33">
        <f>PERCENTRANK(IS$2:INDEX($IS:$IS,LOOKUP(2,1/(ISNUMBER($A$2:$A$1048576)),ROW($A$2:$A$1048576))),IS91)</f>
        <v/>
      </c>
      <c r="IU91" s="39">
        <f>1-(IS91-IS$106)/IS$107</f>
        <v/>
      </c>
      <c r="IV91" s="9" t="n">
        <v>0.8100000000000001</v>
      </c>
      <c r="IW91" s="9" t="n">
        <v>0.31</v>
      </c>
      <c r="IX91" s="9" t="n">
        <v>38.46</v>
      </c>
      <c r="IY91" s="9" t="n">
        <v>18.44</v>
      </c>
      <c r="IZ91" s="9" t="n">
        <v>16.81</v>
      </c>
      <c r="JA91" s="9" t="n">
        <v>91.19</v>
      </c>
      <c r="JB91" s="9" t="n">
        <v>7.13</v>
      </c>
      <c r="JC91" s="9" t="n">
        <v>16.09</v>
      </c>
      <c r="JD91" s="9" t="n">
        <v>4.49</v>
      </c>
      <c r="JE91" s="9" t="n">
        <v>12.49</v>
      </c>
      <c r="JF91" s="9" t="n">
        <v>18.53</v>
      </c>
      <c r="JG91" s="9" t="n">
        <v>20.28</v>
      </c>
      <c r="JH91" s="9" t="n">
        <v>10.23</v>
      </c>
    </row>
    <row r="92">
      <c r="A92" s="12" t="n">
        <v>2025</v>
      </c>
      <c r="B92" s="31" t="inlineStr">
        <is>
          <t>Phoenix Rising</t>
        </is>
      </c>
      <c r="C92" s="12" t="n">
        <v>40</v>
      </c>
      <c r="D92" s="5">
        <f>(C92-AVERAGE($C$2:INDEX($C:$C,LOOKUP(2,1/(ISNUMBER($A$2:$A$1048576)),ROW($A$2:$A$1048576)))))/_xlfn.STDEV.P($C$2:INDEX($C:$C,LOOKUP(2,1/(ISNUMBER($A$2:$A$1048576)),ROW($A$2:$A$1048576))))</f>
        <v/>
      </c>
      <c r="E92" s="12" t="n">
        <v>5</v>
      </c>
      <c r="F92" s="6">
        <f>-E92</f>
        <v/>
      </c>
      <c r="G92" s="7">
        <f>(F92-AVERAGE($F$2:INDEX($F:$F,LOOKUP(2,1/(ISNUMBER($A$2:$A$1048576)),ROW($A$2:$A$1048576)))))/_xlfn.STDEV.P($F$2:INDEX($F:$F,LOOKUP(2,1/(ISNUMBER($A$2:$A$1048576)),ROW($A$2:$A$1048576))))</f>
        <v/>
      </c>
      <c r="H92" s="32">
        <f>sum(0.5*D92)+(0.5*G92)</f>
        <v/>
      </c>
      <c r="I92" s="12" t="inlineStr">
        <is>
          <t>West</t>
        </is>
      </c>
      <c r="J92" s="10">
        <f>sum(L92*L$105)+(N92*N$105)+(P92*P$105)+(T92*R$105)</f>
        <v/>
      </c>
      <c r="K92" s="33">
        <f>PERCENTRANK(J$2:INDEX($J:$J,LOOKUP(2,1/(ISNUMBER($A$2:$A$1048576)),ROW($A$2:$A$1048576))),J92)</f>
        <v/>
      </c>
      <c r="L92" s="10">
        <f>sum(AA92*0.66)+(AD92*0.55)+(AG92*0.59)+(CG92*0.51)+(CL92*0.6)+(EY92*0.31)</f>
        <v/>
      </c>
      <c r="M92" s="33">
        <f>PERCENTRANK(L$2:INDEX($L:$L,LOOKUP(2,1/(ISNUMBER($A$2:$A$1048576)),ROW($A$2:$A$1048576))),L92)</f>
        <v/>
      </c>
      <c r="N92" s="10">
        <f>sum(CT92*0.57)+(CW92*0.71)+(DJ92*0.08)+(FC92*0.33)+(FG92*0.69)+(FM92*0.26)+(IU92*0.54)+(AU92*0.4)</f>
        <v/>
      </c>
      <c r="O92" s="33">
        <f>PERCENTRANK(N$2:INDEX($N:$N,LOOKUP(2,1/(ISNUMBER($A$2:$A$1048576)),ROW($A$2:$A$1048576))),N92)</f>
        <v/>
      </c>
      <c r="P92" s="10">
        <f>sum(BG92*0.51)+(CD92*0.51)+(DR92*0.11)+(EF92*0.42)+(EK92*0.44)+(W92*0.6)</f>
        <v/>
      </c>
      <c r="Q92" s="33">
        <f>PERCENTRANK(P$2:INDEX($P:$P,LOOKUP(2,1/(ISNUMBER($A$2:$A$1048576)),ROW($A$2:$A$1048576))),P92)</f>
        <v/>
      </c>
      <c r="R92" s="10">
        <f>sum(Y92-FE92)</f>
        <v/>
      </c>
      <c r="S92" s="33">
        <f>PERCENTRANK(R$2:INDEX($R:$R,LOOKUP(2,1/(ISNUMBER($A$2:$A$1048576)),ROW($A$2:$A$1048576))),R92)</f>
        <v/>
      </c>
      <c r="T92" s="34">
        <f>sum(R92-R$106)/R$107</f>
        <v/>
      </c>
      <c r="U92" s="35">
        <f>sum(Y92/AI92)*100</f>
        <v/>
      </c>
      <c r="V92" s="33">
        <f>PERCENTRANK(U$2:INDEX($U:$U,LOOKUP(2,1/(ISNUMBER($A$2:$A$1048576)),ROW($A$2:$A$1048576))),U92)</f>
        <v/>
      </c>
      <c r="W92" s="36">
        <f>sum(U92-U$106)/U$107</f>
        <v/>
      </c>
      <c r="X92" s="9" t="n">
        <v>1.53</v>
      </c>
      <c r="Y92" s="9" t="n">
        <v>1.2</v>
      </c>
      <c r="Z92" s="33">
        <f>PERCENTRANK(Y$2:INDEX($Y:$Y,LOOKUP(2,1/(ISNUMBER($A$2:$A$1048576)),ROW($A$2:$A$1048576))),Y92)</f>
        <v/>
      </c>
      <c r="AA92" s="37">
        <f>sum(Y92-Y$106)/Y$107</f>
        <v/>
      </c>
      <c r="AB92" s="9" t="n">
        <v>9.220000000000001</v>
      </c>
      <c r="AC92" s="33">
        <f>PERCENTRANK(AB$2:INDEX($AB:$AB,LOOKUP(2,1/(ISNUMBER($A$2:$A$1048576)),ROW($A$2:$A$1048576))),AB92)</f>
        <v/>
      </c>
      <c r="AD92" s="38">
        <f>sum(AB92-AB$106)/AB$107</f>
        <v/>
      </c>
      <c r="AE92" s="9" t="n">
        <v>3.34</v>
      </c>
      <c r="AF92" s="33">
        <f>PERCENTRANK(AE$2:INDEX($AE:$AE,LOOKUP(2,1/(ISNUMBER($A$2:$A$1048576)),ROW($A$2:$A$1048576))),AE92)</f>
        <v/>
      </c>
      <c r="AG92" s="38">
        <f>sum(AE92-AE$106)/AE$107</f>
        <v/>
      </c>
      <c r="AH92" s="9" t="n">
        <v>36.27</v>
      </c>
      <c r="AI92" s="9" t="n">
        <v>399.69</v>
      </c>
      <c r="AJ92" s="9" t="n">
        <v>334.09</v>
      </c>
      <c r="AK92" s="9" t="n">
        <v>83.59</v>
      </c>
      <c r="AL92" s="9" t="n">
        <v>51.35</v>
      </c>
      <c r="AM92" s="9" t="n">
        <v>96.22</v>
      </c>
      <c r="AN92" s="9" t="n">
        <v>19.03</v>
      </c>
      <c r="AO92" s="9" t="n">
        <v>35.78</v>
      </c>
      <c r="AP92" s="9" t="n">
        <v>41.41</v>
      </c>
      <c r="AQ92" s="9" t="n">
        <v>67.63</v>
      </c>
      <c r="AR92" s="9" t="n">
        <v>33.13</v>
      </c>
      <c r="AS92" s="9" t="n">
        <v>26.03</v>
      </c>
      <c r="AT92" s="33">
        <f>PERCENTRANK(AS$2:INDEX($AS:$AS,LOOKUP(2,1/(ISNUMBER($A$2:$A$1048576)),ROW($A$2:$A$1048576))),AS92)</f>
        <v/>
      </c>
      <c r="AU92" s="39">
        <f>SUM(AS92-AS$106)/AS$107</f>
        <v/>
      </c>
      <c r="AV92" s="9" t="n">
        <v>8.470000000000001</v>
      </c>
      <c r="AW92" s="33">
        <f>PERCENTRANK(AV$2:INDEX($AV:$AV,LOOKUP(2,1/(ISNUMBER($A$2:$A$1048576)),ROW($A$2:$A$1048576))),AV92)</f>
        <v/>
      </c>
      <c r="AX92" s="9" t="n">
        <v>174.72</v>
      </c>
      <c r="AY92" s="9" t="n">
        <v>86.28</v>
      </c>
      <c r="AZ92" s="9" t="n">
        <v>49.38</v>
      </c>
      <c r="BA92" s="9" t="n">
        <v>3.41</v>
      </c>
      <c r="BB92" s="9" t="n">
        <v>0.9399999999999999</v>
      </c>
      <c r="BC92" s="9" t="n">
        <v>27.52</v>
      </c>
      <c r="BD92" s="9" t="n">
        <v>23.38</v>
      </c>
      <c r="BE92" s="9" t="n">
        <v>5.78</v>
      </c>
      <c r="BF92" s="33">
        <f>PERCENTRANK(BE$2:INDEX($BE:$BE,LOOKUP(2,1/(ISNUMBER($A$2:$A$1048576)),ROW($A$2:$A$1048576))),BE92)</f>
        <v/>
      </c>
      <c r="BG92" s="40">
        <f>sum(BE92-BE$106)/BE$107</f>
        <v/>
      </c>
      <c r="BH92" s="9" t="n">
        <v>24.73</v>
      </c>
      <c r="BI92" s="9" t="n">
        <v>0.63</v>
      </c>
      <c r="BJ92" s="9" t="n">
        <v>0.31</v>
      </c>
      <c r="BK92" s="9" t="n">
        <v>50</v>
      </c>
      <c r="BL92" s="9" t="n">
        <v>27.06</v>
      </c>
      <c r="BM92" s="9" t="n">
        <v>2.66</v>
      </c>
      <c r="BN92" s="9" t="n">
        <v>9.82</v>
      </c>
      <c r="BO92" s="9" t="n">
        <v>3.78</v>
      </c>
      <c r="BP92" s="9" t="n">
        <v>1.25</v>
      </c>
      <c r="BQ92" s="9" t="n">
        <v>33.06</v>
      </c>
      <c r="BR92" s="9" t="n">
        <v>2.44</v>
      </c>
      <c r="BS92" s="9" t="n">
        <v>0.5</v>
      </c>
      <c r="BT92" s="9" t="n">
        <v>20.51</v>
      </c>
      <c r="BU92" s="9" t="n">
        <v>0.13</v>
      </c>
      <c r="BV92" s="9" t="n">
        <v>0.13</v>
      </c>
      <c r="BW92" s="9" t="n">
        <v>100</v>
      </c>
      <c r="BX92" s="9" t="n">
        <v>11.53</v>
      </c>
      <c r="BY92" s="9" t="n">
        <v>3.44</v>
      </c>
      <c r="BZ92" s="9" t="n">
        <v>29.81</v>
      </c>
      <c r="CA92" s="9" t="n">
        <v>3.31</v>
      </c>
      <c r="CB92" s="9" t="n">
        <v>6.25</v>
      </c>
      <c r="CC92" s="33">
        <f>PERCENTRANK(CD$2:INDEX($CD:$CD,LOOKUP(2,1/(ISNUMBER($A$2:$A$1048576)),ROW($A$2:$A$1048576))),CD92)</f>
        <v/>
      </c>
      <c r="CD92" s="40">
        <f>sum(CB92-CB$106)/CB$107</f>
        <v/>
      </c>
      <c r="CE92" s="9" t="n">
        <v>21.03</v>
      </c>
      <c r="CF92" s="33">
        <f>PERCENTRANK(CE$2:INDEX($CE:$CE,LOOKUP(2,1/(ISNUMBER($A$2:$A$1048576)),ROW($A$2:$A$1048576))),CE92)</f>
        <v/>
      </c>
      <c r="CG92" s="38">
        <f>sum(CE92-CE$106)/CE$107</f>
        <v/>
      </c>
      <c r="CH92" s="9" t="n">
        <v>3.59</v>
      </c>
      <c r="CI92" s="9" t="n">
        <v>6.38</v>
      </c>
      <c r="CJ92" s="9" t="n">
        <v>14.5</v>
      </c>
      <c r="CK92" s="33">
        <f>PERCENTRANK(CJ$2:INDEX($CJ:$CJ,LOOKUP(2,1/(ISNUMBER($A$2:$A$1048576)),ROW($A$2:$A$1048576))),CJ92)</f>
        <v/>
      </c>
      <c r="CL92" s="38">
        <f>sum(CJ92-CJ$106)/CJ$107</f>
        <v/>
      </c>
      <c r="CM92" s="9" t="n">
        <v>63.13</v>
      </c>
      <c r="CN92" s="9" t="n">
        <v>25.38</v>
      </c>
      <c r="CO92" s="9" t="n">
        <v>40.2</v>
      </c>
      <c r="CP92" s="9" t="n">
        <v>2.41</v>
      </c>
      <c r="CQ92" s="9" t="n">
        <v>1.53</v>
      </c>
      <c r="CR92" s="9" t="n">
        <v>11.94</v>
      </c>
      <c r="CS92" s="33">
        <f>PERCENTRANK(CR$2:INDEX($CR:$CR,LOOKUP(2,1/(ISNUMBER($A$2:$A$1048576)),ROW($A$2:$A$1048576))),CR92)</f>
        <v/>
      </c>
      <c r="CT92" s="39">
        <f>1-(CR92-CR$106)/CR$107</f>
        <v/>
      </c>
      <c r="CU92" s="9" t="n">
        <v>4</v>
      </c>
      <c r="CV92" s="33">
        <f>PERCENTRANK(CU$2:INDEX($CU:$CU,LOOKUP(2,1/(ISNUMBER($A$2:$A$1048576)),ROW($A$2:$A$1048576))),CU92)</f>
        <v/>
      </c>
      <c r="CW92" s="39">
        <f>1-(CU92-CU$106)/CU$107</f>
        <v/>
      </c>
      <c r="CX92" s="9" t="n">
        <v>33.51</v>
      </c>
      <c r="CY92" s="9" t="n">
        <v>59.59</v>
      </c>
      <c r="CZ92" s="9" t="n">
        <v>35.38</v>
      </c>
      <c r="DA92" s="9" t="n">
        <v>59.36</v>
      </c>
      <c r="DB92" s="9" t="n">
        <v>30.63</v>
      </c>
      <c r="DC92" s="9" t="n">
        <v>16.72</v>
      </c>
      <c r="DD92" s="9" t="n">
        <v>54.59</v>
      </c>
      <c r="DE92" s="9" t="n">
        <v>2.16</v>
      </c>
      <c r="DF92" s="9" t="n">
        <v>1.03</v>
      </c>
      <c r="DG92" s="9" t="n">
        <v>47.83</v>
      </c>
      <c r="DH92" s="9" t="n">
        <v>35.16</v>
      </c>
      <c r="DI92" s="33">
        <f>PERCENTRANK(DH$2:INDEX($DH:$DH,LOOKUP(2,1/(ISNUMBER($A$2:$A$1048576)),ROW($A$2:$A$1048576))),DH92)</f>
        <v/>
      </c>
      <c r="DJ92" s="39">
        <f>SUM(DH92-DH$106)/DH$107</f>
        <v/>
      </c>
      <c r="DK92" s="9" t="n">
        <v>14.38</v>
      </c>
      <c r="DL92" s="9" t="n">
        <v>14.63</v>
      </c>
      <c r="DM92" s="9" t="n">
        <v>2.47</v>
      </c>
      <c r="DN92" s="9" t="n">
        <v>0.19</v>
      </c>
      <c r="DO92" s="9" t="n">
        <v>137.38</v>
      </c>
      <c r="DP92" s="9" t="n">
        <v>99.44</v>
      </c>
      <c r="DQ92" s="33">
        <f>PERCENTRANK(DP$2:INDEX($DP:$DP,LOOKUP(2,1/(ISNUMBER($A$2:$A$1048576)),ROW($A$2:$A$1048576))),DP92)</f>
        <v/>
      </c>
      <c r="DR92" s="40">
        <f>sum(DP92-DP$106)/DP$107</f>
        <v/>
      </c>
      <c r="DS92" s="9" t="n">
        <v>72.38</v>
      </c>
      <c r="DT92" s="9" t="n">
        <v>61.13</v>
      </c>
      <c r="DU92" s="9" t="n">
        <v>57.53</v>
      </c>
      <c r="DV92" s="9" t="n">
        <v>94.12</v>
      </c>
      <c r="DW92" s="9" t="n">
        <v>145.5</v>
      </c>
      <c r="DX92" s="9" t="n">
        <v>131.06</v>
      </c>
      <c r="DY92" s="9" t="n">
        <v>90.08</v>
      </c>
      <c r="DZ92" s="9" t="n">
        <v>41.44</v>
      </c>
      <c r="EA92" s="9" t="n">
        <v>20.25</v>
      </c>
      <c r="EB92" s="9" t="n">
        <v>48.87</v>
      </c>
      <c r="EC92" s="9" t="n">
        <v>48.59</v>
      </c>
      <c r="ED92" s="9" t="n">
        <v>31.16</v>
      </c>
      <c r="EE92" s="33">
        <f>PERCENTRANK(ED$2:INDEX($ED:$ED,LOOKUP(2,1/(ISNUMBER($A$2:$A$1048576)),ROW($A$2:$A$1048576))),ED92)</f>
        <v/>
      </c>
      <c r="EF92" s="40">
        <f>sum(ED92-ED$106)/ED$107</f>
        <v/>
      </c>
      <c r="EG92" s="9" t="n">
        <v>64.12</v>
      </c>
      <c r="EH92" s="9" t="n">
        <v>64.63</v>
      </c>
      <c r="EI92" s="9" t="n">
        <v>44.69</v>
      </c>
      <c r="EJ92" s="33">
        <f>PERCENTRANK(EI$2:INDEX($EI:$EI,LOOKUP(2,1/(ISNUMBER($A$2:$A$1048576)),ROW($A$2:$A$1048576))),EI92)</f>
        <v/>
      </c>
      <c r="EK92" s="40">
        <f>sum(EI92-EI$106)/EI$107</f>
        <v/>
      </c>
      <c r="EL92" s="9" t="n">
        <v>69.15000000000001</v>
      </c>
      <c r="EM92" s="9" t="n">
        <v>1.16</v>
      </c>
      <c r="EN92" s="9" t="n">
        <v>0.44</v>
      </c>
      <c r="EO92" s="9" t="n">
        <v>37.84</v>
      </c>
      <c r="EP92" s="9" t="n">
        <v>20.38</v>
      </c>
      <c r="EQ92" s="9" t="n">
        <v>17.75</v>
      </c>
      <c r="ER92" s="9" t="n">
        <v>87.12</v>
      </c>
      <c r="ES92" s="9" t="n">
        <v>8.970000000000001</v>
      </c>
      <c r="ET92" s="9" t="n">
        <v>15.71</v>
      </c>
      <c r="EU92" s="9" t="n">
        <v>4.07</v>
      </c>
      <c r="EV92" s="9" t="n">
        <v>10.97</v>
      </c>
      <c r="EW92" s="9" t="n">
        <v>17.56</v>
      </c>
      <c r="EX92" s="33">
        <f>PERCENTRANK(EW$2:INDEX($EW:$EW,LOOKUP(2,1/(ISNUMBER($A$2:$A$1048576)),ROW($A$2:$A$1048576))),EW92)</f>
        <v/>
      </c>
      <c r="EY92" s="38">
        <f>1-(EW92-EW$106)/EW$107</f>
        <v/>
      </c>
      <c r="EZ92" s="9" t="n">
        <v>20.16</v>
      </c>
      <c r="FA92" s="9" t="n">
        <v>10.59</v>
      </c>
      <c r="FB92" s="33">
        <f>PERCENTRANK(FA$2:INDEX($FA:$FA,LOOKUP(2,1/(ISNUMBER($A$2:$A$1048576)),ROW($A$2:$A$1048576))),FA92)</f>
        <v/>
      </c>
      <c r="FC92" s="39">
        <f>1-(FA92-FA$106)/FA$107</f>
        <v/>
      </c>
      <c r="FD92" s="9" t="n">
        <v>1.53</v>
      </c>
      <c r="FE92" s="9" t="n">
        <v>1.31</v>
      </c>
      <c r="FF92" s="33">
        <f>PERCENTRANK(FE$2:INDEX($FE:$FE,LOOKUP(2,1/(ISNUMBER($A$2:$A$1048576)),ROW($A$2:$A$1048576))),FE92)</f>
        <v/>
      </c>
      <c r="FG92" s="39">
        <f>1-(FE92-FE$106)/FE$107</f>
        <v/>
      </c>
      <c r="FH92" s="9" t="n">
        <v>11.94</v>
      </c>
      <c r="FI92" s="9" t="n">
        <v>3.84</v>
      </c>
      <c r="FJ92" s="9" t="n">
        <v>32.2</v>
      </c>
      <c r="FK92" s="9" t="n">
        <v>375.66</v>
      </c>
      <c r="FL92" s="33">
        <f>PERCENTRANK(FK$2:INDEX($FK:$FK,LOOKUP(2,1/(ISNUMBER($A$2:$A$1048576)),ROW($A$2:$A$1048576))),FK92)</f>
        <v/>
      </c>
      <c r="FM92" s="39">
        <f>SWA91-(FK92-FK$106)/FK$107</f>
        <v/>
      </c>
      <c r="FN92" s="9" t="n">
        <v>310.56</v>
      </c>
      <c r="FO92" s="9" t="n">
        <v>82.67</v>
      </c>
      <c r="FP92" s="9" t="n">
        <v>48.65</v>
      </c>
      <c r="FQ92" s="9" t="n">
        <v>96.53</v>
      </c>
      <c r="FR92" s="9" t="n">
        <v>16.13</v>
      </c>
      <c r="FS92" s="9" t="n">
        <v>33.22</v>
      </c>
      <c r="FT92" s="9" t="n">
        <v>47.19</v>
      </c>
      <c r="FU92" s="9" t="n">
        <v>68.44</v>
      </c>
      <c r="FV92" s="9" t="n">
        <v>30.41</v>
      </c>
      <c r="FW92" s="9" t="n">
        <v>27.34</v>
      </c>
      <c r="FX92" s="9" t="n">
        <v>10.69</v>
      </c>
      <c r="FY92" s="9" t="n">
        <v>174.72</v>
      </c>
      <c r="FZ92" s="9" t="n">
        <v>82.5</v>
      </c>
      <c r="GA92" s="9" t="n">
        <v>47.22</v>
      </c>
      <c r="GB92" s="9" t="n">
        <v>4.72</v>
      </c>
      <c r="GC92" s="9" t="n">
        <v>0.97</v>
      </c>
      <c r="GD92" s="9" t="n">
        <v>20.53</v>
      </c>
      <c r="GE92" s="9" t="n">
        <v>25.91</v>
      </c>
      <c r="GF92" s="9" t="n">
        <v>7.41</v>
      </c>
      <c r="GG92" s="9" t="n">
        <v>28.59</v>
      </c>
      <c r="GH92" s="9" t="n">
        <v>0.5</v>
      </c>
      <c r="GI92" s="9" t="n">
        <v>0.22</v>
      </c>
      <c r="GJ92" s="9" t="n">
        <v>43.75</v>
      </c>
      <c r="GK92" s="9" t="n">
        <v>29.13</v>
      </c>
      <c r="GL92" s="9" t="n">
        <v>3.81</v>
      </c>
      <c r="GM92" s="9" t="n">
        <v>13.09</v>
      </c>
      <c r="GN92" s="9" t="n">
        <v>5.53</v>
      </c>
      <c r="GO92" s="9" t="n">
        <v>1.78</v>
      </c>
      <c r="GP92" s="9" t="n">
        <v>32.2</v>
      </c>
      <c r="GQ92" s="9" t="n">
        <v>2.5</v>
      </c>
      <c r="GR92" s="9" t="n">
        <v>0.75</v>
      </c>
      <c r="GS92" s="9" t="n">
        <v>30</v>
      </c>
      <c r="GT92" s="9" t="n">
        <v>0.09</v>
      </c>
      <c r="GU92" s="9" t="n">
        <v>0.06</v>
      </c>
      <c r="GV92" s="9" t="n">
        <v>66.67</v>
      </c>
      <c r="GW92" s="9" t="n">
        <v>16.44</v>
      </c>
      <c r="GX92" s="9" t="n">
        <v>5.5</v>
      </c>
      <c r="GY92" s="9" t="n">
        <v>33.46</v>
      </c>
      <c r="GZ92" s="9" t="n">
        <v>5.53</v>
      </c>
      <c r="HA92" s="9" t="n">
        <v>6.72</v>
      </c>
      <c r="HB92" s="9" t="n">
        <v>23.97</v>
      </c>
      <c r="HC92" s="9" t="n">
        <v>3.63</v>
      </c>
      <c r="HD92" s="9" t="n">
        <v>10.09</v>
      </c>
      <c r="HE92" s="9" t="n">
        <v>17.69</v>
      </c>
      <c r="HF92" s="9" t="n">
        <v>59.56</v>
      </c>
      <c r="HG92" s="9" t="n">
        <v>24.19</v>
      </c>
      <c r="HH92" s="9" t="n">
        <v>40.61</v>
      </c>
      <c r="HI92" s="9" t="n">
        <v>1.72</v>
      </c>
      <c r="HJ92" s="9" t="n">
        <v>1.53</v>
      </c>
      <c r="HK92" s="9" t="n">
        <v>9.220000000000001</v>
      </c>
      <c r="HL92" s="9" t="n">
        <v>3.47</v>
      </c>
      <c r="HM92" s="9" t="n">
        <v>37.63</v>
      </c>
      <c r="HN92" s="9" t="n">
        <v>63.13</v>
      </c>
      <c r="HO92" s="9" t="n">
        <v>37.75</v>
      </c>
      <c r="HP92" s="9" t="n">
        <v>59.8</v>
      </c>
      <c r="HQ92" s="9" t="n">
        <v>30.66</v>
      </c>
      <c r="HR92" s="9" t="n">
        <v>11.69</v>
      </c>
      <c r="HS92" s="9" t="n">
        <v>38.12</v>
      </c>
      <c r="HT92" s="9" t="n">
        <v>2.81</v>
      </c>
      <c r="HU92" s="9" t="n">
        <v>1.34</v>
      </c>
      <c r="HV92" s="9" t="n">
        <v>47.78</v>
      </c>
      <c r="HW92" s="9" t="n">
        <v>31.91</v>
      </c>
      <c r="HX92" s="9" t="n">
        <v>13.22</v>
      </c>
      <c r="HY92" s="9" t="n">
        <v>13.5</v>
      </c>
      <c r="HZ92" s="9" t="n">
        <v>2.25</v>
      </c>
      <c r="IA92" s="9" t="n">
        <v>0.22</v>
      </c>
      <c r="IB92" s="9" t="n">
        <v>126.63</v>
      </c>
      <c r="IC92" s="9" t="n">
        <v>91.63</v>
      </c>
      <c r="ID92" s="9" t="n">
        <v>72.36</v>
      </c>
      <c r="IE92" s="9" t="n">
        <v>57.06</v>
      </c>
      <c r="IF92" s="9" t="n">
        <v>53.91</v>
      </c>
      <c r="IG92" s="9" t="n">
        <v>94.47</v>
      </c>
      <c r="IH92" s="9" t="n">
        <v>142.53</v>
      </c>
      <c r="II92" s="9" t="n">
        <v>125.5</v>
      </c>
      <c r="IJ92" s="9" t="n">
        <v>88.05</v>
      </c>
      <c r="IK92" s="9" t="n">
        <v>44.22</v>
      </c>
      <c r="IL92" s="9" t="n">
        <v>23.63</v>
      </c>
      <c r="IM92" s="9" t="n">
        <v>53.43</v>
      </c>
      <c r="IN92" s="9" t="n">
        <v>50</v>
      </c>
      <c r="IO92" s="9" t="n">
        <v>33.34</v>
      </c>
      <c r="IP92" s="9" t="n">
        <v>66.69</v>
      </c>
      <c r="IQ92" s="9" t="n">
        <v>67.19</v>
      </c>
      <c r="IR92" s="9" t="n">
        <v>49.56</v>
      </c>
      <c r="IS92" s="9" t="n">
        <v>73.77</v>
      </c>
      <c r="IT92" s="33">
        <f>PERCENTRANK(IS$2:INDEX($IS:$IS,LOOKUP(2,1/(ISNUMBER($A$2:$A$1048576)),ROW($A$2:$A$1048576))),IS92)</f>
        <v/>
      </c>
      <c r="IU92" s="39">
        <f>1-(IS92-IS$106)/IS$107</f>
        <v/>
      </c>
      <c r="IV92" s="9" t="n">
        <v>0.6899999999999999</v>
      </c>
      <c r="IW92" s="9" t="n">
        <v>0.25</v>
      </c>
      <c r="IX92" s="9" t="n">
        <v>36.36</v>
      </c>
      <c r="IY92" s="9" t="n">
        <v>19.19</v>
      </c>
      <c r="IZ92" s="9" t="n">
        <v>17.25</v>
      </c>
      <c r="JA92" s="9" t="n">
        <v>89.90000000000001</v>
      </c>
      <c r="JB92" s="9" t="n">
        <v>7.84</v>
      </c>
      <c r="JC92" s="9" t="n">
        <v>15.58</v>
      </c>
      <c r="JD92" s="9" t="n">
        <v>3.8</v>
      </c>
      <c r="JE92" s="9" t="n">
        <v>12.18</v>
      </c>
      <c r="JF92" s="9" t="n">
        <v>18.06</v>
      </c>
      <c r="JG92" s="9" t="n">
        <v>20.65</v>
      </c>
      <c r="JH92" s="9" t="n">
        <v>12.63</v>
      </c>
    </row>
    <row r="93">
      <c r="A93" s="12" t="n">
        <v>2022</v>
      </c>
      <c r="B93" s="31" t="inlineStr">
        <is>
          <t>LA Galaxy II</t>
        </is>
      </c>
      <c r="C93" s="12" t="n">
        <v>40</v>
      </c>
      <c r="D93" s="5">
        <f>(C93-AVERAGE($C$2:INDEX($C:$C,LOOKUP(2,1/(ISNUMBER($A$2:$A$1048576)),ROW($A$2:$A$1048576)))))/_xlfn.STDEV.P($C$2:INDEX($C:$C,LOOKUP(2,1/(ISNUMBER($A$2:$A$1048576)),ROW($A$2:$A$1048576))))</f>
        <v/>
      </c>
      <c r="E93" s="12" t="n">
        <v>11</v>
      </c>
      <c r="F93" s="6">
        <f>-E93</f>
        <v/>
      </c>
      <c r="G93" s="7">
        <f>(F93-AVERAGE($F$2:INDEX($F:$F,LOOKUP(2,1/(ISNUMBER($A$2:$A$1048576)),ROW($A$2:$A$1048576)))))/_xlfn.STDEV.P($F$2:INDEX($F:$F,LOOKUP(2,1/(ISNUMBER($A$2:$A$1048576)),ROW($A$2:$A$1048576))))</f>
        <v/>
      </c>
      <c r="H93" s="32">
        <f>sum(0.5*D93)+(0.5*G93)</f>
        <v/>
      </c>
      <c r="I93" s="12" t="inlineStr">
        <is>
          <t>West</t>
        </is>
      </c>
      <c r="J93" s="10">
        <f>sum(L93*L$105)+(N93*N$105)+(P93*P$105)+(T93*R$105)</f>
        <v/>
      </c>
      <c r="K93" s="33">
        <f>PERCENTRANK(J$2:INDEX($J:$J,LOOKUP(2,1/(ISNUMBER($A$2:$A$1048576)),ROW($A$2:$A$1048576))),J93)</f>
        <v/>
      </c>
      <c r="L93" s="10">
        <f>sum(AA93*0.66)+(AD93*0.55)+(AG93*0.59)+(CG93*0.51)+(CL93*0.6)+(EY93*0.31)</f>
        <v/>
      </c>
      <c r="M93" s="33">
        <f>PERCENTRANK(L$2:INDEX($L:$L,LOOKUP(2,1/(ISNUMBER($A$2:$A$1048576)),ROW($A$2:$A$1048576))),L93)</f>
        <v/>
      </c>
      <c r="N93" s="10">
        <f>sum(CT93*0.57)+(CW93*0.71)+(DJ93*0.08)+(FC93*0.33)+(FG93*0.69)+(FM93*0.26)+(IU93*0.54)+(AU93*0.4)</f>
        <v/>
      </c>
      <c r="O93" s="33">
        <f>PERCENTRANK(N$2:INDEX($N:$N,LOOKUP(2,1/(ISNUMBER($A$2:$A$1048576)),ROW($A$2:$A$1048576))),N93)</f>
        <v/>
      </c>
      <c r="P93" s="10">
        <f>sum(BG93*0.51)+(CD93*0.51)+(DR93*0.11)+(EF93*0.42)+(EK93*0.44)+(W93*0.6)</f>
        <v/>
      </c>
      <c r="Q93" s="33">
        <f>PERCENTRANK(P$2:INDEX($P:$P,LOOKUP(2,1/(ISNUMBER($A$2:$A$1048576)),ROW($A$2:$A$1048576))),P93)</f>
        <v/>
      </c>
      <c r="R93" s="10">
        <f>sum(Y93-FE93)</f>
        <v/>
      </c>
      <c r="S93" s="33">
        <f>PERCENTRANK(R$2:INDEX($R:$R,LOOKUP(2,1/(ISNUMBER($A$2:$A$1048576)),ROW($A$2:$A$1048576))),R93)</f>
        <v/>
      </c>
      <c r="T93" s="34">
        <f>sum(R93-R$106)/R$107</f>
        <v/>
      </c>
      <c r="U93" s="35">
        <f>sum(Y93/AI93)*100</f>
        <v/>
      </c>
      <c r="V93" s="33">
        <f>PERCENTRANK(U$2:INDEX($U:$U,LOOKUP(2,1/(ISNUMBER($A$2:$A$1048576)),ROW($A$2:$A$1048576))),U93)</f>
        <v/>
      </c>
      <c r="W93" s="36">
        <f>sum(U93-U$106)/U$107</f>
        <v/>
      </c>
      <c r="X93" s="9" t="n">
        <v>1.56</v>
      </c>
      <c r="Y93" s="9" t="n">
        <v>1.59</v>
      </c>
      <c r="Z93" s="33">
        <f>PERCENTRANK(Y$2:INDEX($Y:$Y,LOOKUP(2,1/(ISNUMBER($A$2:$A$1048576)),ROW($A$2:$A$1048576))),Y93)</f>
        <v/>
      </c>
      <c r="AA93" s="37">
        <f>sum(Y93-Y$106)/Y$107</f>
        <v/>
      </c>
      <c r="AB93" s="9" t="n">
        <v>11.59</v>
      </c>
      <c r="AC93" s="33">
        <f>PERCENTRANK(AB$2:INDEX($AB:$AB,LOOKUP(2,1/(ISNUMBER($A$2:$A$1048576)),ROW($A$2:$A$1048576))),AB93)</f>
        <v/>
      </c>
      <c r="AD93" s="38">
        <f>sum(AB93-AB$106)/AB$107</f>
        <v/>
      </c>
      <c r="AE93" s="9" t="n">
        <v>4.44</v>
      </c>
      <c r="AF93" s="33">
        <f>PERCENTRANK(AE$2:INDEX($AE:$AE,LOOKUP(2,1/(ISNUMBER($A$2:$A$1048576)),ROW($A$2:$A$1048576))),AE93)</f>
        <v/>
      </c>
      <c r="AG93" s="38">
        <f>sum(AE93-AE$106)/AE$107</f>
        <v/>
      </c>
      <c r="AH93" s="9" t="n">
        <v>38.32</v>
      </c>
      <c r="AI93" s="9" t="n">
        <v>445.38</v>
      </c>
      <c r="AJ93" s="9" t="n">
        <v>379.65</v>
      </c>
      <c r="AK93" s="9" t="n">
        <v>85.23999999999999</v>
      </c>
      <c r="AL93" s="9" t="n">
        <v>52.24</v>
      </c>
      <c r="AM93" s="9" t="n">
        <v>91.38</v>
      </c>
      <c r="AN93" s="9" t="n">
        <v>20.35</v>
      </c>
      <c r="AO93" s="9" t="n">
        <v>35.32</v>
      </c>
      <c r="AP93" s="9" t="n">
        <v>35.71</v>
      </c>
      <c r="AQ93" s="9" t="n">
        <v>69.97</v>
      </c>
      <c r="AR93" s="9" t="n">
        <v>35.32</v>
      </c>
      <c r="AS93" s="9" t="n">
        <v>25.82</v>
      </c>
      <c r="AT93" s="33">
        <f>PERCENTRANK(AS$2:INDEX($AS:$AS,LOOKUP(2,1/(ISNUMBER($A$2:$A$1048576)),ROW($A$2:$A$1048576))),AS93)</f>
        <v/>
      </c>
      <c r="AU93" s="39">
        <f>SUM(AS93-AS$106)/AS$107</f>
        <v/>
      </c>
      <c r="AV93" s="9" t="n">
        <v>8.82</v>
      </c>
      <c r="AW93" s="33">
        <f>PERCENTRANK(AV$2:INDEX($AV:$AV,LOOKUP(2,1/(ISNUMBER($A$2:$A$1048576)),ROW($A$2:$A$1048576))),AV93)</f>
        <v/>
      </c>
      <c r="AX93" s="9" t="n">
        <v>177.71</v>
      </c>
      <c r="AY93" s="9" t="n">
        <v>87.06</v>
      </c>
      <c r="AZ93" s="9" t="n">
        <v>48.99</v>
      </c>
      <c r="BA93" s="9" t="n">
        <v>4.29</v>
      </c>
      <c r="BB93" s="9" t="n">
        <v>1.21</v>
      </c>
      <c r="BC93" s="9" t="n">
        <v>28.08</v>
      </c>
      <c r="BD93" s="9" t="n">
        <v>22.74</v>
      </c>
      <c r="BE93" s="9" t="n">
        <v>6.26</v>
      </c>
      <c r="BF93" s="33">
        <f>PERCENTRANK(BE$2:INDEX($BE:$BE,LOOKUP(2,1/(ISNUMBER($A$2:$A$1048576)),ROW($A$2:$A$1048576))),BE93)</f>
        <v/>
      </c>
      <c r="BG93" s="40">
        <f>sum(BE93-BE$106)/BE$107</f>
        <v/>
      </c>
      <c r="BH93" s="9" t="n">
        <v>27.55</v>
      </c>
      <c r="BI93" s="9" t="n">
        <v>2.41</v>
      </c>
      <c r="BJ93" s="9" t="n">
        <v>1.12</v>
      </c>
      <c r="BK93" s="9" t="n">
        <v>46.34</v>
      </c>
      <c r="BL93" s="9" t="n">
        <v>27.68</v>
      </c>
      <c r="BM93" s="9" t="n">
        <v>3.38</v>
      </c>
      <c r="BN93" s="9" t="n">
        <v>12.22</v>
      </c>
      <c r="BO93" s="9" t="n">
        <v>4.35</v>
      </c>
      <c r="BP93" s="9" t="n">
        <v>1.21</v>
      </c>
      <c r="BQ93" s="9" t="n">
        <v>27.7</v>
      </c>
      <c r="BR93" s="9" t="n">
        <v>1.76</v>
      </c>
      <c r="BS93" s="9" t="n">
        <v>0.24</v>
      </c>
      <c r="BT93" s="9" t="n">
        <v>13.33</v>
      </c>
      <c r="BU93" s="9" t="n">
        <v>0.18</v>
      </c>
      <c r="BV93" s="9" t="n">
        <v>0.15</v>
      </c>
      <c r="BW93" s="9" t="n">
        <v>83.33</v>
      </c>
      <c r="BX93" s="9" t="n">
        <v>12.21</v>
      </c>
      <c r="BY93" s="9" t="n">
        <v>3.79</v>
      </c>
      <c r="BZ93" s="9" t="n">
        <v>31.08</v>
      </c>
      <c r="CA93" s="9" t="n">
        <v>3.82</v>
      </c>
      <c r="CB93" s="9" t="n">
        <v>6.71</v>
      </c>
      <c r="CC93" s="33">
        <f>PERCENTRANK(CD$2:INDEX($CD:$CD,LOOKUP(2,1/(ISNUMBER($A$2:$A$1048576)),ROW($A$2:$A$1048576))),CD93)</f>
        <v/>
      </c>
      <c r="CD93" s="40">
        <f>sum(CB93-CB$106)/CB$107</f>
        <v/>
      </c>
      <c r="CE93" s="9" t="n">
        <v>21.26</v>
      </c>
      <c r="CF93" s="33">
        <f>PERCENTRANK(CE$2:INDEX($CE:$CE,LOOKUP(2,1/(ISNUMBER($A$2:$A$1048576)),ROW($A$2:$A$1048576))),CE93)</f>
        <v/>
      </c>
      <c r="CG93" s="38">
        <f>sum(CE93-CE$106)/CE$107</f>
        <v/>
      </c>
      <c r="CH93" s="9" t="n">
        <v>4</v>
      </c>
      <c r="CI93" s="9" t="n">
        <v>7.29</v>
      </c>
      <c r="CJ93" s="9" t="n">
        <v>15.88</v>
      </c>
      <c r="CK93" s="33">
        <f>PERCENTRANK(CJ$2:INDEX($CJ:$CJ,LOOKUP(2,1/(ISNUMBER($A$2:$A$1048576)),ROW($A$2:$A$1048576))),CJ93)</f>
        <v/>
      </c>
      <c r="CL93" s="38">
        <f>sum(CJ93-CJ$106)/CJ$107</f>
        <v/>
      </c>
      <c r="CM93" s="9" t="n">
        <v>61.12</v>
      </c>
      <c r="CN93" s="9" t="n">
        <v>27.56</v>
      </c>
      <c r="CO93" s="9" t="n">
        <v>45.09</v>
      </c>
      <c r="CP93" s="9" t="n">
        <v>1.62</v>
      </c>
      <c r="CQ93" s="9" t="n">
        <v>1.85</v>
      </c>
      <c r="CR93" s="9" t="n">
        <v>13.53</v>
      </c>
      <c r="CS93" s="33">
        <f>PERCENTRANK(CR$2:INDEX($CR:$CR,LOOKUP(2,1/(ISNUMBER($A$2:$A$1048576)),ROW($A$2:$A$1048576))),CR93)</f>
        <v/>
      </c>
      <c r="CT93" s="39">
        <f>1-(CR93-CR$106)/CR$107</f>
        <v/>
      </c>
      <c r="CU93" s="9" t="n">
        <v>5.44</v>
      </c>
      <c r="CV93" s="33">
        <f>PERCENTRANK(CU$2:INDEX($CU:$CU,LOOKUP(2,1/(ISNUMBER($A$2:$A$1048576)),ROW($A$2:$A$1048576))),CU93)</f>
        <v/>
      </c>
      <c r="CW93" s="39">
        <f>1-(CU93-CU$106)/CU$107</f>
        <v/>
      </c>
      <c r="CX93" s="9" t="n">
        <v>40.22</v>
      </c>
      <c r="CY93" s="9" t="n">
        <v>66.12</v>
      </c>
      <c r="CZ93" s="9" t="n">
        <v>37.12</v>
      </c>
      <c r="DA93" s="9" t="n">
        <v>56.14</v>
      </c>
      <c r="DB93" s="9" t="n">
        <v>22.29</v>
      </c>
      <c r="DC93" s="9" t="n">
        <v>10.44</v>
      </c>
      <c r="DD93" s="9" t="n">
        <v>46.83</v>
      </c>
      <c r="DE93" s="9" t="n">
        <v>2.74</v>
      </c>
      <c r="DF93" s="9" t="n">
        <v>0.9399999999999999</v>
      </c>
      <c r="DG93" s="9" t="n">
        <v>34.41</v>
      </c>
      <c r="DH93" s="9" t="n">
        <v>39.5</v>
      </c>
      <c r="DI93" s="33">
        <f>PERCENTRANK(DH$2:INDEX($DH:$DH,LOOKUP(2,1/(ISNUMBER($A$2:$A$1048576)),ROW($A$2:$A$1048576))),DH93)</f>
        <v/>
      </c>
      <c r="DJ93" s="39">
        <f>SUM(DH93-DH$106)/DH$107</f>
        <v/>
      </c>
      <c r="DK93" s="9" t="n">
        <v>16.97</v>
      </c>
      <c r="DL93" s="9" t="n">
        <v>12.59</v>
      </c>
      <c r="DM93" s="9" t="n">
        <v>2.85</v>
      </c>
      <c r="DN93" s="9" t="n">
        <v>0.24</v>
      </c>
      <c r="DO93" s="9" t="n">
        <v>139.79</v>
      </c>
      <c r="DP93" s="9" t="n">
        <v>102.47</v>
      </c>
      <c r="DQ93" s="33">
        <f>PERCENTRANK(DP$2:INDEX($DP:$DP,LOOKUP(2,1/(ISNUMBER($A$2:$A$1048576)),ROW($A$2:$A$1048576))),DP93)</f>
        <v/>
      </c>
      <c r="DR93" s="40">
        <f>sum(DP93-DP$106)/DP$107</f>
        <v/>
      </c>
      <c r="DS93" s="9" t="n">
        <v>73.3</v>
      </c>
      <c r="DT93" s="9" t="n">
        <v>65.97</v>
      </c>
      <c r="DU93" s="9" t="n">
        <v>62</v>
      </c>
      <c r="DV93" s="9" t="n">
        <v>93.98</v>
      </c>
      <c r="DW93" s="9" t="n">
        <v>184</v>
      </c>
      <c r="DX93" s="9" t="n">
        <v>168.41</v>
      </c>
      <c r="DY93" s="9" t="n">
        <v>91.53</v>
      </c>
      <c r="DZ93" s="9" t="n">
        <v>40.38</v>
      </c>
      <c r="EA93" s="9" t="n">
        <v>21.18</v>
      </c>
      <c r="EB93" s="9" t="n">
        <v>52.44</v>
      </c>
      <c r="EC93" s="9" t="n">
        <v>45.91</v>
      </c>
      <c r="ED93" s="9" t="n">
        <v>31.12</v>
      </c>
      <c r="EE93" s="33">
        <f>PERCENTRANK(ED$2:INDEX($ED:$ED,LOOKUP(2,1/(ISNUMBER($A$2:$A$1048576)),ROW($A$2:$A$1048576))),ED93)</f>
        <v/>
      </c>
      <c r="EF93" s="40">
        <f>sum(ED93-ED$106)/ED$107</f>
        <v/>
      </c>
      <c r="EG93" s="9" t="n">
        <v>67.78</v>
      </c>
      <c r="EH93" s="9" t="n">
        <v>69.91</v>
      </c>
      <c r="EI93" s="9" t="n">
        <v>48.5</v>
      </c>
      <c r="EJ93" s="33">
        <f>PERCENTRANK(EI$2:INDEX($EI:$EI,LOOKUP(2,1/(ISNUMBER($A$2:$A$1048576)),ROW($A$2:$A$1048576))),EI93)</f>
        <v/>
      </c>
      <c r="EK93" s="40">
        <f>sum(EI93-EI$106)/EI$107</f>
        <v/>
      </c>
      <c r="EL93" s="9" t="n">
        <v>69.37</v>
      </c>
      <c r="EM93" s="9" t="n">
        <v>4.09</v>
      </c>
      <c r="EN93" s="9" t="n">
        <v>1.82</v>
      </c>
      <c r="EO93" s="9" t="n">
        <v>44.6</v>
      </c>
      <c r="EP93" s="9" t="n">
        <v>18.32</v>
      </c>
      <c r="EQ93" s="9" t="n">
        <v>16.71</v>
      </c>
      <c r="ER93" s="9" t="n">
        <v>91.17</v>
      </c>
      <c r="ES93" s="9" t="n">
        <v>8.65</v>
      </c>
      <c r="ET93" s="9" t="n">
        <v>16.5</v>
      </c>
      <c r="EU93" s="9" t="n">
        <v>4.44</v>
      </c>
      <c r="EV93" s="9" t="n">
        <v>9.460000000000001</v>
      </c>
      <c r="EW93" s="9" t="n">
        <v>17.79</v>
      </c>
      <c r="EX93" s="33">
        <f>PERCENTRANK(EW$2:INDEX($EW:$EW,LOOKUP(2,1/(ISNUMBER($A$2:$A$1048576)),ROW($A$2:$A$1048576))),EW93)</f>
        <v/>
      </c>
      <c r="EY93" s="38">
        <f>1-(EW93-EW$106)/EW$107</f>
        <v/>
      </c>
      <c r="EZ93" s="9" t="n">
        <v>20.13</v>
      </c>
      <c r="FA93" s="9" t="n">
        <v>12.73</v>
      </c>
      <c r="FB93" s="33">
        <f>PERCENTRANK(FA$2:INDEX($FA:$FA,LOOKUP(2,1/(ISNUMBER($A$2:$A$1048576)),ROW($A$2:$A$1048576))),FA93)</f>
        <v/>
      </c>
      <c r="FC93" s="39">
        <f>1-(FA93-FA$106)/FA$107</f>
        <v/>
      </c>
      <c r="FD93" s="9" t="n">
        <v>1.85</v>
      </c>
      <c r="FE93" s="9" t="n">
        <v>1.7</v>
      </c>
      <c r="FF93" s="33">
        <f>PERCENTRANK(FE$2:INDEX($FE:$FE,LOOKUP(2,1/(ISNUMBER($A$2:$A$1048576)),ROW($A$2:$A$1048576))),FE93)</f>
        <v/>
      </c>
      <c r="FG93" s="39">
        <f>1-(FE93-FE$106)/FE$107</f>
        <v/>
      </c>
      <c r="FH93" s="9" t="n">
        <v>13.53</v>
      </c>
      <c r="FI93" s="9" t="n">
        <v>5.12</v>
      </c>
      <c r="FJ93" s="9" t="n">
        <v>37.83</v>
      </c>
      <c r="FK93" s="9" t="n">
        <v>405.18</v>
      </c>
      <c r="FL93" s="33">
        <f>PERCENTRANK(FK$2:INDEX($FK:$FK,LOOKUP(2,1/(ISNUMBER($A$2:$A$1048576)),ROW($A$2:$A$1048576))),FK93)</f>
        <v/>
      </c>
      <c r="FM93" s="39">
        <f>SWA92-(FK93-FK$106)/FK$107</f>
        <v/>
      </c>
      <c r="FN93" s="9" t="n">
        <v>340.47</v>
      </c>
      <c r="FO93" s="9" t="n">
        <v>84.03</v>
      </c>
      <c r="FP93" s="9" t="n">
        <v>47.76</v>
      </c>
      <c r="FQ93" s="9" t="n">
        <v>90.12</v>
      </c>
      <c r="FR93" s="9" t="n">
        <v>14.12</v>
      </c>
      <c r="FS93" s="9" t="n">
        <v>30.12</v>
      </c>
      <c r="FT93" s="9" t="n">
        <v>45.88</v>
      </c>
      <c r="FU93" s="9" t="n">
        <v>71.06</v>
      </c>
      <c r="FV93" s="9" t="n">
        <v>28.82</v>
      </c>
      <c r="FW93" s="9" t="n">
        <v>28.94</v>
      </c>
      <c r="FX93" s="9" t="n">
        <v>13.29</v>
      </c>
      <c r="FY93" s="9" t="n">
        <v>177.71</v>
      </c>
      <c r="FZ93" s="9" t="n">
        <v>84.31999999999999</v>
      </c>
      <c r="GA93" s="9" t="n">
        <v>47.45</v>
      </c>
      <c r="GB93" s="9" t="n">
        <v>5.15</v>
      </c>
      <c r="GC93" s="9" t="n">
        <v>1.65</v>
      </c>
      <c r="GD93" s="9" t="n">
        <v>32</v>
      </c>
      <c r="GE93" s="9" t="n">
        <v>30.65</v>
      </c>
      <c r="GF93" s="9" t="n">
        <v>8.15</v>
      </c>
      <c r="GG93" s="9" t="n">
        <v>26.58</v>
      </c>
      <c r="GH93" s="9" t="n">
        <v>1.29</v>
      </c>
      <c r="GI93" s="9" t="n">
        <v>0.68</v>
      </c>
      <c r="GJ93" s="9" t="n">
        <v>52.27</v>
      </c>
      <c r="GK93" s="9" t="n">
        <v>25.94</v>
      </c>
      <c r="GL93" s="9" t="n">
        <v>4.09</v>
      </c>
      <c r="GM93" s="9" t="n">
        <v>15.76</v>
      </c>
      <c r="GN93" s="9" t="n">
        <v>5.74</v>
      </c>
      <c r="GO93" s="9" t="n">
        <v>1.94</v>
      </c>
      <c r="GP93" s="9" t="n">
        <v>33.85</v>
      </c>
      <c r="GQ93" s="9" t="n">
        <v>2.53</v>
      </c>
      <c r="GR93" s="9" t="n">
        <v>0.5</v>
      </c>
      <c r="GS93" s="9" t="n">
        <v>19.77</v>
      </c>
      <c r="GT93" s="9" t="n">
        <v>0.18</v>
      </c>
      <c r="GU93" s="9" t="n">
        <v>0.12</v>
      </c>
      <c r="GV93" s="9" t="n">
        <v>66.67</v>
      </c>
      <c r="GW93" s="9" t="n">
        <v>15.82</v>
      </c>
      <c r="GX93" s="9" t="n">
        <v>5.56</v>
      </c>
      <c r="GY93" s="9" t="n">
        <v>35.13</v>
      </c>
      <c r="GZ93" s="9" t="n">
        <v>5.38</v>
      </c>
      <c r="HA93" s="9" t="n">
        <v>7.18</v>
      </c>
      <c r="HB93" s="9" t="n">
        <v>24.44</v>
      </c>
      <c r="HC93" s="9" t="n">
        <v>4.18</v>
      </c>
      <c r="HD93" s="9" t="n">
        <v>9.91</v>
      </c>
      <c r="HE93" s="9" t="n">
        <v>20.15</v>
      </c>
      <c r="HF93" s="9" t="n">
        <v>66.12</v>
      </c>
      <c r="HG93" s="9" t="n">
        <v>29</v>
      </c>
      <c r="HH93" s="9" t="n">
        <v>43.86</v>
      </c>
      <c r="HI93" s="9" t="n">
        <v>2.38</v>
      </c>
      <c r="HJ93" s="9" t="n">
        <v>1.56</v>
      </c>
      <c r="HK93" s="9" t="n">
        <v>11.59</v>
      </c>
      <c r="HL93" s="9" t="n">
        <v>4.65</v>
      </c>
      <c r="HM93" s="9" t="n">
        <v>40.1</v>
      </c>
      <c r="HN93" s="9" t="n">
        <v>61.12</v>
      </c>
      <c r="HO93" s="9" t="n">
        <v>33.56</v>
      </c>
      <c r="HP93" s="9" t="n">
        <v>54.91</v>
      </c>
      <c r="HQ93" s="9" t="n">
        <v>22.29</v>
      </c>
      <c r="HR93" s="9" t="n">
        <v>10</v>
      </c>
      <c r="HS93" s="9" t="n">
        <v>44.85</v>
      </c>
      <c r="HT93" s="9" t="n">
        <v>4.18</v>
      </c>
      <c r="HU93" s="9" t="n">
        <v>1.41</v>
      </c>
      <c r="HV93" s="9" t="n">
        <v>33.8</v>
      </c>
      <c r="HW93" s="9" t="n">
        <v>35.32</v>
      </c>
      <c r="HX93" s="9" t="n">
        <v>12.65</v>
      </c>
      <c r="HY93" s="9" t="n">
        <v>13.24</v>
      </c>
      <c r="HZ93" s="9" t="n">
        <v>2.68</v>
      </c>
      <c r="IA93" s="9" t="n">
        <v>0.24</v>
      </c>
      <c r="IB93" s="9" t="n">
        <v>132.29</v>
      </c>
      <c r="IC93" s="9" t="n">
        <v>98.81999999999999</v>
      </c>
      <c r="ID93" s="9" t="n">
        <v>74.7</v>
      </c>
      <c r="IE93" s="9" t="n">
        <v>61.35</v>
      </c>
      <c r="IF93" s="9" t="n">
        <v>57.62</v>
      </c>
      <c r="IG93" s="9" t="n">
        <v>93.91</v>
      </c>
      <c r="IH93" s="9" t="n">
        <v>155.24</v>
      </c>
      <c r="II93" s="9" t="n">
        <v>137.53</v>
      </c>
      <c r="IJ93" s="9" t="n">
        <v>88.59</v>
      </c>
      <c r="IK93" s="9" t="n">
        <v>40.79</v>
      </c>
      <c r="IL93" s="9" t="n">
        <v>22.53</v>
      </c>
      <c r="IM93" s="9" t="n">
        <v>55.23</v>
      </c>
      <c r="IN93" s="9" t="n">
        <v>52.68</v>
      </c>
      <c r="IO93" s="9" t="n">
        <v>36.29</v>
      </c>
      <c r="IP93" s="9" t="n">
        <v>68.90000000000001</v>
      </c>
      <c r="IQ93" s="9" t="n">
        <v>66.76000000000001</v>
      </c>
      <c r="IR93" s="9" t="n">
        <v>50.88</v>
      </c>
      <c r="IS93" s="9" t="n">
        <v>76.20999999999999</v>
      </c>
      <c r="IT93" s="33">
        <f>PERCENTRANK(IS$2:INDEX($IS:$IS,LOOKUP(2,1/(ISNUMBER($A$2:$A$1048576)),ROW($A$2:$A$1048576))),IS93)</f>
        <v/>
      </c>
      <c r="IU93" s="39">
        <f>1-(IS93-IS$106)/IS$107</f>
        <v/>
      </c>
      <c r="IV93" s="9" t="n">
        <v>4.18</v>
      </c>
      <c r="IW93" s="9" t="n">
        <v>1.59</v>
      </c>
      <c r="IX93" s="9" t="n">
        <v>38.03</v>
      </c>
      <c r="IY93" s="9" t="n">
        <v>21.71</v>
      </c>
      <c r="IZ93" s="9" t="n">
        <v>19.91</v>
      </c>
      <c r="JA93" s="9" t="n">
        <v>91.73</v>
      </c>
      <c r="JB93" s="9" t="n">
        <v>7.97</v>
      </c>
      <c r="JC93" s="9" t="n">
        <v>16.57</v>
      </c>
      <c r="JD93" s="9" t="n">
        <v>4</v>
      </c>
      <c r="JE93" s="9" t="n">
        <v>10.27</v>
      </c>
      <c r="JF93" s="9" t="n">
        <v>17.46</v>
      </c>
      <c r="JG93" s="9" t="n">
        <v>19.96</v>
      </c>
      <c r="JH93" s="9" t="n">
        <v>12.41</v>
      </c>
    </row>
    <row r="94">
      <c r="A94" s="12" t="n">
        <v>2024</v>
      </c>
      <c r="B94" s="31" t="inlineStr">
        <is>
          <t>El Paso Locomotive</t>
        </is>
      </c>
      <c r="C94" s="12" t="n">
        <v>32</v>
      </c>
      <c r="D94" s="5">
        <f>(C94-AVERAGE($C$2:INDEX($C:$C,LOOKUP(2,1/(ISNUMBER($A$2:$A$1048576)),ROW($A$2:$A$1048576)))))/_xlfn.STDEV.P($C$2:INDEX($C:$C,LOOKUP(2,1/(ISNUMBER($A$2:$A$1048576)),ROW($A$2:$A$1048576))))</f>
        <v/>
      </c>
      <c r="E94" s="12" t="n">
        <v>12</v>
      </c>
      <c r="F94" s="6">
        <f>-E94</f>
        <v/>
      </c>
      <c r="G94" s="7">
        <f>(F94-AVERAGE($F$2:INDEX($F:$F,LOOKUP(2,1/(ISNUMBER($A$2:$A$1048576)),ROW($A$2:$A$1048576)))))/_xlfn.STDEV.P($F$2:INDEX($F:$F,LOOKUP(2,1/(ISNUMBER($A$2:$A$1048576)),ROW($A$2:$A$1048576))))</f>
        <v/>
      </c>
      <c r="H94" s="32">
        <f>sum(0.5*D94)+(0.5*G94)</f>
        <v/>
      </c>
      <c r="I94" s="12" t="inlineStr">
        <is>
          <t>West</t>
        </is>
      </c>
      <c r="J94" s="10">
        <f>sum(L94*L$105)+(N94*N$105)+(P94*P$105)+(T94*R$105)</f>
        <v/>
      </c>
      <c r="K94" s="33">
        <f>PERCENTRANK(J$2:INDEX($J:$J,LOOKUP(2,1/(ISNUMBER($A$2:$A$1048576)),ROW($A$2:$A$1048576))),J94)</f>
        <v/>
      </c>
      <c r="L94" s="10">
        <f>sum(AA94*0.66)+(AD94*0.55)+(AG94*0.59)+(CG94*0.51)+(CL94*0.6)+(EY94*0.31)</f>
        <v/>
      </c>
      <c r="M94" s="33">
        <f>PERCENTRANK(L$2:INDEX($L:$L,LOOKUP(2,1/(ISNUMBER($A$2:$A$1048576)),ROW($A$2:$A$1048576))),L94)</f>
        <v/>
      </c>
      <c r="N94" s="10">
        <f>sum(CT94*0.57)+(CW94*0.71)+(DJ94*0.08)+(FC94*0.33)+(FG94*0.69)+(FM94*0.26)+(IU94*0.54)+(AU94*0.4)</f>
        <v/>
      </c>
      <c r="O94" s="33">
        <f>PERCENTRANK(N$2:INDEX($N:$N,LOOKUP(2,1/(ISNUMBER($A$2:$A$1048576)),ROW($A$2:$A$1048576))),N94)</f>
        <v/>
      </c>
      <c r="P94" s="10">
        <f>sum(BG94*0.51)+(CD94*0.51)+(DR94*0.11)+(EF94*0.42)+(EK94*0.44)+(W94*0.6)</f>
        <v/>
      </c>
      <c r="Q94" s="33">
        <f>PERCENTRANK(P$2:INDEX($P:$P,LOOKUP(2,1/(ISNUMBER($A$2:$A$1048576)),ROW($A$2:$A$1048576))),P94)</f>
        <v/>
      </c>
      <c r="R94" s="10">
        <f>sum(Y94-FE94)</f>
        <v/>
      </c>
      <c r="S94" s="33">
        <f>PERCENTRANK(R$2:INDEX($R:$R,LOOKUP(2,1/(ISNUMBER($A$2:$A$1048576)),ROW($A$2:$A$1048576))),R94)</f>
        <v/>
      </c>
      <c r="T94" s="34">
        <f>sum(R94-R$106)/R$107</f>
        <v/>
      </c>
      <c r="U94" s="35">
        <f>sum(Y94/AI94)*100</f>
        <v/>
      </c>
      <c r="V94" s="33">
        <f>PERCENTRANK(U$2:INDEX($U:$U,LOOKUP(2,1/(ISNUMBER($A$2:$A$1048576)),ROW($A$2:$A$1048576))),U94)</f>
        <v/>
      </c>
      <c r="W94" s="36">
        <f>sum(U94-U$106)/U$107</f>
        <v/>
      </c>
      <c r="X94" s="9" t="n">
        <v>0.79</v>
      </c>
      <c r="Y94" s="9" t="n">
        <v>1.23</v>
      </c>
      <c r="Z94" s="33">
        <f>PERCENTRANK(Y$2:INDEX($Y:$Y,LOOKUP(2,1/(ISNUMBER($A$2:$A$1048576)),ROW($A$2:$A$1048576))),Y94)</f>
        <v/>
      </c>
      <c r="AA94" s="37">
        <f>sum(Y94-Y$106)/Y$107</f>
        <v/>
      </c>
      <c r="AB94" s="9" t="n">
        <v>10.82</v>
      </c>
      <c r="AC94" s="33">
        <f>PERCENTRANK(AB$2:INDEX($AB:$AB,LOOKUP(2,1/(ISNUMBER($A$2:$A$1048576)),ROW($A$2:$A$1048576))),AB94)</f>
        <v/>
      </c>
      <c r="AD94" s="38">
        <f>sum(AB94-AB$106)/AB$107</f>
        <v/>
      </c>
      <c r="AE94" s="9" t="n">
        <v>4.29</v>
      </c>
      <c r="AF94" s="33">
        <f>PERCENTRANK(AE$2:INDEX($AE:$AE,LOOKUP(2,1/(ISNUMBER($A$2:$A$1048576)),ROW($A$2:$A$1048576))),AE94)</f>
        <v/>
      </c>
      <c r="AG94" s="38">
        <f>sum(AE94-AE$106)/AE$107</f>
        <v/>
      </c>
      <c r="AH94" s="9" t="n">
        <v>39.67</v>
      </c>
      <c r="AI94" s="9" t="n">
        <v>423.71</v>
      </c>
      <c r="AJ94" s="9" t="n">
        <v>355.88</v>
      </c>
      <c r="AK94" s="9" t="n">
        <v>83.98999999999999</v>
      </c>
      <c r="AL94" s="9" t="n">
        <v>52.22</v>
      </c>
      <c r="AM94" s="9" t="n">
        <v>100.56</v>
      </c>
      <c r="AN94" s="9" t="n">
        <v>20.59</v>
      </c>
      <c r="AO94" s="9" t="n">
        <v>39</v>
      </c>
      <c r="AP94" s="9" t="n">
        <v>40.97</v>
      </c>
      <c r="AQ94" s="9" t="n">
        <v>72.65000000000001</v>
      </c>
      <c r="AR94" s="9" t="n">
        <v>37.29</v>
      </c>
      <c r="AS94" s="9" t="n">
        <v>26.56</v>
      </c>
      <c r="AT94" s="33">
        <f>PERCENTRANK(AS$2:INDEX($AS:$AS,LOOKUP(2,1/(ISNUMBER($A$2:$A$1048576)),ROW($A$2:$A$1048576))),AS94)</f>
        <v/>
      </c>
      <c r="AU94" s="39">
        <f>SUM(AS94-AS$106)/AS$107</f>
        <v/>
      </c>
      <c r="AV94" s="9" t="n">
        <v>8.789999999999999</v>
      </c>
      <c r="AW94" s="33">
        <f>PERCENTRANK(AV$2:INDEX($AV:$AV,LOOKUP(2,1/(ISNUMBER($A$2:$A$1048576)),ROW($A$2:$A$1048576))),AV94)</f>
        <v/>
      </c>
      <c r="AX94" s="9" t="n">
        <v>186.44</v>
      </c>
      <c r="AY94" s="9" t="n">
        <v>88.47</v>
      </c>
      <c r="AZ94" s="9" t="n">
        <v>47.45</v>
      </c>
      <c r="BA94" s="9" t="n">
        <v>5.24</v>
      </c>
      <c r="BB94" s="9" t="n">
        <v>1.47</v>
      </c>
      <c r="BC94" s="9" t="n">
        <v>28.09</v>
      </c>
      <c r="BD94" s="9" t="n">
        <v>24.15</v>
      </c>
      <c r="BE94" s="9" t="n">
        <v>6.5</v>
      </c>
      <c r="BF94" s="33">
        <f>PERCENTRANK(BE$2:INDEX($BE:$BE,LOOKUP(2,1/(ISNUMBER($A$2:$A$1048576)),ROW($A$2:$A$1048576))),BE94)</f>
        <v/>
      </c>
      <c r="BG94" s="40">
        <f>sum(BE94-BE$106)/BE$107</f>
        <v/>
      </c>
      <c r="BH94" s="9" t="n">
        <v>26.92</v>
      </c>
      <c r="BI94" s="9" t="n">
        <v>0.85</v>
      </c>
      <c r="BJ94" s="9" t="n">
        <v>0.41</v>
      </c>
      <c r="BK94" s="9" t="n">
        <v>48.28</v>
      </c>
      <c r="BL94" s="9" t="n">
        <v>29.24</v>
      </c>
      <c r="BM94" s="9" t="n">
        <v>3.15</v>
      </c>
      <c r="BN94" s="9" t="n">
        <v>10.76</v>
      </c>
      <c r="BO94" s="9" t="n">
        <v>4.5</v>
      </c>
      <c r="BP94" s="9" t="n">
        <v>1.26</v>
      </c>
      <c r="BQ94" s="9" t="n">
        <v>28.1</v>
      </c>
      <c r="BR94" s="9" t="n">
        <v>2.21</v>
      </c>
      <c r="BS94" s="9" t="n">
        <v>0.47</v>
      </c>
      <c r="BT94" s="9" t="n">
        <v>21.33</v>
      </c>
      <c r="BU94" s="9" t="n">
        <v>0.21</v>
      </c>
      <c r="BV94" s="9" t="n">
        <v>0.15</v>
      </c>
      <c r="BW94" s="9" t="n">
        <v>71.43000000000001</v>
      </c>
      <c r="BX94" s="9" t="n">
        <v>10.74</v>
      </c>
      <c r="BY94" s="9" t="n">
        <v>3.03</v>
      </c>
      <c r="BZ94" s="9" t="n">
        <v>28.22</v>
      </c>
      <c r="CA94" s="9" t="n">
        <v>3.06</v>
      </c>
      <c r="CB94" s="9" t="n">
        <v>6.38</v>
      </c>
      <c r="CC94" s="33">
        <f>PERCENTRANK(CD$2:INDEX($CD:$CD,LOOKUP(2,1/(ISNUMBER($A$2:$A$1048576)),ROW($A$2:$A$1048576))),CD94)</f>
        <v/>
      </c>
      <c r="CD94" s="40">
        <f>sum(CB94-CB$106)/CB$107</f>
        <v/>
      </c>
      <c r="CE94" s="9" t="n">
        <v>19.53</v>
      </c>
      <c r="CF94" s="33">
        <f>PERCENTRANK(CE$2:INDEX($CE:$CE,LOOKUP(2,1/(ISNUMBER($A$2:$A$1048576)),ROW($A$2:$A$1048576))),CE94)</f>
        <v/>
      </c>
      <c r="CG94" s="38">
        <f>sum(CE94-CE$106)/CE$107</f>
        <v/>
      </c>
      <c r="CH94" s="9" t="n">
        <v>3.47</v>
      </c>
      <c r="CI94" s="9" t="n">
        <v>5.79</v>
      </c>
      <c r="CJ94" s="9" t="n">
        <v>14.41</v>
      </c>
      <c r="CK94" s="33">
        <f>PERCENTRANK(CJ$2:INDEX($CJ:$CJ,LOOKUP(2,1/(ISNUMBER($A$2:$A$1048576)),ROW($A$2:$A$1048576))),CJ94)</f>
        <v/>
      </c>
      <c r="CL94" s="38">
        <f>sum(CJ94-CJ$106)/CJ$107</f>
        <v/>
      </c>
      <c r="CM94" s="9" t="n">
        <v>67.79000000000001</v>
      </c>
      <c r="CN94" s="9" t="n">
        <v>27.21</v>
      </c>
      <c r="CO94" s="9" t="n">
        <v>40.13</v>
      </c>
      <c r="CP94" s="9" t="n">
        <v>2.03</v>
      </c>
      <c r="CQ94" s="9" t="n">
        <v>1.35</v>
      </c>
      <c r="CR94" s="9" t="n">
        <v>12.65</v>
      </c>
      <c r="CS94" s="33">
        <f>PERCENTRANK(CR$2:INDEX($CR:$CR,LOOKUP(2,1/(ISNUMBER($A$2:$A$1048576)),ROW($A$2:$A$1048576))),CR94)</f>
        <v/>
      </c>
      <c r="CT94" s="39">
        <f>1-(CR94-CR$106)/CR$107</f>
        <v/>
      </c>
      <c r="CU94" s="9" t="n">
        <v>4.59</v>
      </c>
      <c r="CV94" s="33">
        <f>PERCENTRANK(CU$2:INDEX($CU:$CU,LOOKUP(2,1/(ISNUMBER($A$2:$A$1048576)),ROW($A$2:$A$1048576))),CU94)</f>
        <v/>
      </c>
      <c r="CW94" s="39">
        <f>1-(CU94-CU$106)/CU$107</f>
        <v/>
      </c>
      <c r="CX94" s="9" t="n">
        <v>36.28</v>
      </c>
      <c r="CY94" s="9" t="n">
        <v>62.97</v>
      </c>
      <c r="CZ94" s="9" t="n">
        <v>37.68</v>
      </c>
      <c r="DA94" s="9" t="n">
        <v>59.83</v>
      </c>
      <c r="DB94" s="9" t="n">
        <v>28.97</v>
      </c>
      <c r="DC94" s="9" t="n">
        <v>13.03</v>
      </c>
      <c r="DD94" s="9" t="n">
        <v>44.97</v>
      </c>
      <c r="DE94" s="9" t="n">
        <v>3.91</v>
      </c>
      <c r="DF94" s="9" t="n">
        <v>1.65</v>
      </c>
      <c r="DG94" s="9" t="n">
        <v>42.11</v>
      </c>
      <c r="DH94" s="9" t="n">
        <v>40.15</v>
      </c>
      <c r="DI94" s="33">
        <f>PERCENTRANK(DH$2:INDEX($DH:$DH,LOOKUP(2,1/(ISNUMBER($A$2:$A$1048576)),ROW($A$2:$A$1048576))),DH94)</f>
        <v/>
      </c>
      <c r="DJ94" s="39">
        <f>SUM(DH94-DH$106)/DH$107</f>
        <v/>
      </c>
      <c r="DK94" s="9" t="n">
        <v>15</v>
      </c>
      <c r="DL94" s="9" t="n">
        <v>12.18</v>
      </c>
      <c r="DM94" s="9" t="n">
        <v>3.03</v>
      </c>
      <c r="DN94" s="9" t="n">
        <v>0.18</v>
      </c>
      <c r="DO94" s="9" t="n">
        <v>141.38</v>
      </c>
      <c r="DP94" s="9" t="n">
        <v>102.91</v>
      </c>
      <c r="DQ94" s="33">
        <f>PERCENTRANK(DP$2:INDEX($DP:$DP,LOOKUP(2,1/(ISNUMBER($A$2:$A$1048576)),ROW($A$2:$A$1048576))),DP94)</f>
        <v/>
      </c>
      <c r="DR94" s="40">
        <f>sum(DP94-DP$106)/DP$107</f>
        <v/>
      </c>
      <c r="DS94" s="9" t="n">
        <v>72.79000000000001</v>
      </c>
      <c r="DT94" s="9" t="n">
        <v>66.56</v>
      </c>
      <c r="DU94" s="9" t="n">
        <v>62.76</v>
      </c>
      <c r="DV94" s="9" t="n">
        <v>94.3</v>
      </c>
      <c r="DW94" s="9" t="n">
        <v>157.65</v>
      </c>
      <c r="DX94" s="9" t="n">
        <v>142.21</v>
      </c>
      <c r="DY94" s="9" t="n">
        <v>90.20999999999999</v>
      </c>
      <c r="DZ94" s="9" t="n">
        <v>45.85</v>
      </c>
      <c r="EA94" s="9" t="n">
        <v>24.15</v>
      </c>
      <c r="EB94" s="9" t="n">
        <v>52.66</v>
      </c>
      <c r="EC94" s="9" t="n">
        <v>49.12</v>
      </c>
      <c r="ED94" s="9" t="n">
        <v>31.76</v>
      </c>
      <c r="EE94" s="33">
        <f>PERCENTRANK(ED$2:INDEX($ED:$ED,LOOKUP(2,1/(ISNUMBER($A$2:$A$1048576)),ROW($A$2:$A$1048576))),ED94)</f>
        <v/>
      </c>
      <c r="EF94" s="40">
        <f>sum(ED94-ED$106)/ED$107</f>
        <v/>
      </c>
      <c r="EG94" s="9" t="n">
        <v>64.67</v>
      </c>
      <c r="EH94" s="9" t="n">
        <v>69.5</v>
      </c>
      <c r="EI94" s="9" t="n">
        <v>47.65</v>
      </c>
      <c r="EJ94" s="33">
        <f>PERCENTRANK(EI$2:INDEX($EI:$EI,LOOKUP(2,1/(ISNUMBER($A$2:$A$1048576)),ROW($A$2:$A$1048576))),EI94)</f>
        <v/>
      </c>
      <c r="EK94" s="40">
        <f>sum(EI94-EI$106)/EI$107</f>
        <v/>
      </c>
      <c r="EL94" s="9" t="n">
        <v>68.56</v>
      </c>
      <c r="EM94" s="9" t="n">
        <v>1.74</v>
      </c>
      <c r="EN94" s="9" t="n">
        <v>0.68</v>
      </c>
      <c r="EO94" s="9" t="n">
        <v>38.98</v>
      </c>
      <c r="EP94" s="9" t="n">
        <v>21.74</v>
      </c>
      <c r="EQ94" s="9" t="n">
        <v>19.35</v>
      </c>
      <c r="ER94" s="9" t="n">
        <v>89.04000000000001</v>
      </c>
      <c r="ES94" s="9" t="n">
        <v>10.65</v>
      </c>
      <c r="ET94" s="9" t="n">
        <v>16.26</v>
      </c>
      <c r="EU94" s="9" t="n">
        <v>4.04</v>
      </c>
      <c r="EV94" s="9" t="n">
        <v>11.24</v>
      </c>
      <c r="EW94" s="9" t="n">
        <v>20.15</v>
      </c>
      <c r="EX94" s="33">
        <f>PERCENTRANK(EW$2:INDEX($EW:$EW,LOOKUP(2,1/(ISNUMBER($A$2:$A$1048576)),ROW($A$2:$A$1048576))),EW94)</f>
        <v/>
      </c>
      <c r="EY94" s="38">
        <f>1-(EW94-EW$106)/EW$107</f>
        <v/>
      </c>
      <c r="EZ94" s="9" t="n">
        <v>20.21</v>
      </c>
      <c r="FA94" s="9" t="n">
        <v>11.96</v>
      </c>
      <c r="FB94" s="33">
        <f>PERCENTRANK(FA$2:INDEX($FA:$FA,LOOKUP(2,1/(ISNUMBER($A$2:$A$1048576)),ROW($A$2:$A$1048576))),FA94)</f>
        <v/>
      </c>
      <c r="FC94" s="39">
        <f>1-(FA94-FA$106)/FA$107</f>
        <v/>
      </c>
      <c r="FD94" s="9" t="n">
        <v>1.35</v>
      </c>
      <c r="FE94" s="9" t="n">
        <v>1.46</v>
      </c>
      <c r="FF94" s="33">
        <f>PERCENTRANK(FE$2:INDEX($FE:$FE,LOOKUP(2,1/(ISNUMBER($A$2:$A$1048576)),ROW($A$2:$A$1048576))),FE94)</f>
        <v/>
      </c>
      <c r="FG94" s="39">
        <f>1-(FE94-FE$106)/FE$107</f>
        <v/>
      </c>
      <c r="FH94" s="9" t="n">
        <v>12.65</v>
      </c>
      <c r="FI94" s="9" t="n">
        <v>4.38</v>
      </c>
      <c r="FJ94" s="9" t="n">
        <v>34.65</v>
      </c>
      <c r="FK94" s="9" t="n">
        <v>385</v>
      </c>
      <c r="FL94" s="33">
        <f>PERCENTRANK(FK$2:INDEX($FK:$FK,LOOKUP(2,1/(ISNUMBER($A$2:$A$1048576)),ROW($A$2:$A$1048576))),FK94)</f>
        <v/>
      </c>
      <c r="FM94" s="39">
        <f>SWA93-(FK94-FK$106)/FK$107</f>
        <v/>
      </c>
      <c r="FN94" s="9" t="n">
        <v>314.74</v>
      </c>
      <c r="FO94" s="9" t="n">
        <v>81.75</v>
      </c>
      <c r="FP94" s="9" t="n">
        <v>47.78</v>
      </c>
      <c r="FQ94" s="9" t="n">
        <v>96.41</v>
      </c>
      <c r="FR94" s="9" t="n">
        <v>15.15</v>
      </c>
      <c r="FS94" s="9" t="n">
        <v>32.26</v>
      </c>
      <c r="FT94" s="9" t="n">
        <v>49</v>
      </c>
      <c r="FU94" s="9" t="n">
        <v>75.81999999999999</v>
      </c>
      <c r="FV94" s="9" t="n">
        <v>31</v>
      </c>
      <c r="FW94" s="9" t="n">
        <v>32.5</v>
      </c>
      <c r="FX94" s="9" t="n">
        <v>12.32</v>
      </c>
      <c r="FY94" s="9" t="n">
        <v>186.44</v>
      </c>
      <c r="FZ94" s="9" t="n">
        <v>90.62</v>
      </c>
      <c r="GA94" s="9" t="n">
        <v>48.6</v>
      </c>
      <c r="GB94" s="9" t="n">
        <v>4.68</v>
      </c>
      <c r="GC94" s="9" t="n">
        <v>1.26</v>
      </c>
      <c r="GD94" s="9" t="n">
        <v>27.04</v>
      </c>
      <c r="GE94" s="9" t="n">
        <v>31.26</v>
      </c>
      <c r="GF94" s="9" t="n">
        <v>7.94</v>
      </c>
      <c r="GG94" s="9" t="n">
        <v>25.4</v>
      </c>
      <c r="GH94" s="9" t="n">
        <v>0.97</v>
      </c>
      <c r="GI94" s="9" t="n">
        <v>0.47</v>
      </c>
      <c r="GJ94" s="9" t="n">
        <v>48.48</v>
      </c>
      <c r="GK94" s="9" t="n">
        <v>25.03</v>
      </c>
      <c r="GL94" s="9" t="n">
        <v>3.62</v>
      </c>
      <c r="GM94" s="9" t="n">
        <v>14.45</v>
      </c>
      <c r="GN94" s="9" t="n">
        <v>4.82</v>
      </c>
      <c r="GO94" s="9" t="n">
        <v>1.56</v>
      </c>
      <c r="GP94" s="9" t="n">
        <v>32.32</v>
      </c>
      <c r="GQ94" s="9" t="n">
        <v>3</v>
      </c>
      <c r="GR94" s="9" t="n">
        <v>0.82</v>
      </c>
      <c r="GS94" s="9" t="n">
        <v>27.45</v>
      </c>
      <c r="GT94" s="9" t="n">
        <v>0.12</v>
      </c>
      <c r="GU94" s="9" t="n">
        <v>0.12</v>
      </c>
      <c r="GV94" s="9" t="n">
        <v>100</v>
      </c>
      <c r="GW94" s="9" t="n">
        <v>15.03</v>
      </c>
      <c r="GX94" s="9" t="n">
        <v>5.41</v>
      </c>
      <c r="GY94" s="9" t="n">
        <v>36.01</v>
      </c>
      <c r="GZ94" s="9" t="n">
        <v>5.56</v>
      </c>
      <c r="HA94" s="9" t="n">
        <v>7.18</v>
      </c>
      <c r="HB94" s="9" t="n">
        <v>25.74</v>
      </c>
      <c r="HC94" s="9" t="n">
        <v>4.12</v>
      </c>
      <c r="HD94" s="9" t="n">
        <v>9.029999999999999</v>
      </c>
      <c r="HE94" s="9" t="n">
        <v>18.32</v>
      </c>
      <c r="HF94" s="9" t="n">
        <v>62.97</v>
      </c>
      <c r="HG94" s="9" t="n">
        <v>25.29</v>
      </c>
      <c r="HH94" s="9" t="n">
        <v>40.17</v>
      </c>
      <c r="HI94" s="9" t="n">
        <v>2.26</v>
      </c>
      <c r="HJ94" s="9" t="n">
        <v>0.79</v>
      </c>
      <c r="HK94" s="9" t="n">
        <v>10.82</v>
      </c>
      <c r="HL94" s="9" t="n">
        <v>4.47</v>
      </c>
      <c r="HM94" s="9" t="n">
        <v>41.3</v>
      </c>
      <c r="HN94" s="9" t="n">
        <v>67.79000000000001</v>
      </c>
      <c r="HO94" s="9" t="n">
        <v>40.59</v>
      </c>
      <c r="HP94" s="9" t="n">
        <v>59.87</v>
      </c>
      <c r="HQ94" s="9" t="n">
        <v>28.97</v>
      </c>
      <c r="HR94" s="9" t="n">
        <v>13.65</v>
      </c>
      <c r="HS94" s="9" t="n">
        <v>47.11</v>
      </c>
      <c r="HT94" s="9" t="n">
        <v>2.97</v>
      </c>
      <c r="HU94" s="9" t="n">
        <v>1.5</v>
      </c>
      <c r="HV94" s="9" t="n">
        <v>50.5</v>
      </c>
      <c r="HW94" s="9" t="n">
        <v>36.5</v>
      </c>
      <c r="HX94" s="9" t="n">
        <v>12.88</v>
      </c>
      <c r="HY94" s="9" t="n">
        <v>13.59</v>
      </c>
      <c r="HZ94" s="9" t="n">
        <v>2.74</v>
      </c>
      <c r="IA94" s="9" t="n">
        <v>0.06</v>
      </c>
      <c r="IB94" s="9" t="n">
        <v>137.56</v>
      </c>
      <c r="IC94" s="9" t="n">
        <v>98.23999999999999</v>
      </c>
      <c r="ID94" s="9" t="n">
        <v>71.41</v>
      </c>
      <c r="IE94" s="9" t="n">
        <v>59.41</v>
      </c>
      <c r="IF94" s="9" t="n">
        <v>56.09</v>
      </c>
      <c r="IG94" s="9" t="n">
        <v>94.41</v>
      </c>
      <c r="IH94" s="9" t="n">
        <v>134.65</v>
      </c>
      <c r="II94" s="9" t="n">
        <v>117.97</v>
      </c>
      <c r="IJ94" s="9" t="n">
        <v>87.61</v>
      </c>
      <c r="IK94" s="9" t="n">
        <v>42.65</v>
      </c>
      <c r="IL94" s="9" t="n">
        <v>22.41</v>
      </c>
      <c r="IM94" s="9" t="n">
        <v>52.55</v>
      </c>
      <c r="IN94" s="9" t="n">
        <v>53.88</v>
      </c>
      <c r="IO94" s="9" t="n">
        <v>35.24</v>
      </c>
      <c r="IP94" s="9" t="n">
        <v>65.39</v>
      </c>
      <c r="IQ94" s="9" t="n">
        <v>70.47</v>
      </c>
      <c r="IR94" s="9" t="n">
        <v>52.24</v>
      </c>
      <c r="IS94" s="9" t="n">
        <v>74.12</v>
      </c>
      <c r="IT94" s="33">
        <f>PERCENTRANK(IS$2:INDEX($IS:$IS,LOOKUP(2,1/(ISNUMBER($A$2:$A$1048576)),ROW($A$2:$A$1048576))),IS94)</f>
        <v/>
      </c>
      <c r="IU94" s="39">
        <f>1-(IS94-IS$106)/IS$107</f>
        <v/>
      </c>
      <c r="IV94" s="9" t="n">
        <v>2.59</v>
      </c>
      <c r="IW94" s="9" t="n">
        <v>0.97</v>
      </c>
      <c r="IX94" s="9" t="n">
        <v>37.5</v>
      </c>
      <c r="IY94" s="9" t="n">
        <v>22.88</v>
      </c>
      <c r="IZ94" s="9" t="n">
        <v>20.06</v>
      </c>
      <c r="JA94" s="9" t="n">
        <v>87.66</v>
      </c>
      <c r="JB94" s="9" t="n">
        <v>7.76</v>
      </c>
      <c r="JC94" s="9" t="n">
        <v>16.07</v>
      </c>
      <c r="JD94" s="9" t="n">
        <v>3.72</v>
      </c>
      <c r="JE94" s="9" t="n">
        <v>11.74</v>
      </c>
      <c r="JF94" s="9" t="n">
        <v>17.94</v>
      </c>
      <c r="JG94" s="9" t="n">
        <v>20.48</v>
      </c>
      <c r="JH94" s="9" t="n">
        <v>10.68</v>
      </c>
    </row>
    <row r="95">
      <c r="A95" s="12" t="n">
        <v>2025</v>
      </c>
      <c r="B95" s="31" t="inlineStr">
        <is>
          <t>Oakland Roots</t>
        </is>
      </c>
      <c r="C95" s="12" t="n">
        <v>32</v>
      </c>
      <c r="D95" s="5">
        <f>(C95-AVERAGE($C$2:INDEX($C:$C,LOOKUP(2,1/(ISNUMBER($A$2:$A$1048576)),ROW($A$2:$A$1048576)))))/_xlfn.STDEV.P($C$2:INDEX($C:$C,LOOKUP(2,1/(ISNUMBER($A$2:$A$1048576)),ROW($A$2:$A$1048576))))</f>
        <v/>
      </c>
      <c r="E95" s="12" t="n">
        <v>10</v>
      </c>
      <c r="F95" s="6">
        <f>-E95</f>
        <v/>
      </c>
      <c r="G95" s="7">
        <f>(F95-AVERAGE($F$2:INDEX($F:$F,LOOKUP(2,1/(ISNUMBER($A$2:$A$1048576)),ROW($A$2:$A$1048576)))))/_xlfn.STDEV.P($F$2:INDEX($F:$F,LOOKUP(2,1/(ISNUMBER($A$2:$A$1048576)),ROW($A$2:$A$1048576))))</f>
        <v/>
      </c>
      <c r="H95" s="32">
        <f>sum(0.5*D95)+(0.5*G95)</f>
        <v/>
      </c>
      <c r="I95" s="12" t="inlineStr">
        <is>
          <t>West</t>
        </is>
      </c>
      <c r="J95" s="10">
        <f>sum(L95*L$105)+(N95*N$105)+(P95*P$105)+(T95*R$105)</f>
        <v/>
      </c>
      <c r="K95" s="33">
        <f>PERCENTRANK(J$2:INDEX($J:$J,LOOKUP(2,1/(ISNUMBER($A$2:$A$1048576)),ROW($A$2:$A$1048576))),J95)</f>
        <v/>
      </c>
      <c r="L95" s="10">
        <f>sum(AA95*0.66)+(AD95*0.55)+(AG95*0.59)+(CG95*0.51)+(CL95*0.6)+(EY95*0.31)</f>
        <v/>
      </c>
      <c r="M95" s="33">
        <f>PERCENTRANK(L$2:INDEX($L:$L,LOOKUP(2,1/(ISNUMBER($A$2:$A$1048576)),ROW($A$2:$A$1048576))),L95)</f>
        <v/>
      </c>
      <c r="N95" s="10">
        <f>sum(CT95*0.57)+(CW95*0.71)+(DJ95*0.08)+(FC95*0.33)+(FG95*0.69)+(FM95*0.26)+(IU95*0.54)+(AU95*0.4)</f>
        <v/>
      </c>
      <c r="O95" s="33">
        <f>PERCENTRANK(N$2:INDEX($N:$N,LOOKUP(2,1/(ISNUMBER($A$2:$A$1048576)),ROW($A$2:$A$1048576))),N95)</f>
        <v/>
      </c>
      <c r="P95" s="10">
        <f>sum(BG95*0.51)+(CD95*0.51)+(DR95*0.11)+(EF95*0.42)+(EK95*0.44)+(W95*0.6)</f>
        <v/>
      </c>
      <c r="Q95" s="33">
        <f>PERCENTRANK(P$2:INDEX($P:$P,LOOKUP(2,1/(ISNUMBER($A$2:$A$1048576)),ROW($A$2:$A$1048576))),P95)</f>
        <v/>
      </c>
      <c r="R95" s="10">
        <f>sum(Y95-FE95)</f>
        <v/>
      </c>
      <c r="S95" s="33">
        <f>PERCENTRANK(R$2:INDEX($R:$R,LOOKUP(2,1/(ISNUMBER($A$2:$A$1048576)),ROW($A$2:$A$1048576))),R95)</f>
        <v/>
      </c>
      <c r="T95" s="34">
        <f>sum(R95-R$106)/R$107</f>
        <v/>
      </c>
      <c r="U95" s="35">
        <f>sum(Y95/AI95)*100</f>
        <v/>
      </c>
      <c r="V95" s="33">
        <f>PERCENTRANK(U$2:INDEX($U:$U,LOOKUP(2,1/(ISNUMBER($A$2:$A$1048576)),ROW($A$2:$A$1048576))),U95)</f>
        <v/>
      </c>
      <c r="W95" s="36">
        <f>sum(U95-U$106)/U$107</f>
        <v/>
      </c>
      <c r="X95" s="9" t="n">
        <v>1.4</v>
      </c>
      <c r="Y95" s="9" t="n">
        <v>1.09</v>
      </c>
      <c r="Z95" s="33">
        <f>PERCENTRANK(Y$2:INDEX($Y:$Y,LOOKUP(2,1/(ISNUMBER($A$2:$A$1048576)),ROW($A$2:$A$1048576))),Y95)</f>
        <v/>
      </c>
      <c r="AA95" s="37">
        <f>sum(Y95-Y$106)/Y$107</f>
        <v/>
      </c>
      <c r="AB95" s="9" t="n">
        <v>8.9</v>
      </c>
      <c r="AC95" s="33">
        <f>PERCENTRANK(AB$2:INDEX($AB:$AB,LOOKUP(2,1/(ISNUMBER($A$2:$A$1048576)),ROW($A$2:$A$1048576))),AB95)</f>
        <v/>
      </c>
      <c r="AD95" s="38">
        <f>sum(AB95-AB$106)/AB$107</f>
        <v/>
      </c>
      <c r="AE95" s="9" t="n">
        <v>3.03</v>
      </c>
      <c r="AF95" s="33">
        <f>PERCENTRANK(AE$2:INDEX($AE:$AE,LOOKUP(2,1/(ISNUMBER($A$2:$A$1048576)),ROW($A$2:$A$1048576))),AE95)</f>
        <v/>
      </c>
      <c r="AG95" s="38">
        <f>sum(AE95-AE$106)/AE$107</f>
        <v/>
      </c>
      <c r="AH95" s="9" t="n">
        <v>34.08</v>
      </c>
      <c r="AI95" s="9" t="n">
        <v>401.33</v>
      </c>
      <c r="AJ95" s="9" t="n">
        <v>328.77</v>
      </c>
      <c r="AK95" s="9" t="n">
        <v>81.92</v>
      </c>
      <c r="AL95" s="9" t="n">
        <v>48.97</v>
      </c>
      <c r="AM95" s="9" t="n">
        <v>108.5</v>
      </c>
      <c r="AN95" s="9" t="n">
        <v>21.47</v>
      </c>
      <c r="AO95" s="9" t="n">
        <v>40.83</v>
      </c>
      <c r="AP95" s="9" t="n">
        <v>46.2</v>
      </c>
      <c r="AQ95" s="9" t="n">
        <v>77.17</v>
      </c>
      <c r="AR95" s="9" t="n">
        <v>34.63</v>
      </c>
      <c r="AS95" s="9" t="n">
        <v>32.33</v>
      </c>
      <c r="AT95" s="33">
        <f>PERCENTRANK(AS$2:INDEX($AS:$AS,LOOKUP(2,1/(ISNUMBER($A$2:$A$1048576)),ROW($A$2:$A$1048576))),AS95)</f>
        <v/>
      </c>
      <c r="AU95" s="39">
        <f>SUM(AS95-AS$106)/AS$107</f>
        <v/>
      </c>
      <c r="AV95" s="9" t="n">
        <v>10.2</v>
      </c>
      <c r="AW95" s="33">
        <f>PERCENTRANK(AV$2:INDEX($AV:$AV,LOOKUP(2,1/(ISNUMBER($A$2:$A$1048576)),ROW($A$2:$A$1048576))),AV95)</f>
        <v/>
      </c>
      <c r="AX95" s="9" t="n">
        <v>181.13</v>
      </c>
      <c r="AY95" s="9" t="n">
        <v>85</v>
      </c>
      <c r="AZ95" s="9" t="n">
        <v>46.93</v>
      </c>
      <c r="BA95" s="9" t="n">
        <v>3.8</v>
      </c>
      <c r="BB95" s="9" t="n">
        <v>0.73</v>
      </c>
      <c r="BC95" s="9" t="n">
        <v>19.3</v>
      </c>
      <c r="BD95" s="9" t="n">
        <v>23.93</v>
      </c>
      <c r="BE95" s="9" t="n">
        <v>5.37</v>
      </c>
      <c r="BF95" s="33">
        <f>PERCENTRANK(BE$2:INDEX($BE:$BE,LOOKUP(2,1/(ISNUMBER($A$2:$A$1048576)),ROW($A$2:$A$1048576))),BE95)</f>
        <v/>
      </c>
      <c r="BG95" s="40">
        <f>sum(BE95-BE$106)/BE$107</f>
        <v/>
      </c>
      <c r="BH95" s="9" t="n">
        <v>22.42</v>
      </c>
      <c r="BI95" s="9" t="n">
        <v>0.47</v>
      </c>
      <c r="BJ95" s="9" t="n">
        <v>0.2</v>
      </c>
      <c r="BK95" s="9" t="n">
        <v>42.86</v>
      </c>
      <c r="BL95" s="9" t="n">
        <v>26.3</v>
      </c>
      <c r="BM95" s="9" t="n">
        <v>2.7</v>
      </c>
      <c r="BN95" s="9" t="n">
        <v>10.27</v>
      </c>
      <c r="BO95" s="9" t="n">
        <v>3.57</v>
      </c>
      <c r="BP95" s="9" t="n">
        <v>0.9</v>
      </c>
      <c r="BQ95" s="9" t="n">
        <v>25.23</v>
      </c>
      <c r="BR95" s="9" t="n">
        <v>3</v>
      </c>
      <c r="BS95" s="9" t="n">
        <v>0.63</v>
      </c>
      <c r="BT95" s="9" t="n">
        <v>21.11</v>
      </c>
      <c r="BU95" s="9" t="n">
        <v>0.2</v>
      </c>
      <c r="BV95" s="9" t="n">
        <v>0.2</v>
      </c>
      <c r="BW95" s="9" t="n">
        <v>100</v>
      </c>
      <c r="BX95" s="9" t="n">
        <v>13.53</v>
      </c>
      <c r="BY95" s="9" t="n">
        <v>3.8</v>
      </c>
      <c r="BZ95" s="9" t="n">
        <v>28.08</v>
      </c>
      <c r="CA95" s="9" t="n">
        <v>3.93</v>
      </c>
      <c r="CB95" s="9" t="n">
        <v>5.9</v>
      </c>
      <c r="CC95" s="33">
        <f>PERCENTRANK(CD$2:INDEX($CD:$CD,LOOKUP(2,1/(ISNUMBER($A$2:$A$1048576)),ROW($A$2:$A$1048576))),CD95)</f>
        <v/>
      </c>
      <c r="CD95" s="40">
        <f>sum(CB95-CB$106)/CB$107</f>
        <v/>
      </c>
      <c r="CE95" s="9" t="n">
        <v>21.3</v>
      </c>
      <c r="CF95" s="33">
        <f>PERCENTRANK(CE$2:INDEX($CE:$CE,LOOKUP(2,1/(ISNUMBER($A$2:$A$1048576)),ROW($A$2:$A$1048576))),CE95)</f>
        <v/>
      </c>
      <c r="CG95" s="38">
        <f>sum(CE95-CE$106)/CE$107</f>
        <v/>
      </c>
      <c r="CH95" s="9" t="n">
        <v>2.63</v>
      </c>
      <c r="CI95" s="9" t="n">
        <v>8.27</v>
      </c>
      <c r="CJ95" s="9" t="n">
        <v>13.83</v>
      </c>
      <c r="CK95" s="33">
        <f>PERCENTRANK(CJ$2:INDEX($CJ:$CJ,LOOKUP(2,1/(ISNUMBER($A$2:$A$1048576)),ROW($A$2:$A$1048576))),CJ95)</f>
        <v/>
      </c>
      <c r="CL95" s="38">
        <f>sum(CJ95-CJ$106)/CJ$107</f>
        <v/>
      </c>
      <c r="CM95" s="9" t="n">
        <v>58.7</v>
      </c>
      <c r="CN95" s="9" t="n">
        <v>22.27</v>
      </c>
      <c r="CO95" s="9" t="n">
        <v>37.93</v>
      </c>
      <c r="CP95" s="9" t="n">
        <v>1.77</v>
      </c>
      <c r="CQ95" s="9" t="n">
        <v>1.73</v>
      </c>
      <c r="CR95" s="9" t="n">
        <v>11.07</v>
      </c>
      <c r="CS95" s="33">
        <f>PERCENTRANK(CR$2:INDEX($CR:$CR,LOOKUP(2,1/(ISNUMBER($A$2:$A$1048576)),ROW($A$2:$A$1048576))),CR95)</f>
        <v/>
      </c>
      <c r="CT95" s="39">
        <f>1-(CR95-CR$106)/CR$107</f>
        <v/>
      </c>
      <c r="CU95" s="9" t="n">
        <v>4.47</v>
      </c>
      <c r="CV95" s="33">
        <f>PERCENTRANK(CU$2:INDEX($CU:$CU,LOOKUP(2,1/(ISNUMBER($A$2:$A$1048576)),ROW($A$2:$A$1048576))),CU95)</f>
        <v/>
      </c>
      <c r="CW95" s="39">
        <f>1-(CU95-CU$106)/CU$107</f>
        <v/>
      </c>
      <c r="CX95" s="9" t="n">
        <v>40.36</v>
      </c>
      <c r="CY95" s="9" t="n">
        <v>61.83</v>
      </c>
      <c r="CZ95" s="9" t="n">
        <v>35.77</v>
      </c>
      <c r="DA95" s="9" t="n">
        <v>57.84</v>
      </c>
      <c r="DB95" s="9" t="n">
        <v>35.4</v>
      </c>
      <c r="DC95" s="9" t="n">
        <v>16.13</v>
      </c>
      <c r="DD95" s="9" t="n">
        <v>45.57</v>
      </c>
      <c r="DE95" s="9" t="n">
        <v>3.17</v>
      </c>
      <c r="DF95" s="9" t="n">
        <v>1.4</v>
      </c>
      <c r="DG95" s="9" t="n">
        <v>44.21</v>
      </c>
      <c r="DH95" s="9" t="n">
        <v>38.73</v>
      </c>
      <c r="DI95" s="33">
        <f>PERCENTRANK(DH$2:INDEX($DH:$DH,LOOKUP(2,1/(ISNUMBER($A$2:$A$1048576)),ROW($A$2:$A$1048576))),DH95)</f>
        <v/>
      </c>
      <c r="DJ95" s="39">
        <f>SUM(DH95-DH$106)/DH$107</f>
        <v/>
      </c>
      <c r="DK95" s="9" t="n">
        <v>16.47</v>
      </c>
      <c r="DL95" s="9" t="n">
        <v>15.63</v>
      </c>
      <c r="DM95" s="9" t="n">
        <v>2.37</v>
      </c>
      <c r="DN95" s="9" t="n">
        <v>0.03</v>
      </c>
      <c r="DO95" s="9" t="n">
        <v>138.77</v>
      </c>
      <c r="DP95" s="9" t="n">
        <v>98.59999999999999</v>
      </c>
      <c r="DQ95" s="33">
        <f>PERCENTRANK(DP$2:INDEX($DP:$DP,LOOKUP(2,1/(ISNUMBER($A$2:$A$1048576)),ROW($A$2:$A$1048576))),DP95)</f>
        <v/>
      </c>
      <c r="DR95" s="40">
        <f>sum(DP95-DP$106)/DP$107</f>
        <v/>
      </c>
      <c r="DS95" s="9" t="n">
        <v>71.05</v>
      </c>
      <c r="DT95" s="9" t="n">
        <v>62.43</v>
      </c>
      <c r="DU95" s="9" t="n">
        <v>59.23</v>
      </c>
      <c r="DV95" s="9" t="n">
        <v>94.87</v>
      </c>
      <c r="DW95" s="9" t="n">
        <v>139.23</v>
      </c>
      <c r="DX95" s="9" t="n">
        <v>120.67</v>
      </c>
      <c r="DY95" s="9" t="n">
        <v>86.67</v>
      </c>
      <c r="DZ95" s="9" t="n">
        <v>45.73</v>
      </c>
      <c r="EA95" s="9" t="n">
        <v>21.6</v>
      </c>
      <c r="EB95" s="9" t="n">
        <v>47.23</v>
      </c>
      <c r="EC95" s="9" t="n">
        <v>51.43</v>
      </c>
      <c r="ED95" s="9" t="n">
        <v>32.6</v>
      </c>
      <c r="EE95" s="33">
        <f>PERCENTRANK(ED$2:INDEX($ED:$ED,LOOKUP(2,1/(ISNUMBER($A$2:$A$1048576)),ROW($A$2:$A$1048576))),ED95)</f>
        <v/>
      </c>
      <c r="EF95" s="40">
        <f>sum(ED95-ED$106)/ED$107</f>
        <v/>
      </c>
      <c r="EG95" s="9" t="n">
        <v>63.38</v>
      </c>
      <c r="EH95" s="9" t="n">
        <v>66.23</v>
      </c>
      <c r="EI95" s="9" t="n">
        <v>45.33</v>
      </c>
      <c r="EJ95" s="33">
        <f>PERCENTRANK(EI$2:INDEX($EI:$EI,LOOKUP(2,1/(ISNUMBER($A$2:$A$1048576)),ROW($A$2:$A$1048576))),EI95)</f>
        <v/>
      </c>
      <c r="EK95" s="40">
        <f>sum(EI95-EI$106)/EI$107</f>
        <v/>
      </c>
      <c r="EL95" s="9" t="n">
        <v>68.44</v>
      </c>
      <c r="EM95" s="9" t="n">
        <v>0.73</v>
      </c>
      <c r="EN95" s="9" t="n">
        <v>0.43</v>
      </c>
      <c r="EO95" s="9" t="n">
        <v>59.09</v>
      </c>
      <c r="EP95" s="9" t="n">
        <v>19.97</v>
      </c>
      <c r="EQ95" s="9" t="n">
        <v>17.57</v>
      </c>
      <c r="ER95" s="9" t="n">
        <v>87.98</v>
      </c>
      <c r="ES95" s="9" t="n">
        <v>7.8</v>
      </c>
      <c r="ET95" s="9" t="n">
        <v>16.6</v>
      </c>
      <c r="EU95" s="9" t="n">
        <v>3.99</v>
      </c>
      <c r="EV95" s="9" t="n">
        <v>11.81</v>
      </c>
      <c r="EW95" s="9" t="n">
        <v>18.54</v>
      </c>
      <c r="EX95" s="33">
        <f>PERCENTRANK(EW$2:INDEX($EW:$EW,LOOKUP(2,1/(ISNUMBER($A$2:$A$1048576)),ROW($A$2:$A$1048576))),EW95)</f>
        <v/>
      </c>
      <c r="EY95" s="38">
        <f>1-(EW95-EW$106)/EW$107</f>
        <v/>
      </c>
      <c r="EZ95" s="9" t="n">
        <v>19.61</v>
      </c>
      <c r="FA95" s="9" t="n">
        <v>10.68</v>
      </c>
      <c r="FB95" s="33">
        <f>PERCENTRANK(FA$2:INDEX($FA:$FA,LOOKUP(2,1/(ISNUMBER($A$2:$A$1048576)),ROW($A$2:$A$1048576))),FA95)</f>
        <v/>
      </c>
      <c r="FC95" s="39">
        <f>1-(FA95-FA$106)/FA$107</f>
        <v/>
      </c>
      <c r="FD95" s="9" t="n">
        <v>1.73</v>
      </c>
      <c r="FE95" s="9" t="n">
        <v>1.33</v>
      </c>
      <c r="FF95" s="33">
        <f>PERCENTRANK(FE$2:INDEX($FE:$FE,LOOKUP(2,1/(ISNUMBER($A$2:$A$1048576)),ROW($A$2:$A$1048576))),FE95)</f>
        <v/>
      </c>
      <c r="FG95" s="39">
        <f>1-(FE95-FE$106)/FE$107</f>
        <v/>
      </c>
      <c r="FH95" s="9" t="n">
        <v>11.07</v>
      </c>
      <c r="FI95" s="9" t="n">
        <v>4.3</v>
      </c>
      <c r="FJ95" s="9" t="n">
        <v>38.86</v>
      </c>
      <c r="FK95" s="9" t="n">
        <v>409.27</v>
      </c>
      <c r="FL95" s="33">
        <f>PERCENTRANK(FK$2:INDEX($FK:$FK,LOOKUP(2,1/(ISNUMBER($A$2:$A$1048576)),ROW($A$2:$A$1048576))),FK95)</f>
        <v/>
      </c>
      <c r="FM95" s="39">
        <f>SWA94-(FK95-FK$106)/FK$107</f>
        <v/>
      </c>
      <c r="FN95" s="9" t="n">
        <v>336.4</v>
      </c>
      <c r="FO95" s="9" t="n">
        <v>82.2</v>
      </c>
      <c r="FP95" s="9" t="n">
        <v>51.03</v>
      </c>
      <c r="FQ95" s="9" t="n">
        <v>107.03</v>
      </c>
      <c r="FR95" s="9" t="n">
        <v>16.87</v>
      </c>
      <c r="FS95" s="9" t="n">
        <v>40.33</v>
      </c>
      <c r="FT95" s="9" t="n">
        <v>49.83</v>
      </c>
      <c r="FU95" s="9" t="n">
        <v>77.93000000000001</v>
      </c>
      <c r="FV95" s="9" t="n">
        <v>32.57</v>
      </c>
      <c r="FW95" s="9" t="n">
        <v>34</v>
      </c>
      <c r="FX95" s="9" t="n">
        <v>11.37</v>
      </c>
      <c r="FY95" s="9" t="n">
        <v>181.13</v>
      </c>
      <c r="FZ95" s="9" t="n">
        <v>88.87</v>
      </c>
      <c r="GA95" s="9" t="n">
        <v>49.06</v>
      </c>
      <c r="GB95" s="9" t="n">
        <v>3.97</v>
      </c>
      <c r="GC95" s="9" t="n">
        <v>1.13</v>
      </c>
      <c r="GD95" s="9" t="n">
        <v>28.57</v>
      </c>
      <c r="GE95" s="9" t="n">
        <v>26.67</v>
      </c>
      <c r="GF95" s="9" t="n">
        <v>6.57</v>
      </c>
      <c r="GG95" s="9" t="n">
        <v>24.63</v>
      </c>
      <c r="GH95" s="9" t="n">
        <v>0.47</v>
      </c>
      <c r="GI95" s="9" t="n">
        <v>0.3</v>
      </c>
      <c r="GJ95" s="9" t="n">
        <v>64.29000000000001</v>
      </c>
      <c r="GK95" s="9" t="n">
        <v>28.27</v>
      </c>
      <c r="GL95" s="9" t="n">
        <v>3.5</v>
      </c>
      <c r="GM95" s="9" t="n">
        <v>12.38</v>
      </c>
      <c r="GN95" s="9" t="n">
        <v>4.93</v>
      </c>
      <c r="GO95" s="9" t="n">
        <v>1.67</v>
      </c>
      <c r="GP95" s="9" t="n">
        <v>33.78</v>
      </c>
      <c r="GQ95" s="9" t="n">
        <v>2.77</v>
      </c>
      <c r="GR95" s="9" t="n">
        <v>0.77</v>
      </c>
      <c r="GS95" s="9" t="n">
        <v>27.71</v>
      </c>
      <c r="GT95" s="9" t="n">
        <v>0.17</v>
      </c>
      <c r="GU95" s="9" t="n">
        <v>0.17</v>
      </c>
      <c r="GV95" s="9" t="n">
        <v>100</v>
      </c>
      <c r="GW95" s="9" t="n">
        <v>15.67</v>
      </c>
      <c r="GX95" s="9" t="n">
        <v>5.4</v>
      </c>
      <c r="GY95" s="9" t="n">
        <v>34.47</v>
      </c>
      <c r="GZ95" s="9" t="n">
        <v>5.27</v>
      </c>
      <c r="HA95" s="9" t="n">
        <v>5.8</v>
      </c>
      <c r="HB95" s="9" t="n">
        <v>24.4</v>
      </c>
      <c r="HC95" s="9" t="n">
        <v>4.2</v>
      </c>
      <c r="HD95" s="9" t="n">
        <v>10.03</v>
      </c>
      <c r="HE95" s="9" t="n">
        <v>16.67</v>
      </c>
      <c r="HF95" s="9" t="n">
        <v>61.83</v>
      </c>
      <c r="HG95" s="9" t="n">
        <v>26.07</v>
      </c>
      <c r="HH95" s="9" t="n">
        <v>42.16</v>
      </c>
      <c r="HI95" s="9" t="n">
        <v>1.8</v>
      </c>
      <c r="HJ95" s="9" t="n">
        <v>1.4</v>
      </c>
      <c r="HK95" s="9" t="n">
        <v>8.9</v>
      </c>
      <c r="HL95" s="9" t="n">
        <v>3.27</v>
      </c>
      <c r="HM95" s="9" t="n">
        <v>36.7</v>
      </c>
      <c r="HN95" s="9" t="n">
        <v>58.7</v>
      </c>
      <c r="HO95" s="9" t="n">
        <v>36.43</v>
      </c>
      <c r="HP95" s="9" t="n">
        <v>62.07</v>
      </c>
      <c r="HQ95" s="9" t="n">
        <v>35.4</v>
      </c>
      <c r="HR95" s="9" t="n">
        <v>16.27</v>
      </c>
      <c r="HS95" s="9" t="n">
        <v>45.95</v>
      </c>
      <c r="HT95" s="9" t="n">
        <v>3.67</v>
      </c>
      <c r="HU95" s="9" t="n">
        <v>1.8</v>
      </c>
      <c r="HV95" s="9" t="n">
        <v>49.09</v>
      </c>
      <c r="HW95" s="9" t="n">
        <v>36.93</v>
      </c>
      <c r="HX95" s="9" t="n">
        <v>13.57</v>
      </c>
      <c r="HY95" s="9" t="n">
        <v>14.47</v>
      </c>
      <c r="HZ95" s="9" t="n">
        <v>2.83</v>
      </c>
      <c r="IA95" s="9" t="n">
        <v>0.13</v>
      </c>
      <c r="IB95" s="9" t="n">
        <v>143.03</v>
      </c>
      <c r="IC95" s="9" t="n">
        <v>103.33</v>
      </c>
      <c r="ID95" s="9" t="n">
        <v>72.23999999999999</v>
      </c>
      <c r="IE95" s="9" t="n">
        <v>65.5</v>
      </c>
      <c r="IF95" s="9" t="n">
        <v>61.53</v>
      </c>
      <c r="IG95" s="9" t="n">
        <v>93.94</v>
      </c>
      <c r="IH95" s="9" t="n">
        <v>144.5</v>
      </c>
      <c r="II95" s="9" t="n">
        <v>126.63</v>
      </c>
      <c r="IJ95" s="9" t="n">
        <v>87.64</v>
      </c>
      <c r="IK95" s="9" t="n">
        <v>48.2</v>
      </c>
      <c r="IL95" s="9" t="n">
        <v>25.67</v>
      </c>
      <c r="IM95" s="9" t="n">
        <v>53.25</v>
      </c>
      <c r="IN95" s="9" t="n">
        <v>53.2</v>
      </c>
      <c r="IO95" s="9" t="n">
        <v>35.47</v>
      </c>
      <c r="IP95" s="9" t="n">
        <v>66.67</v>
      </c>
      <c r="IQ95" s="9" t="n">
        <v>74.63</v>
      </c>
      <c r="IR95" s="9" t="n">
        <v>54.13</v>
      </c>
      <c r="IS95" s="9" t="n">
        <v>72.53</v>
      </c>
      <c r="IT95" s="33">
        <f>PERCENTRANK(IS$2:INDEX($IS:$IS,LOOKUP(2,1/(ISNUMBER($A$2:$A$1048576)),ROW($A$2:$A$1048576))),IS95)</f>
        <v/>
      </c>
      <c r="IU95" s="39">
        <f>1-(IS95-IS$106)/IS$107</f>
        <v/>
      </c>
      <c r="IV95" s="9" t="n">
        <v>1</v>
      </c>
      <c r="IW95" s="9" t="n">
        <v>0.37</v>
      </c>
      <c r="IX95" s="9" t="n">
        <v>36.67</v>
      </c>
      <c r="IY95" s="9" t="n">
        <v>20.17</v>
      </c>
      <c r="IZ95" s="9" t="n">
        <v>17.97</v>
      </c>
      <c r="JA95" s="9" t="n">
        <v>89.09</v>
      </c>
      <c r="JB95" s="9" t="n">
        <v>7.17</v>
      </c>
      <c r="JC95" s="9" t="n">
        <v>16.19</v>
      </c>
      <c r="JD95" s="9" t="n">
        <v>3.97</v>
      </c>
      <c r="JE95" s="9" t="n">
        <v>12.43</v>
      </c>
      <c r="JF95" s="9" t="n">
        <v>17.69</v>
      </c>
      <c r="JG95" s="9" t="n">
        <v>20.43</v>
      </c>
      <c r="JH95" s="9" t="n">
        <v>10.42</v>
      </c>
    </row>
    <row r="96">
      <c r="A96" s="12" t="n">
        <v>2022</v>
      </c>
      <c r="B96" s="31" t="inlineStr">
        <is>
          <t>Las Vegas Lights</t>
        </is>
      </c>
      <c r="C96" s="12" t="n">
        <v>45</v>
      </c>
      <c r="D96" s="5">
        <f>(C96-AVERAGE($C$2:INDEX($C:$C,LOOKUP(2,1/(ISNUMBER($A$2:$A$1048576)),ROW($A$2:$A$1048576)))))/_xlfn.STDEV.P($C$2:INDEX($C:$C,LOOKUP(2,1/(ISNUMBER($A$2:$A$1048576)),ROW($A$2:$A$1048576))))</f>
        <v/>
      </c>
      <c r="E96" s="12" t="n">
        <v>9</v>
      </c>
      <c r="F96" s="6">
        <f>-E96</f>
        <v/>
      </c>
      <c r="G96" s="7">
        <f>(F96-AVERAGE($F$2:INDEX($F:$F,LOOKUP(2,1/(ISNUMBER($A$2:$A$1048576)),ROW($A$2:$A$1048576)))))/_xlfn.STDEV.P($F$2:INDEX($F:$F,LOOKUP(2,1/(ISNUMBER($A$2:$A$1048576)),ROW($A$2:$A$1048576))))</f>
        <v/>
      </c>
      <c r="H96" s="32">
        <f>sum(0.5*D96)+(0.5*G96)</f>
        <v/>
      </c>
      <c r="I96" s="12" t="inlineStr">
        <is>
          <t>West</t>
        </is>
      </c>
      <c r="J96" s="10">
        <f>sum(L96*L$105)+(N96*N$105)+(P96*P$105)+(T96*R$105)</f>
        <v/>
      </c>
      <c r="K96" s="33">
        <f>PERCENTRANK(J$2:INDEX($J:$J,LOOKUP(2,1/(ISNUMBER($A$2:$A$1048576)),ROW($A$2:$A$1048576))),J96)</f>
        <v/>
      </c>
      <c r="L96" s="10">
        <f>sum(AA96*0.66)+(AD96*0.55)+(AG96*0.59)+(CG96*0.51)+(CL96*0.6)+(EY96*0.31)</f>
        <v/>
      </c>
      <c r="M96" s="33">
        <f>PERCENTRANK(L$2:INDEX($L:$L,LOOKUP(2,1/(ISNUMBER($A$2:$A$1048576)),ROW($A$2:$A$1048576))),L96)</f>
        <v/>
      </c>
      <c r="N96" s="10">
        <f>sum(CT96*0.57)+(CW96*0.71)+(DJ96*0.08)+(FC96*0.33)+(FG96*0.69)+(FM96*0.26)+(IU96*0.54)+(AU96*0.4)</f>
        <v/>
      </c>
      <c r="O96" s="33">
        <f>PERCENTRANK(N$2:INDEX($N:$N,LOOKUP(2,1/(ISNUMBER($A$2:$A$1048576)),ROW($A$2:$A$1048576))),N96)</f>
        <v/>
      </c>
      <c r="P96" s="10">
        <f>sum(BG96*0.51)+(CD96*0.51)+(DR96*0.11)+(EF96*0.42)+(EK96*0.44)+(W96*0.6)</f>
        <v/>
      </c>
      <c r="Q96" s="33">
        <f>PERCENTRANK(P$2:INDEX($P:$P,LOOKUP(2,1/(ISNUMBER($A$2:$A$1048576)),ROW($A$2:$A$1048576))),P96)</f>
        <v/>
      </c>
      <c r="R96" s="10">
        <f>sum(Y96-FE96)</f>
        <v/>
      </c>
      <c r="S96" s="33">
        <f>PERCENTRANK(R$2:INDEX($R:$R,LOOKUP(2,1/(ISNUMBER($A$2:$A$1048576)),ROW($A$2:$A$1048576))),R96)</f>
        <v/>
      </c>
      <c r="T96" s="34">
        <f>sum(R96-R$106)/R$107</f>
        <v/>
      </c>
      <c r="U96" s="35">
        <f>sum(Y96/AI96)*100</f>
        <v/>
      </c>
      <c r="V96" s="33">
        <f>PERCENTRANK(U$2:INDEX($U:$U,LOOKUP(2,1/(ISNUMBER($A$2:$A$1048576)),ROW($A$2:$A$1048576))),U96)</f>
        <v/>
      </c>
      <c r="W96" s="36">
        <f>sum(U96-U$106)/U$107</f>
        <v/>
      </c>
      <c r="X96" s="9" t="n">
        <v>1.18</v>
      </c>
      <c r="Y96" s="9" t="n">
        <v>1.02</v>
      </c>
      <c r="Z96" s="33">
        <f>PERCENTRANK(Y$2:INDEX($Y:$Y,LOOKUP(2,1/(ISNUMBER($A$2:$A$1048576)),ROW($A$2:$A$1048576))),Y96)</f>
        <v/>
      </c>
      <c r="AA96" s="37">
        <f>sum(Y96-Y$106)/Y$107</f>
        <v/>
      </c>
      <c r="AB96" s="9" t="n">
        <v>9</v>
      </c>
      <c r="AC96" s="33">
        <f>PERCENTRANK(AB$2:INDEX($AB:$AB,LOOKUP(2,1/(ISNUMBER($A$2:$A$1048576)),ROW($A$2:$A$1048576))),AB96)</f>
        <v/>
      </c>
      <c r="AD96" s="38">
        <f>sum(AB96-AB$106)/AB$107</f>
        <v/>
      </c>
      <c r="AE96" s="9" t="n">
        <v>3.42</v>
      </c>
      <c r="AF96" s="33">
        <f>PERCENTRANK(AE$2:INDEX($AE:$AE,LOOKUP(2,1/(ISNUMBER($A$2:$A$1048576)),ROW($A$2:$A$1048576))),AE96)</f>
        <v/>
      </c>
      <c r="AG96" s="38">
        <f>sum(AE96-AE$106)/AE$107</f>
        <v/>
      </c>
      <c r="AH96" s="9" t="n">
        <v>38.05</v>
      </c>
      <c r="AI96" s="9" t="n">
        <v>398.73</v>
      </c>
      <c r="AJ96" s="9" t="n">
        <v>328.21</v>
      </c>
      <c r="AK96" s="9" t="n">
        <v>82.31</v>
      </c>
      <c r="AL96" s="9" t="n">
        <v>47.35</v>
      </c>
      <c r="AM96" s="9" t="n">
        <v>102.91</v>
      </c>
      <c r="AN96" s="9" t="n">
        <v>24.42</v>
      </c>
      <c r="AO96" s="9" t="n">
        <v>40.24</v>
      </c>
      <c r="AP96" s="9" t="n">
        <v>38.24</v>
      </c>
      <c r="AQ96" s="9" t="n">
        <v>74.88</v>
      </c>
      <c r="AR96" s="9" t="n">
        <v>41</v>
      </c>
      <c r="AS96" s="9" t="n">
        <v>25.67</v>
      </c>
      <c r="AT96" s="33">
        <f>PERCENTRANK(AS$2:INDEX($AS:$AS,LOOKUP(2,1/(ISNUMBER($A$2:$A$1048576)),ROW($A$2:$A$1048576))),AS96)</f>
        <v/>
      </c>
      <c r="AU96" s="39">
        <f>SUM(AS96-AS$106)/AS$107</f>
        <v/>
      </c>
      <c r="AV96" s="9" t="n">
        <v>8.210000000000001</v>
      </c>
      <c r="AW96" s="33">
        <f>PERCENTRANK(AV$2:INDEX($AV:$AV,LOOKUP(2,1/(ISNUMBER($A$2:$A$1048576)),ROW($A$2:$A$1048576))),AV96)</f>
        <v/>
      </c>
      <c r="AX96" s="9" t="n">
        <v>192.58</v>
      </c>
      <c r="AY96" s="9" t="n">
        <v>94.15000000000001</v>
      </c>
      <c r="AZ96" s="9" t="n">
        <v>48.89</v>
      </c>
      <c r="BA96" s="9" t="n">
        <v>3.94</v>
      </c>
      <c r="BB96" s="9" t="n">
        <v>1.21</v>
      </c>
      <c r="BC96" s="9" t="n">
        <v>30.77</v>
      </c>
      <c r="BD96" s="9" t="n">
        <v>22.45</v>
      </c>
      <c r="BE96" s="9" t="n">
        <v>4.82</v>
      </c>
      <c r="BF96" s="33">
        <f>PERCENTRANK(BE$2:INDEX($BE:$BE,LOOKUP(2,1/(ISNUMBER($A$2:$A$1048576)),ROW($A$2:$A$1048576))),BE96)</f>
        <v/>
      </c>
      <c r="BG96" s="40">
        <f>sum(BE96-BE$106)/BE$107</f>
        <v/>
      </c>
      <c r="BH96" s="9" t="n">
        <v>21.46</v>
      </c>
      <c r="BI96" s="9" t="n">
        <v>1.67</v>
      </c>
      <c r="BJ96" s="9" t="n">
        <v>0.88</v>
      </c>
      <c r="BK96" s="9" t="n">
        <v>52.73</v>
      </c>
      <c r="BL96" s="9" t="n">
        <v>27.36</v>
      </c>
      <c r="BM96" s="9" t="n">
        <v>3</v>
      </c>
      <c r="BN96" s="9" t="n">
        <v>10.96</v>
      </c>
      <c r="BO96" s="9" t="n">
        <v>4.03</v>
      </c>
      <c r="BP96" s="9" t="n">
        <v>1.15</v>
      </c>
      <c r="BQ96" s="9" t="n">
        <v>28.57</v>
      </c>
      <c r="BR96" s="9" t="n">
        <v>1.67</v>
      </c>
      <c r="BS96" s="9" t="n">
        <v>0.45</v>
      </c>
      <c r="BT96" s="9" t="n">
        <v>27.27</v>
      </c>
      <c r="BU96" s="9" t="n">
        <v>0.03</v>
      </c>
      <c r="BV96" s="9" t="n">
        <v>0.03</v>
      </c>
      <c r="BW96" s="9" t="n">
        <v>100</v>
      </c>
      <c r="BX96" s="9" t="n">
        <v>9.15</v>
      </c>
      <c r="BY96" s="9" t="n">
        <v>2.27</v>
      </c>
      <c r="BZ96" s="9" t="n">
        <v>24.83</v>
      </c>
      <c r="CA96" s="9" t="n">
        <v>2.3</v>
      </c>
      <c r="CB96" s="9" t="n">
        <v>5.03</v>
      </c>
      <c r="CC96" s="33">
        <f>PERCENTRANK(CD$2:INDEX($CD:$CD,LOOKUP(2,1/(ISNUMBER($A$2:$A$1048576)),ROW($A$2:$A$1048576))),CD96)</f>
        <v/>
      </c>
      <c r="CD96" s="40">
        <f>sum(CB96-CB$106)/CB$107</f>
        <v/>
      </c>
      <c r="CE96" s="9" t="n">
        <v>18.21</v>
      </c>
      <c r="CF96" s="33">
        <f>PERCENTRANK(CE$2:INDEX($CE:$CE,LOOKUP(2,1/(ISNUMBER($A$2:$A$1048576)),ROW($A$2:$A$1048576))),CE96)</f>
        <v/>
      </c>
      <c r="CG96" s="38">
        <f>sum(CE96-CE$106)/CE$107</f>
        <v/>
      </c>
      <c r="CH96" s="9" t="n">
        <v>4.15</v>
      </c>
      <c r="CI96" s="9" t="n">
        <v>5.09</v>
      </c>
      <c r="CJ96" s="9" t="n">
        <v>12.39</v>
      </c>
      <c r="CK96" s="33">
        <f>PERCENTRANK(CJ$2:INDEX($CJ:$CJ,LOOKUP(2,1/(ISNUMBER($A$2:$A$1048576)),ROW($A$2:$A$1048576))),CJ96)</f>
        <v/>
      </c>
      <c r="CL96" s="38">
        <f>sum(CJ96-CJ$106)/CJ$107</f>
        <v/>
      </c>
      <c r="CM96" s="9" t="n">
        <v>69.09</v>
      </c>
      <c r="CN96" s="9" t="n">
        <v>28.33</v>
      </c>
      <c r="CO96" s="9" t="n">
        <v>41.01</v>
      </c>
      <c r="CP96" s="9" t="n">
        <v>2.21</v>
      </c>
      <c r="CQ96" s="9" t="n">
        <v>1.48</v>
      </c>
      <c r="CR96" s="9" t="n">
        <v>13.82</v>
      </c>
      <c r="CS96" s="33">
        <f>PERCENTRANK(CR$2:INDEX($CR:$CR,LOOKUP(2,1/(ISNUMBER($A$2:$A$1048576)),ROW($A$2:$A$1048576))),CR96)</f>
        <v/>
      </c>
      <c r="CT96" s="39">
        <f>1-(CR96-CR$106)/CR$107</f>
        <v/>
      </c>
      <c r="CU96" s="9" t="n">
        <v>4.73</v>
      </c>
      <c r="CV96" s="33">
        <f>PERCENTRANK(CU$2:INDEX($CU:$CU,LOOKUP(2,1/(ISNUMBER($A$2:$A$1048576)),ROW($A$2:$A$1048576))),CU96)</f>
        <v/>
      </c>
      <c r="CW96" s="39">
        <f>1-(CU96-CU$106)/CU$107</f>
        <v/>
      </c>
      <c r="CX96" s="9" t="n">
        <v>34.21</v>
      </c>
      <c r="CY96" s="9" t="n">
        <v>68.20999999999999</v>
      </c>
      <c r="CZ96" s="9" t="n">
        <v>42.12</v>
      </c>
      <c r="DA96" s="9" t="n">
        <v>61.75</v>
      </c>
      <c r="DB96" s="9" t="n">
        <v>29.52</v>
      </c>
      <c r="DC96" s="9" t="n">
        <v>12.33</v>
      </c>
      <c r="DD96" s="9" t="n">
        <v>41.79</v>
      </c>
      <c r="DE96" s="9" t="n">
        <v>4.55</v>
      </c>
      <c r="DF96" s="9" t="n">
        <v>2.52</v>
      </c>
      <c r="DG96" s="9" t="n">
        <v>55.33</v>
      </c>
      <c r="DH96" s="9" t="n">
        <v>42.45</v>
      </c>
      <c r="DI96" s="33">
        <f>PERCENTRANK(DH$2:INDEX($DH:$DH,LOOKUP(2,1/(ISNUMBER($A$2:$A$1048576)),ROW($A$2:$A$1048576))),DH96)</f>
        <v/>
      </c>
      <c r="DJ96" s="39">
        <f>SUM(DH96-DH$106)/DH$107</f>
        <v/>
      </c>
      <c r="DK96" s="9" t="n">
        <v>18.76</v>
      </c>
      <c r="DL96" s="9" t="n">
        <v>10.18</v>
      </c>
      <c r="DM96" s="9" t="n">
        <v>2.15</v>
      </c>
      <c r="DN96" s="9" t="n">
        <v>0.09</v>
      </c>
      <c r="DO96" s="9" t="n">
        <v>133.48</v>
      </c>
      <c r="DP96" s="9" t="n">
        <v>93.09</v>
      </c>
      <c r="DQ96" s="33">
        <f>PERCENTRANK(DP$2:INDEX($DP:$DP,LOOKUP(2,1/(ISNUMBER($A$2:$A$1048576)),ROW($A$2:$A$1048576))),DP96)</f>
        <v/>
      </c>
      <c r="DR96" s="40">
        <f>sum(DP96-DP$106)/DP$107</f>
        <v/>
      </c>
      <c r="DS96" s="9" t="n">
        <v>69.73999999999999</v>
      </c>
      <c r="DT96" s="9" t="n">
        <v>61.58</v>
      </c>
      <c r="DU96" s="9" t="n">
        <v>57.33</v>
      </c>
      <c r="DV96" s="9" t="n">
        <v>93.11</v>
      </c>
      <c r="DW96" s="9" t="n">
        <v>146.76</v>
      </c>
      <c r="DX96" s="9" t="n">
        <v>130.39</v>
      </c>
      <c r="DY96" s="9" t="n">
        <v>88.84999999999999</v>
      </c>
      <c r="DZ96" s="9" t="n">
        <v>45.09</v>
      </c>
      <c r="EA96" s="9" t="n">
        <v>21.61</v>
      </c>
      <c r="EB96" s="9" t="n">
        <v>47.92</v>
      </c>
      <c r="EC96" s="9" t="n">
        <v>45.39</v>
      </c>
      <c r="ED96" s="9" t="n">
        <v>27.64</v>
      </c>
      <c r="EE96" s="33">
        <f>PERCENTRANK(ED$2:INDEX($ED:$ED,LOOKUP(2,1/(ISNUMBER($A$2:$A$1048576)),ROW($A$2:$A$1048576))),ED96)</f>
        <v/>
      </c>
      <c r="EF96" s="40">
        <f>sum(ED96-ED$106)/ED$107</f>
        <v/>
      </c>
      <c r="EG96" s="9" t="n">
        <v>60.88</v>
      </c>
      <c r="EH96" s="9" t="n">
        <v>66.27</v>
      </c>
      <c r="EI96" s="9" t="n">
        <v>42.58</v>
      </c>
      <c r="EJ96" s="33">
        <f>PERCENTRANK(EI$2:INDEX($EI:$EI,LOOKUP(2,1/(ISNUMBER($A$2:$A$1048576)),ROW($A$2:$A$1048576))),EI96)</f>
        <v/>
      </c>
      <c r="EK96" s="40">
        <f>sum(EI96-EI$106)/EI$107</f>
        <v/>
      </c>
      <c r="EL96" s="9" t="n">
        <v>64.23999999999999</v>
      </c>
      <c r="EM96" s="9" t="n">
        <v>3.76</v>
      </c>
      <c r="EN96" s="9" t="n">
        <v>1.24</v>
      </c>
      <c r="EO96" s="9" t="n">
        <v>33.06</v>
      </c>
      <c r="EP96" s="9" t="n">
        <v>23.3</v>
      </c>
      <c r="EQ96" s="9" t="n">
        <v>20.09</v>
      </c>
      <c r="ER96" s="9" t="n">
        <v>86.22</v>
      </c>
      <c r="ES96" s="9" t="n">
        <v>11.55</v>
      </c>
      <c r="ET96" s="9" t="n">
        <v>16.13</v>
      </c>
      <c r="EU96" s="9" t="n">
        <v>3.66</v>
      </c>
      <c r="EV96" s="9" t="n">
        <v>11.75</v>
      </c>
      <c r="EW96" s="9" t="n">
        <v>19.4</v>
      </c>
      <c r="EX96" s="33">
        <f>PERCENTRANK(EW$2:INDEX($EW:$EW,LOOKUP(2,1/(ISNUMBER($A$2:$A$1048576)),ROW($A$2:$A$1048576))),EW96)</f>
        <v/>
      </c>
      <c r="EY96" s="38">
        <f>1-(EW96-EW$106)/EW$107</f>
        <v/>
      </c>
      <c r="EZ96" s="9" t="n">
        <v>20.29</v>
      </c>
      <c r="FA96" s="9" t="n">
        <v>18.16</v>
      </c>
      <c r="FB96" s="33">
        <f>PERCENTRANK(FA$2:INDEX($FA:$FA,LOOKUP(2,1/(ISNUMBER($A$2:$A$1048576)),ROW($A$2:$A$1048576))),FA96)</f>
        <v/>
      </c>
      <c r="FC96" s="39">
        <f>1-(FA96-FA$106)/FA$107</f>
        <v/>
      </c>
      <c r="FD96" s="9" t="n">
        <v>1.48</v>
      </c>
      <c r="FE96" s="9" t="n">
        <v>1.62</v>
      </c>
      <c r="FF96" s="33">
        <f>PERCENTRANK(FE$2:INDEX($FE:$FE,LOOKUP(2,1/(ISNUMBER($A$2:$A$1048576)),ROW($A$2:$A$1048576))),FE96)</f>
        <v/>
      </c>
      <c r="FG96" s="39">
        <f>1-(FE96-FE$106)/FE$107</f>
        <v/>
      </c>
      <c r="FH96" s="9" t="n">
        <v>13.82</v>
      </c>
      <c r="FI96" s="9" t="n">
        <v>4.42</v>
      </c>
      <c r="FJ96" s="9" t="n">
        <v>32.02</v>
      </c>
      <c r="FK96" s="9" t="n">
        <v>462.48</v>
      </c>
      <c r="FL96" s="33">
        <f>PERCENTRANK(FK$2:INDEX($FK:$FK,LOOKUP(2,1/(ISNUMBER($A$2:$A$1048576)),ROW($A$2:$A$1048576))),FK96)</f>
        <v/>
      </c>
      <c r="FM96" s="39">
        <f>SWA95-(FK96-FK$106)/FK$107</f>
        <v/>
      </c>
      <c r="FN96" s="9" t="n">
        <v>387.94</v>
      </c>
      <c r="FO96" s="9" t="n">
        <v>83.88</v>
      </c>
      <c r="FP96" s="9" t="n">
        <v>52.65</v>
      </c>
      <c r="FQ96" s="9" t="n">
        <v>99.58</v>
      </c>
      <c r="FR96" s="9" t="n">
        <v>13.27</v>
      </c>
      <c r="FS96" s="9" t="n">
        <v>29.48</v>
      </c>
      <c r="FT96" s="9" t="n">
        <v>56.82</v>
      </c>
      <c r="FU96" s="9" t="n">
        <v>79.52</v>
      </c>
      <c r="FV96" s="9" t="n">
        <v>29.82</v>
      </c>
      <c r="FW96" s="9" t="n">
        <v>35.27</v>
      </c>
      <c r="FX96" s="9" t="n">
        <v>14.42</v>
      </c>
      <c r="FY96" s="9" t="n">
        <v>192.58</v>
      </c>
      <c r="FZ96" s="9" t="n">
        <v>92.33</v>
      </c>
      <c r="GA96" s="9" t="n">
        <v>47.95</v>
      </c>
      <c r="GB96" s="9" t="n">
        <v>5.15</v>
      </c>
      <c r="GC96" s="9" t="n">
        <v>1.24</v>
      </c>
      <c r="GD96" s="9" t="n">
        <v>24.12</v>
      </c>
      <c r="GE96" s="9" t="n">
        <v>37.45</v>
      </c>
      <c r="GF96" s="9" t="n">
        <v>8.609999999999999</v>
      </c>
      <c r="GG96" s="9" t="n">
        <v>22.98</v>
      </c>
      <c r="GH96" s="9" t="n">
        <v>0.91</v>
      </c>
      <c r="GI96" s="9" t="n">
        <v>0.3</v>
      </c>
      <c r="GJ96" s="9" t="n">
        <v>33.33</v>
      </c>
      <c r="GK96" s="9" t="n">
        <v>25.33</v>
      </c>
      <c r="GL96" s="9" t="n">
        <v>4.24</v>
      </c>
      <c r="GM96" s="9" t="n">
        <v>16.75</v>
      </c>
      <c r="GN96" s="9" t="n">
        <v>7.21</v>
      </c>
      <c r="GO96" s="9" t="n">
        <v>2.09</v>
      </c>
      <c r="GP96" s="9" t="n">
        <v>28.99</v>
      </c>
      <c r="GQ96" s="9" t="n">
        <v>2.48</v>
      </c>
      <c r="GR96" s="9" t="n">
        <v>0.76</v>
      </c>
      <c r="GS96" s="9" t="n">
        <v>30.49</v>
      </c>
      <c r="GT96" s="9" t="n">
        <v>0.09</v>
      </c>
      <c r="GU96" s="9" t="n">
        <v>0.06</v>
      </c>
      <c r="GV96" s="9" t="n">
        <v>66.67</v>
      </c>
      <c r="GW96" s="9" t="n">
        <v>19.33</v>
      </c>
      <c r="GX96" s="9" t="n">
        <v>6.27</v>
      </c>
      <c r="GY96" s="9" t="n">
        <v>32.45</v>
      </c>
      <c r="GZ96" s="9" t="n">
        <v>6.06</v>
      </c>
      <c r="HA96" s="9" t="n">
        <v>8.52</v>
      </c>
      <c r="HB96" s="9" t="n">
        <v>29.91</v>
      </c>
      <c r="HC96" s="9" t="n">
        <v>4.58</v>
      </c>
      <c r="HD96" s="9" t="n">
        <v>11.42</v>
      </c>
      <c r="HE96" s="9" t="n">
        <v>21.73</v>
      </c>
      <c r="HF96" s="9" t="n">
        <v>68.23999999999999</v>
      </c>
      <c r="HG96" s="9" t="n">
        <v>26.09</v>
      </c>
      <c r="HH96" s="9" t="n">
        <v>38.23</v>
      </c>
      <c r="HI96" s="9" t="n">
        <v>1.18</v>
      </c>
      <c r="HJ96" s="9" t="n">
        <v>1.18</v>
      </c>
      <c r="HK96" s="9" t="n">
        <v>9</v>
      </c>
      <c r="HL96" s="9" t="n">
        <v>3.67</v>
      </c>
      <c r="HM96" s="9" t="n">
        <v>40.74</v>
      </c>
      <c r="HN96" s="9" t="n">
        <v>69.06</v>
      </c>
      <c r="HO96" s="9" t="n">
        <v>40.73</v>
      </c>
      <c r="HP96" s="9" t="n">
        <v>58.97</v>
      </c>
      <c r="HQ96" s="9" t="n">
        <v>29.52</v>
      </c>
      <c r="HR96" s="9" t="n">
        <v>15.36</v>
      </c>
      <c r="HS96" s="9" t="n">
        <v>52.05</v>
      </c>
      <c r="HT96" s="9" t="n">
        <v>4.36</v>
      </c>
      <c r="HU96" s="9" t="n">
        <v>2.39</v>
      </c>
      <c r="HV96" s="9" t="n">
        <v>54.86</v>
      </c>
      <c r="HW96" s="9" t="n">
        <v>33.18</v>
      </c>
      <c r="HX96" s="9" t="n">
        <v>11.42</v>
      </c>
      <c r="HY96" s="9" t="n">
        <v>12.39</v>
      </c>
      <c r="HZ96" s="9" t="n">
        <v>2.12</v>
      </c>
      <c r="IA96" s="9" t="n">
        <v>0.09</v>
      </c>
      <c r="IB96" s="9" t="n">
        <v>154.33</v>
      </c>
      <c r="IC96" s="9" t="n">
        <v>116.42</v>
      </c>
      <c r="ID96" s="9" t="n">
        <v>75.44</v>
      </c>
      <c r="IE96" s="9" t="n">
        <v>70</v>
      </c>
      <c r="IF96" s="9" t="n">
        <v>65.45</v>
      </c>
      <c r="IG96" s="9" t="n">
        <v>93.51000000000001</v>
      </c>
      <c r="IH96" s="9" t="n">
        <v>176.88</v>
      </c>
      <c r="II96" s="9" t="n">
        <v>156.73</v>
      </c>
      <c r="IJ96" s="9" t="n">
        <v>88.61</v>
      </c>
      <c r="IK96" s="9" t="n">
        <v>44.94</v>
      </c>
      <c r="IL96" s="9" t="n">
        <v>24.3</v>
      </c>
      <c r="IM96" s="9" t="n">
        <v>54.08</v>
      </c>
      <c r="IN96" s="9" t="n">
        <v>64.20999999999999</v>
      </c>
      <c r="IO96" s="9" t="n">
        <v>45.82</v>
      </c>
      <c r="IP96" s="9" t="n">
        <v>71.34999999999999</v>
      </c>
      <c r="IQ96" s="9" t="n">
        <v>81.03</v>
      </c>
      <c r="IR96" s="9" t="n">
        <v>65.3</v>
      </c>
      <c r="IS96" s="9" t="n">
        <v>80.59</v>
      </c>
      <c r="IT96" s="33">
        <f>PERCENTRANK(IS$2:INDEX($IS:$IS,LOOKUP(2,1/(ISNUMBER($A$2:$A$1048576)),ROW($A$2:$A$1048576))),IS96)</f>
        <v/>
      </c>
      <c r="IU96" s="39">
        <f>1-(IS96-IS$106)/IS$107</f>
        <v/>
      </c>
      <c r="IV96" s="9" t="n">
        <v>4.27</v>
      </c>
      <c r="IW96" s="9" t="n">
        <v>1.73</v>
      </c>
      <c r="IX96" s="9" t="n">
        <v>40.43</v>
      </c>
      <c r="IY96" s="9" t="n">
        <v>25.48</v>
      </c>
      <c r="IZ96" s="9" t="n">
        <v>23.42</v>
      </c>
      <c r="JA96" s="9" t="n">
        <v>91.91</v>
      </c>
      <c r="JB96" s="9" t="n">
        <v>6.79</v>
      </c>
      <c r="JC96" s="9" t="n">
        <v>16.63</v>
      </c>
      <c r="JD96" s="9" t="n">
        <v>4.18</v>
      </c>
      <c r="JE96" s="9" t="n">
        <v>10.42</v>
      </c>
      <c r="JF96" s="9" t="n">
        <v>18.05</v>
      </c>
      <c r="JG96" s="9" t="n">
        <v>20.43</v>
      </c>
      <c r="JH96" s="9" t="n">
        <v>10.16</v>
      </c>
    </row>
    <row r="97">
      <c r="A97" s="12" t="n">
        <v>2023</v>
      </c>
      <c r="B97" s="31" t="inlineStr">
        <is>
          <t>FC Tulsa</t>
        </is>
      </c>
      <c r="C97" s="12" t="n">
        <v>39</v>
      </c>
      <c r="D97" s="5">
        <f>(C97-AVERAGE($C$2:INDEX($C:$C,LOOKUP(2,1/(ISNUMBER($A$2:$A$1048576)),ROW($A$2:$A$1048576)))))/_xlfn.STDEV.P($C$2:INDEX($C:$C,LOOKUP(2,1/(ISNUMBER($A$2:$A$1048576)),ROW($A$2:$A$1048576))))</f>
        <v/>
      </c>
      <c r="E97" s="12" t="n">
        <v>10</v>
      </c>
      <c r="F97" s="6">
        <f>-E97</f>
        <v/>
      </c>
      <c r="G97" s="7">
        <f>(F97-AVERAGE($F$2:INDEX($F:$F,LOOKUP(2,1/(ISNUMBER($A$2:$A$1048576)),ROW($A$2:$A$1048576)))))/_xlfn.STDEV.P($F$2:INDEX($F:$F,LOOKUP(2,1/(ISNUMBER($A$2:$A$1048576)),ROW($A$2:$A$1048576))))</f>
        <v/>
      </c>
      <c r="H97" s="32">
        <f>sum(0.5*D97)+(0.5*G97)</f>
        <v/>
      </c>
      <c r="I97" s="12" t="inlineStr">
        <is>
          <t>East</t>
        </is>
      </c>
      <c r="J97" s="10">
        <f>sum(L97*L$105)+(N97*N$105)+(P97*P$105)+(T97*R$105)</f>
        <v/>
      </c>
      <c r="K97" s="33">
        <f>PERCENTRANK(J$2:INDEX($J:$J,LOOKUP(2,1/(ISNUMBER($A$2:$A$1048576)),ROW($A$2:$A$1048576))),J97)</f>
        <v/>
      </c>
      <c r="L97" s="10">
        <f>sum(AA97*0.66)+(AD97*0.55)+(AG97*0.59)+(CG97*0.51)+(CL97*0.6)+(EY97*0.31)</f>
        <v/>
      </c>
      <c r="M97" s="33">
        <f>PERCENTRANK(L$2:INDEX($L:$L,LOOKUP(2,1/(ISNUMBER($A$2:$A$1048576)),ROW($A$2:$A$1048576))),L97)</f>
        <v/>
      </c>
      <c r="N97" s="10">
        <f>sum(CT97*0.57)+(CW97*0.71)+(DJ97*0.08)+(FC97*0.33)+(FG97*0.69)+(FM97*0.26)+(IU97*0.54)+(AU97*0.4)</f>
        <v/>
      </c>
      <c r="O97" s="33">
        <f>PERCENTRANK(N$2:INDEX($N:$N,LOOKUP(2,1/(ISNUMBER($A$2:$A$1048576)),ROW($A$2:$A$1048576))),N97)</f>
        <v/>
      </c>
      <c r="P97" s="10">
        <f>sum(BG97*0.51)+(CD97*0.51)+(DR97*0.11)+(EF97*0.42)+(EK97*0.44)+(W97*0.6)</f>
        <v/>
      </c>
      <c r="Q97" s="33">
        <f>PERCENTRANK(P$2:INDEX($P:$P,LOOKUP(2,1/(ISNUMBER($A$2:$A$1048576)),ROW($A$2:$A$1048576))),P97)</f>
        <v/>
      </c>
      <c r="R97" s="10">
        <f>sum(Y97-FE97)</f>
        <v/>
      </c>
      <c r="S97" s="33">
        <f>PERCENTRANK(R$2:INDEX($R:$R,LOOKUP(2,1/(ISNUMBER($A$2:$A$1048576)),ROW($A$2:$A$1048576))),R97)</f>
        <v/>
      </c>
      <c r="T97" s="34">
        <f>sum(R97-R$106)/R$107</f>
        <v/>
      </c>
      <c r="U97" s="35">
        <f>sum(Y97/AI97)*100</f>
        <v/>
      </c>
      <c r="V97" s="33">
        <f>PERCENTRANK(U$2:INDEX($U:$U,LOOKUP(2,1/(ISNUMBER($A$2:$A$1048576)),ROW($A$2:$A$1048576))),U97)</f>
        <v/>
      </c>
      <c r="W97" s="36">
        <f>sum(U97-U$106)/U$107</f>
        <v/>
      </c>
      <c r="X97" s="9" t="n">
        <v>1.26</v>
      </c>
      <c r="Y97" s="9" t="n">
        <v>1.29</v>
      </c>
      <c r="Z97" s="33">
        <f>PERCENTRANK(Y$2:INDEX($Y:$Y,LOOKUP(2,1/(ISNUMBER($A$2:$A$1048576)),ROW($A$2:$A$1048576))),Y97)</f>
        <v/>
      </c>
      <c r="AA97" s="37">
        <f>sum(Y97-Y$106)/Y$107</f>
        <v/>
      </c>
      <c r="AB97" s="9" t="n">
        <v>10</v>
      </c>
      <c r="AC97" s="33">
        <f>PERCENTRANK(AB$2:INDEX($AB:$AB,LOOKUP(2,1/(ISNUMBER($A$2:$A$1048576)),ROW($A$2:$A$1048576))),AB97)</f>
        <v/>
      </c>
      <c r="AD97" s="38">
        <f>sum(AB97-AB$106)/AB$107</f>
        <v/>
      </c>
      <c r="AE97" s="9" t="n">
        <v>3.68</v>
      </c>
      <c r="AF97" s="33">
        <f>PERCENTRANK(AE$2:INDEX($AE:$AE,LOOKUP(2,1/(ISNUMBER($A$2:$A$1048576)),ROW($A$2:$A$1048576))),AE97)</f>
        <v/>
      </c>
      <c r="AG97" s="38">
        <f>sum(AE97-AE$106)/AE$107</f>
        <v/>
      </c>
      <c r="AH97" s="9" t="n">
        <v>36.76</v>
      </c>
      <c r="AI97" s="9" t="n">
        <v>441.21</v>
      </c>
      <c r="AJ97" s="9" t="n">
        <v>368.21</v>
      </c>
      <c r="AK97" s="9" t="n">
        <v>83.45</v>
      </c>
      <c r="AL97" s="9" t="n">
        <v>51.06</v>
      </c>
      <c r="AM97" s="9" t="n">
        <v>104.5</v>
      </c>
      <c r="AN97" s="9" t="n">
        <v>22.62</v>
      </c>
      <c r="AO97" s="9" t="n">
        <v>43.76</v>
      </c>
      <c r="AP97" s="9" t="n">
        <v>38.12</v>
      </c>
      <c r="AQ97" s="9" t="n">
        <v>80.26000000000001</v>
      </c>
      <c r="AR97" s="9" t="n">
        <v>42.21</v>
      </c>
      <c r="AS97" s="9" t="n">
        <v>30.18</v>
      </c>
      <c r="AT97" s="33">
        <f>PERCENTRANK(AS$2:INDEX($AS:$AS,LOOKUP(2,1/(ISNUMBER($A$2:$A$1048576)),ROW($A$2:$A$1048576))),AS97)</f>
        <v/>
      </c>
      <c r="AU97" s="39">
        <f>SUM(AS97-AS$106)/AS$107</f>
        <v/>
      </c>
      <c r="AV97" s="9" t="n">
        <v>7.88</v>
      </c>
      <c r="AW97" s="33">
        <f>PERCENTRANK(AV$2:INDEX($AV:$AV,LOOKUP(2,1/(ISNUMBER($A$2:$A$1048576)),ROW($A$2:$A$1048576))),AV97)</f>
        <v/>
      </c>
      <c r="AX97" s="9" t="n">
        <v>204.15</v>
      </c>
      <c r="AY97" s="9" t="n">
        <v>99.53</v>
      </c>
      <c r="AZ97" s="9" t="n">
        <v>48.75</v>
      </c>
      <c r="BA97" s="9" t="n">
        <v>3.82</v>
      </c>
      <c r="BB97" s="9" t="n">
        <v>0.88</v>
      </c>
      <c r="BC97" s="9" t="n">
        <v>23.08</v>
      </c>
      <c r="BD97" s="9" t="n">
        <v>22.03</v>
      </c>
      <c r="BE97" s="9" t="n">
        <v>6.21</v>
      </c>
      <c r="BF97" s="33">
        <f>PERCENTRANK(BE$2:INDEX($BE:$BE,LOOKUP(2,1/(ISNUMBER($A$2:$A$1048576)),ROW($A$2:$A$1048576))),BE97)</f>
        <v/>
      </c>
      <c r="BG97" s="40">
        <f>sum(BE97-BE$106)/BE$107</f>
        <v/>
      </c>
      <c r="BH97" s="9" t="n">
        <v>28.17</v>
      </c>
      <c r="BI97" s="9" t="n">
        <v>1.5</v>
      </c>
      <c r="BJ97" s="9" t="n">
        <v>0.53</v>
      </c>
      <c r="BK97" s="9" t="n">
        <v>35.29</v>
      </c>
      <c r="BL97" s="9" t="n">
        <v>27.26</v>
      </c>
      <c r="BM97" s="9" t="n">
        <v>2.68</v>
      </c>
      <c r="BN97" s="9" t="n">
        <v>9.82</v>
      </c>
      <c r="BO97" s="9" t="n">
        <v>3.47</v>
      </c>
      <c r="BP97" s="9" t="n">
        <v>1.35</v>
      </c>
      <c r="BQ97" s="9" t="n">
        <v>38.98</v>
      </c>
      <c r="BR97" s="9" t="n">
        <v>2.26</v>
      </c>
      <c r="BS97" s="9" t="n">
        <v>0.47</v>
      </c>
      <c r="BT97" s="9" t="n">
        <v>20.78</v>
      </c>
      <c r="BU97" s="9" t="n">
        <v>0.21</v>
      </c>
      <c r="BV97" s="9" t="n">
        <v>0.21</v>
      </c>
      <c r="BW97" s="9" t="n">
        <v>100</v>
      </c>
      <c r="BX97" s="9" t="n">
        <v>9.94</v>
      </c>
      <c r="BY97" s="9" t="n">
        <v>3.26</v>
      </c>
      <c r="BZ97" s="9" t="n">
        <v>32.84</v>
      </c>
      <c r="CA97" s="9" t="n">
        <v>2.97</v>
      </c>
      <c r="CB97" s="9" t="n">
        <v>6</v>
      </c>
      <c r="CC97" s="33">
        <f>PERCENTRANK(CD$2:INDEX($CD:$CD,LOOKUP(2,1/(ISNUMBER($A$2:$A$1048576)),ROW($A$2:$A$1048576))),CD97)</f>
        <v/>
      </c>
      <c r="CD97" s="40">
        <f>sum(CB97-CB$106)/CB$107</f>
        <v/>
      </c>
      <c r="CE97" s="9" t="n">
        <v>18.97</v>
      </c>
      <c r="CF97" s="33">
        <f>PERCENTRANK(CE$2:INDEX($CE:$CE,LOOKUP(2,1/(ISNUMBER($A$2:$A$1048576)),ROW($A$2:$A$1048576))),CE97)</f>
        <v/>
      </c>
      <c r="CG97" s="38">
        <f>sum(CE97-CE$106)/CE$107</f>
        <v/>
      </c>
      <c r="CH97" s="9" t="n">
        <v>4.06</v>
      </c>
      <c r="CI97" s="9" t="n">
        <v>5.82</v>
      </c>
      <c r="CJ97" s="9" t="n">
        <v>14.41</v>
      </c>
      <c r="CK97" s="33">
        <f>PERCENTRANK(CJ$2:INDEX($CJ:$CJ,LOOKUP(2,1/(ISNUMBER($A$2:$A$1048576)),ROW($A$2:$A$1048576))),CJ97)</f>
        <v/>
      </c>
      <c r="CL97" s="38">
        <f>sum(CJ97-CJ$106)/CJ$107</f>
        <v/>
      </c>
      <c r="CM97" s="9" t="n">
        <v>63.85</v>
      </c>
      <c r="CN97" s="9" t="n">
        <v>25.15</v>
      </c>
      <c r="CO97" s="9" t="n">
        <v>39.38</v>
      </c>
      <c r="CP97" s="9" t="n">
        <v>1.5</v>
      </c>
      <c r="CQ97" s="9" t="n">
        <v>1.62</v>
      </c>
      <c r="CR97" s="9" t="n">
        <v>13.62</v>
      </c>
      <c r="CS97" s="33">
        <f>PERCENTRANK(CR$2:INDEX($CR:$CR,LOOKUP(2,1/(ISNUMBER($A$2:$A$1048576)),ROW($A$2:$A$1048576))),CR97)</f>
        <v/>
      </c>
      <c r="CT97" s="39">
        <f>1-(CR97-CR$106)/CR$107</f>
        <v/>
      </c>
      <c r="CU97" s="9" t="n">
        <v>4.82</v>
      </c>
      <c r="CV97" s="33">
        <f>PERCENTRANK(CU$2:INDEX($CU:$CU,LOOKUP(2,1/(ISNUMBER($A$2:$A$1048576)),ROW($A$2:$A$1048576))),CU97)</f>
        <v/>
      </c>
      <c r="CW97" s="39">
        <f>1-(CU97-CU$106)/CU$107</f>
        <v/>
      </c>
      <c r="CX97" s="9" t="n">
        <v>35.42</v>
      </c>
      <c r="CY97" s="9" t="n">
        <v>72</v>
      </c>
      <c r="CZ97" s="9" t="n">
        <v>44.85</v>
      </c>
      <c r="DA97" s="9" t="n">
        <v>62.3</v>
      </c>
      <c r="DB97" s="9" t="n">
        <v>35.29</v>
      </c>
      <c r="DC97" s="9" t="n">
        <v>15.53</v>
      </c>
      <c r="DD97" s="9" t="n">
        <v>44</v>
      </c>
      <c r="DE97" s="9" t="n">
        <v>5.41</v>
      </c>
      <c r="DF97" s="9" t="n">
        <v>2.47</v>
      </c>
      <c r="DG97" s="9" t="n">
        <v>45.65</v>
      </c>
      <c r="DH97" s="9" t="n">
        <v>39.59</v>
      </c>
      <c r="DI97" s="33">
        <f>PERCENTRANK(DH$2:INDEX($DH:$DH,LOOKUP(2,1/(ISNUMBER($A$2:$A$1048576)),ROW($A$2:$A$1048576))),DH97)</f>
        <v/>
      </c>
      <c r="DJ97" s="39">
        <f>SUM(DH97-DH$106)/DH$107</f>
        <v/>
      </c>
      <c r="DK97" s="9" t="n">
        <v>16.56</v>
      </c>
      <c r="DL97" s="9" t="n">
        <v>13.85</v>
      </c>
      <c r="DM97" s="9" t="n">
        <v>2.85</v>
      </c>
      <c r="DN97" s="9" t="n">
        <v>0.03</v>
      </c>
      <c r="DO97" s="9" t="n">
        <v>153</v>
      </c>
      <c r="DP97" s="9" t="n">
        <v>112.06</v>
      </c>
      <c r="DQ97" s="33">
        <f>PERCENTRANK(DP$2:INDEX($DP:$DP,LOOKUP(2,1/(ISNUMBER($A$2:$A$1048576)),ROW($A$2:$A$1048576))),DP97)</f>
        <v/>
      </c>
      <c r="DR97" s="40">
        <f>sum(DP97-DP$106)/DP$107</f>
        <v/>
      </c>
      <c r="DS97" s="9" t="n">
        <v>73.23999999999999</v>
      </c>
      <c r="DT97" s="9" t="n">
        <v>67.91</v>
      </c>
      <c r="DU97" s="9" t="n">
        <v>63.65</v>
      </c>
      <c r="DV97" s="9" t="n">
        <v>93.72</v>
      </c>
      <c r="DW97" s="9" t="n">
        <v>159.91</v>
      </c>
      <c r="DX97" s="9" t="n">
        <v>143.5</v>
      </c>
      <c r="DY97" s="9" t="n">
        <v>89.73999999999999</v>
      </c>
      <c r="DZ97" s="9" t="n">
        <v>47.44</v>
      </c>
      <c r="EA97" s="9" t="n">
        <v>26.26</v>
      </c>
      <c r="EB97" s="9" t="n">
        <v>55.36</v>
      </c>
      <c r="EC97" s="9" t="n">
        <v>46.94</v>
      </c>
      <c r="ED97" s="9" t="n">
        <v>30.65</v>
      </c>
      <c r="EE97" s="33">
        <f>PERCENTRANK(ED$2:INDEX($ED:$ED,LOOKUP(2,1/(ISNUMBER($A$2:$A$1048576)),ROW($A$2:$A$1048576))),ED97)</f>
        <v/>
      </c>
      <c r="EF97" s="40">
        <f>sum(ED97-ED$106)/ED$107</f>
        <v/>
      </c>
      <c r="EG97" s="9" t="n">
        <v>65.29000000000001</v>
      </c>
      <c r="EH97" s="9" t="n">
        <v>72.47</v>
      </c>
      <c r="EI97" s="9" t="n">
        <v>48.59</v>
      </c>
      <c r="EJ97" s="33">
        <f>PERCENTRANK(EI$2:INDEX($EI:$EI,LOOKUP(2,1/(ISNUMBER($A$2:$A$1048576)),ROW($A$2:$A$1048576))),EI97)</f>
        <v/>
      </c>
      <c r="EK97" s="40">
        <f>sum(EI97-EI$106)/EI$107</f>
        <v/>
      </c>
      <c r="EL97" s="9" t="n">
        <v>67.05</v>
      </c>
      <c r="EM97" s="9" t="n">
        <v>3.5</v>
      </c>
      <c r="EN97" s="9" t="n">
        <v>1.15</v>
      </c>
      <c r="EO97" s="9" t="n">
        <v>32.77</v>
      </c>
      <c r="EP97" s="9" t="n">
        <v>19.97</v>
      </c>
      <c r="EQ97" s="9" t="n">
        <v>18.29</v>
      </c>
      <c r="ER97" s="9" t="n">
        <v>91.61</v>
      </c>
      <c r="ES97" s="9" t="n">
        <v>9.119999999999999</v>
      </c>
      <c r="ET97" s="9" t="n">
        <v>16.98</v>
      </c>
      <c r="EU97" s="9" t="n">
        <v>4.16</v>
      </c>
      <c r="EV97" s="9" t="n">
        <v>11.15</v>
      </c>
      <c r="EW97" s="9" t="n">
        <v>18.14</v>
      </c>
      <c r="EX97" s="33">
        <f>PERCENTRANK(EW$2:INDEX($EW:$EW,LOOKUP(2,1/(ISNUMBER($A$2:$A$1048576)),ROW($A$2:$A$1048576))),EW97)</f>
        <v/>
      </c>
      <c r="EY97" s="38">
        <f>1-(EW97-EW$106)/EW$107</f>
        <v/>
      </c>
      <c r="EZ97" s="9" t="n">
        <v>19.64</v>
      </c>
      <c r="FA97" s="9" t="n">
        <v>10.94</v>
      </c>
      <c r="FB97" s="33">
        <f>PERCENTRANK(FA$2:INDEX($FA:$FA,LOOKUP(2,1/(ISNUMBER($A$2:$A$1048576)),ROW($A$2:$A$1048576))),FA97)</f>
        <v/>
      </c>
      <c r="FC97" s="39">
        <f>1-(FA97-FA$106)/FA$107</f>
        <v/>
      </c>
      <c r="FD97" s="9" t="n">
        <v>1.62</v>
      </c>
      <c r="FE97" s="9" t="n">
        <v>1.74</v>
      </c>
      <c r="FF97" s="33">
        <f>PERCENTRANK(FE$2:INDEX($FE:$FE,LOOKUP(2,1/(ISNUMBER($A$2:$A$1048576)),ROW($A$2:$A$1048576))),FE97)</f>
        <v/>
      </c>
      <c r="FG97" s="39">
        <f>1-(FE97-FE$106)/FE$107</f>
        <v/>
      </c>
      <c r="FH97" s="9" t="n">
        <v>13.62</v>
      </c>
      <c r="FI97" s="9" t="n">
        <v>4.62</v>
      </c>
      <c r="FJ97" s="9" t="n">
        <v>33.91</v>
      </c>
      <c r="FK97" s="9" t="n">
        <v>407.12</v>
      </c>
      <c r="FL97" s="33">
        <f>PERCENTRANK(FK$2:INDEX($FK:$FK,LOOKUP(2,1/(ISNUMBER($A$2:$A$1048576)),ROW($A$2:$A$1048576))),FK97)</f>
        <v/>
      </c>
      <c r="FM97" s="39">
        <f>SWA96-(FK97-FK$106)/FK$107</f>
        <v/>
      </c>
      <c r="FN97" s="9" t="n">
        <v>339.71</v>
      </c>
      <c r="FO97" s="9" t="n">
        <v>83.44</v>
      </c>
      <c r="FP97" s="9" t="n">
        <v>48.94</v>
      </c>
      <c r="FQ97" s="9" t="n">
        <v>100.68</v>
      </c>
      <c r="FR97" s="9" t="n">
        <v>13.56</v>
      </c>
      <c r="FS97" s="9" t="n">
        <v>35.29</v>
      </c>
      <c r="FT97" s="9" t="n">
        <v>51.82</v>
      </c>
      <c r="FU97" s="9" t="n">
        <v>83.41</v>
      </c>
      <c r="FV97" s="9" t="n">
        <v>30.03</v>
      </c>
      <c r="FW97" s="9" t="n">
        <v>37.88</v>
      </c>
      <c r="FX97" s="9" t="n">
        <v>15.5</v>
      </c>
      <c r="FY97" s="9" t="n">
        <v>204.15</v>
      </c>
      <c r="FZ97" s="9" t="n">
        <v>96.23999999999999</v>
      </c>
      <c r="GA97" s="9" t="n">
        <v>47.14</v>
      </c>
      <c r="GB97" s="9" t="n">
        <v>5.35</v>
      </c>
      <c r="GC97" s="9" t="n">
        <v>1.65</v>
      </c>
      <c r="GD97" s="9" t="n">
        <v>30.77</v>
      </c>
      <c r="GE97" s="9" t="n">
        <v>32.82</v>
      </c>
      <c r="GF97" s="9" t="n">
        <v>8.35</v>
      </c>
      <c r="GG97" s="9" t="n">
        <v>25.45</v>
      </c>
      <c r="GH97" s="9" t="n">
        <v>1.21</v>
      </c>
      <c r="GI97" s="9" t="n">
        <v>0.71</v>
      </c>
      <c r="GJ97" s="9" t="n">
        <v>58.54</v>
      </c>
      <c r="GK97" s="9" t="n">
        <v>25.41</v>
      </c>
      <c r="GL97" s="9" t="n">
        <v>3.76</v>
      </c>
      <c r="GM97" s="9" t="n">
        <v>14.81</v>
      </c>
      <c r="GN97" s="9" t="n">
        <v>4.68</v>
      </c>
      <c r="GO97" s="9" t="n">
        <v>1.56</v>
      </c>
      <c r="GP97" s="9" t="n">
        <v>33.33</v>
      </c>
      <c r="GQ97" s="9" t="n">
        <v>2.85</v>
      </c>
      <c r="GR97" s="9" t="n">
        <v>0.85</v>
      </c>
      <c r="GS97" s="9" t="n">
        <v>29.9</v>
      </c>
      <c r="GT97" s="9" t="n">
        <v>0.18</v>
      </c>
      <c r="GU97" s="9" t="n">
        <v>0.09</v>
      </c>
      <c r="GV97" s="9" t="n">
        <v>50</v>
      </c>
      <c r="GW97" s="9" t="n">
        <v>16.29</v>
      </c>
      <c r="GX97" s="9" t="n">
        <v>6.59</v>
      </c>
      <c r="GY97" s="9" t="n">
        <v>40.43</v>
      </c>
      <c r="GZ97" s="9" t="n">
        <v>6.26</v>
      </c>
      <c r="HA97" s="9" t="n">
        <v>8.619999999999999</v>
      </c>
      <c r="HB97" s="9" t="n">
        <v>27.12</v>
      </c>
      <c r="HC97" s="9" t="n">
        <v>5.03</v>
      </c>
      <c r="HD97" s="9" t="n">
        <v>9.26</v>
      </c>
      <c r="HE97" s="9" t="n">
        <v>21.59</v>
      </c>
      <c r="HF97" s="9" t="n">
        <v>72</v>
      </c>
      <c r="HG97" s="9" t="n">
        <v>27.15</v>
      </c>
      <c r="HH97" s="9" t="n">
        <v>37.7</v>
      </c>
      <c r="HI97" s="9" t="n">
        <v>1.68</v>
      </c>
      <c r="HJ97" s="9" t="n">
        <v>1.26</v>
      </c>
      <c r="HK97" s="9" t="n">
        <v>10</v>
      </c>
      <c r="HL97" s="9" t="n">
        <v>3.76</v>
      </c>
      <c r="HM97" s="9" t="n">
        <v>37.65</v>
      </c>
      <c r="HN97" s="9" t="n">
        <v>63.85</v>
      </c>
      <c r="HO97" s="9" t="n">
        <v>38.71</v>
      </c>
      <c r="HP97" s="9" t="n">
        <v>60.62</v>
      </c>
      <c r="HQ97" s="9" t="n">
        <v>35.29</v>
      </c>
      <c r="HR97" s="9" t="n">
        <v>16.94</v>
      </c>
      <c r="HS97" s="9" t="n">
        <v>48</v>
      </c>
      <c r="HT97" s="9" t="n">
        <v>3.53</v>
      </c>
      <c r="HU97" s="9" t="n">
        <v>1.53</v>
      </c>
      <c r="HV97" s="9" t="n">
        <v>43.33</v>
      </c>
      <c r="HW97" s="9" t="n">
        <v>37.35</v>
      </c>
      <c r="HX97" s="9" t="n">
        <v>11.62</v>
      </c>
      <c r="HY97" s="9" t="n">
        <v>14.62</v>
      </c>
      <c r="HZ97" s="9" t="n">
        <v>2.74</v>
      </c>
      <c r="IA97" s="9" t="n">
        <v>0.12</v>
      </c>
      <c r="IB97" s="9" t="n">
        <v>135.65</v>
      </c>
      <c r="IC97" s="9" t="n">
        <v>100.18</v>
      </c>
      <c r="ID97" s="9" t="n">
        <v>73.84999999999999</v>
      </c>
      <c r="IE97" s="9" t="n">
        <v>63.03</v>
      </c>
      <c r="IF97" s="9" t="n">
        <v>59.21</v>
      </c>
      <c r="IG97" s="9" t="n">
        <v>93.93000000000001</v>
      </c>
      <c r="IH97" s="9" t="n">
        <v>148.41</v>
      </c>
      <c r="II97" s="9" t="n">
        <v>131.79</v>
      </c>
      <c r="IJ97" s="9" t="n">
        <v>88.8</v>
      </c>
      <c r="IK97" s="9" t="n">
        <v>46.62</v>
      </c>
      <c r="IL97" s="9" t="n">
        <v>25.03</v>
      </c>
      <c r="IM97" s="9" t="n">
        <v>53.69</v>
      </c>
      <c r="IN97" s="9" t="n">
        <v>55.47</v>
      </c>
      <c r="IO97" s="9" t="n">
        <v>36.71</v>
      </c>
      <c r="IP97" s="9" t="n">
        <v>66.17</v>
      </c>
      <c r="IQ97" s="9" t="n">
        <v>70.81999999999999</v>
      </c>
      <c r="IR97" s="9" t="n">
        <v>55.62</v>
      </c>
      <c r="IS97" s="9" t="n">
        <v>78.53</v>
      </c>
      <c r="IT97" s="33">
        <f>PERCENTRANK(IS$2:INDEX($IS:$IS,LOOKUP(2,1/(ISNUMBER($A$2:$A$1048576)),ROW($A$2:$A$1048576))),IS97)</f>
        <v/>
      </c>
      <c r="IU97" s="39">
        <f>1-(IS97-IS$106)/IS$107</f>
        <v/>
      </c>
      <c r="IV97" s="9" t="n">
        <v>3.35</v>
      </c>
      <c r="IW97" s="9" t="n">
        <v>1.35</v>
      </c>
      <c r="IX97" s="9" t="n">
        <v>40.35</v>
      </c>
      <c r="IY97" s="9" t="n">
        <v>22.15</v>
      </c>
      <c r="IZ97" s="9" t="n">
        <v>19.35</v>
      </c>
      <c r="JA97" s="9" t="n">
        <v>87.38</v>
      </c>
      <c r="JB97" s="9" t="n">
        <v>7.29</v>
      </c>
      <c r="JC97" s="9" t="n">
        <v>16.38</v>
      </c>
      <c r="JD97" s="9" t="n">
        <v>3.84</v>
      </c>
      <c r="JE97" s="9" t="n">
        <v>11.99</v>
      </c>
      <c r="JF97" s="9" t="n">
        <v>17.66</v>
      </c>
      <c r="JG97" s="9" t="n">
        <v>20.21</v>
      </c>
      <c r="JH97" s="9" t="n">
        <v>10.41</v>
      </c>
    </row>
    <row r="98">
      <c r="A98" s="12" t="n">
        <v>2023</v>
      </c>
      <c r="B98" s="31" t="inlineStr">
        <is>
          <t>El Paso Locomotive</t>
        </is>
      </c>
      <c r="C98" s="12" t="n">
        <v>47</v>
      </c>
      <c r="D98" s="5">
        <f>(C98-AVERAGE($C$2:INDEX($C:$C,LOOKUP(2,1/(ISNUMBER($A$2:$A$1048576)),ROW($A$2:$A$1048576)))))/_xlfn.STDEV.P($C$2:INDEX($C:$C,LOOKUP(2,1/(ISNUMBER($A$2:$A$1048576)),ROW($A$2:$A$1048576))))</f>
        <v/>
      </c>
      <c r="E98" s="12" t="n">
        <v>7</v>
      </c>
      <c r="F98" s="6">
        <f>-E98</f>
        <v/>
      </c>
      <c r="G98" s="7">
        <f>(F98-AVERAGE($F$2:INDEX($F:$F,LOOKUP(2,1/(ISNUMBER($A$2:$A$1048576)),ROW($A$2:$A$1048576)))))/_xlfn.STDEV.P($F$2:INDEX($F:$F,LOOKUP(2,1/(ISNUMBER($A$2:$A$1048576)),ROW($A$2:$A$1048576))))</f>
        <v/>
      </c>
      <c r="H98" s="32">
        <f>sum(0.5*D98)+(0.5*G98)</f>
        <v/>
      </c>
      <c r="I98" s="12" t="inlineStr">
        <is>
          <t>West</t>
        </is>
      </c>
      <c r="J98" s="10">
        <f>sum(L98*L$105)+(N98*N$105)+(P98*P$105)+(T98*R$105)</f>
        <v/>
      </c>
      <c r="K98" s="33">
        <f>PERCENTRANK(J$2:INDEX($J:$J,LOOKUP(2,1/(ISNUMBER($A$2:$A$1048576)),ROW($A$2:$A$1048576))),J98)</f>
        <v/>
      </c>
      <c r="L98" s="10">
        <f>sum(AA98*0.66)+(AD98*0.55)+(AG98*0.59)+(CG98*0.51)+(CL98*0.6)+(EY98*0.31)</f>
        <v/>
      </c>
      <c r="M98" s="33">
        <f>PERCENTRANK(L$2:INDEX($L:$L,LOOKUP(2,1/(ISNUMBER($A$2:$A$1048576)),ROW($A$2:$A$1048576))),L98)</f>
        <v/>
      </c>
      <c r="N98" s="10">
        <f>sum(CT98*0.57)+(CW98*0.71)+(DJ98*0.08)+(FC98*0.33)+(FG98*0.69)+(FM98*0.26)+(IU98*0.54)+(AU98*0.4)</f>
        <v/>
      </c>
      <c r="O98" s="33">
        <f>PERCENTRANK(N$2:INDEX($N:$N,LOOKUP(2,1/(ISNUMBER($A$2:$A$1048576)),ROW($A$2:$A$1048576))),N98)</f>
        <v/>
      </c>
      <c r="P98" s="10">
        <f>sum(BG98*0.51)+(CD98*0.51)+(DR98*0.11)+(EF98*0.42)+(EK98*0.44)+(W98*0.6)</f>
        <v/>
      </c>
      <c r="Q98" s="33">
        <f>PERCENTRANK(P$2:INDEX($P:$P,LOOKUP(2,1/(ISNUMBER($A$2:$A$1048576)),ROW($A$2:$A$1048576))),P98)</f>
        <v/>
      </c>
      <c r="R98" s="10">
        <f>sum(Y98-FE98)</f>
        <v/>
      </c>
      <c r="S98" s="33">
        <f>PERCENTRANK(R$2:INDEX($R:$R,LOOKUP(2,1/(ISNUMBER($A$2:$A$1048576)),ROW($A$2:$A$1048576))),R98)</f>
        <v/>
      </c>
      <c r="T98" s="34">
        <f>sum(R98-R$106)/R$107</f>
        <v/>
      </c>
      <c r="U98" s="35">
        <f>sum(Y98/AI98)*100</f>
        <v/>
      </c>
      <c r="V98" s="33">
        <f>PERCENTRANK(U$2:INDEX($U:$U,LOOKUP(2,1/(ISNUMBER($A$2:$A$1048576)),ROW($A$2:$A$1048576))),U98)</f>
        <v/>
      </c>
      <c r="W98" s="36">
        <f>sum(U98-U$106)/U$107</f>
        <v/>
      </c>
      <c r="X98" s="9" t="n">
        <v>1.17</v>
      </c>
      <c r="Y98" s="9" t="n">
        <v>1.12</v>
      </c>
      <c r="Z98" s="33">
        <f>PERCENTRANK(Y$2:INDEX($Y:$Y,LOOKUP(2,1/(ISNUMBER($A$2:$A$1048576)),ROW($A$2:$A$1048576))),Y98)</f>
        <v/>
      </c>
      <c r="AA98" s="37">
        <f>sum(Y98-Y$106)/Y$107</f>
        <v/>
      </c>
      <c r="AB98" s="9" t="n">
        <v>11.2</v>
      </c>
      <c r="AC98" s="33">
        <f>PERCENTRANK(AB$2:INDEX($AB:$AB,LOOKUP(2,1/(ISNUMBER($A$2:$A$1048576)),ROW($A$2:$A$1048576))),AB98)</f>
        <v/>
      </c>
      <c r="AD98" s="38">
        <f>sum(AB98-AB$106)/AB$107</f>
        <v/>
      </c>
      <c r="AE98" s="9" t="n">
        <v>3.86</v>
      </c>
      <c r="AF98" s="33">
        <f>PERCENTRANK(AE$2:INDEX($AE:$AE,LOOKUP(2,1/(ISNUMBER($A$2:$A$1048576)),ROW($A$2:$A$1048576))),AE98)</f>
        <v/>
      </c>
      <c r="AG98" s="38">
        <f>sum(AE98-AE$106)/AE$107</f>
        <v/>
      </c>
      <c r="AH98" s="9" t="n">
        <v>34.44</v>
      </c>
      <c r="AI98" s="9" t="n">
        <v>422.31</v>
      </c>
      <c r="AJ98" s="9" t="n">
        <v>361.2</v>
      </c>
      <c r="AK98" s="9" t="n">
        <v>85.53</v>
      </c>
      <c r="AL98" s="9" t="n">
        <v>50.52</v>
      </c>
      <c r="AM98" s="9" t="n">
        <v>92.83</v>
      </c>
      <c r="AN98" s="9" t="n">
        <v>18.91</v>
      </c>
      <c r="AO98" s="9" t="n">
        <v>38.51</v>
      </c>
      <c r="AP98" s="9" t="n">
        <v>35.4</v>
      </c>
      <c r="AQ98" s="9" t="n">
        <v>65.97</v>
      </c>
      <c r="AR98" s="9" t="n">
        <v>36.74</v>
      </c>
      <c r="AS98" s="9" t="n">
        <v>21.74</v>
      </c>
      <c r="AT98" s="33">
        <f>PERCENTRANK(AS$2:INDEX($AS:$AS,LOOKUP(2,1/(ISNUMBER($A$2:$A$1048576)),ROW($A$2:$A$1048576))),AS98)</f>
        <v/>
      </c>
      <c r="AU98" s="39">
        <f>SUM(AS98-AS$106)/AS$107</f>
        <v/>
      </c>
      <c r="AV98" s="9" t="n">
        <v>7.49</v>
      </c>
      <c r="AW98" s="33">
        <f>PERCENTRANK(AV$2:INDEX($AV:$AV,LOOKUP(2,1/(ISNUMBER($A$2:$A$1048576)),ROW($A$2:$A$1048576))),AV98)</f>
        <v/>
      </c>
      <c r="AX98" s="9" t="n">
        <v>172.11</v>
      </c>
      <c r="AY98" s="9" t="n">
        <v>79.06</v>
      </c>
      <c r="AZ98" s="9" t="n">
        <v>45.93</v>
      </c>
      <c r="BA98" s="9" t="n">
        <v>5.43</v>
      </c>
      <c r="BB98" s="9" t="n">
        <v>1.6</v>
      </c>
      <c r="BC98" s="9" t="n">
        <v>29.47</v>
      </c>
      <c r="BD98" s="9" t="n">
        <v>20.43</v>
      </c>
      <c r="BE98" s="9" t="n">
        <v>5.97</v>
      </c>
      <c r="BF98" s="33">
        <f>PERCENTRANK(BE$2:INDEX($BE:$BE,LOOKUP(2,1/(ISNUMBER($A$2:$A$1048576)),ROW($A$2:$A$1048576))),BE98)</f>
        <v/>
      </c>
      <c r="BG98" s="40">
        <f>sum(BE98-BE$106)/BE$107</f>
        <v/>
      </c>
      <c r="BH98" s="9" t="n">
        <v>29.23</v>
      </c>
      <c r="BI98" s="9" t="n">
        <v>1.54</v>
      </c>
      <c r="BJ98" s="9" t="n">
        <v>0.83</v>
      </c>
      <c r="BK98" s="9" t="n">
        <v>53.7</v>
      </c>
      <c r="BL98" s="9" t="n">
        <v>28.89</v>
      </c>
      <c r="BM98" s="9" t="n">
        <v>3.63</v>
      </c>
      <c r="BN98" s="9" t="n">
        <v>12.56</v>
      </c>
      <c r="BO98" s="9" t="n">
        <v>4.29</v>
      </c>
      <c r="BP98" s="9" t="n">
        <v>1.29</v>
      </c>
      <c r="BQ98" s="9" t="n">
        <v>30</v>
      </c>
      <c r="BR98" s="9" t="n">
        <v>2.26</v>
      </c>
      <c r="BS98" s="9" t="n">
        <v>0.4</v>
      </c>
      <c r="BT98" s="9" t="n">
        <v>17.72</v>
      </c>
      <c r="BU98" s="9" t="n">
        <v>0.11</v>
      </c>
      <c r="BV98" s="9" t="n">
        <v>0.09</v>
      </c>
      <c r="BW98" s="9" t="n">
        <v>75</v>
      </c>
      <c r="BX98" s="9" t="n">
        <v>10.43</v>
      </c>
      <c r="BY98" s="9" t="n">
        <v>3.31</v>
      </c>
      <c r="BZ98" s="9" t="n">
        <v>31.78</v>
      </c>
      <c r="CA98" s="9" t="n">
        <v>3.03</v>
      </c>
      <c r="CB98" s="9" t="n">
        <v>4.54</v>
      </c>
      <c r="CC98" s="33">
        <f>PERCENTRANK(CD$2:INDEX($CD:$CD,LOOKUP(2,1/(ISNUMBER($A$2:$A$1048576)),ROW($A$2:$A$1048576))),CD98)</f>
        <v/>
      </c>
      <c r="CD98" s="40">
        <f>sum(CB98-CB$106)/CB$107</f>
        <v/>
      </c>
      <c r="CE98" s="9" t="n">
        <v>17.63</v>
      </c>
      <c r="CF98" s="33">
        <f>PERCENTRANK(CE$2:INDEX($CE:$CE,LOOKUP(2,1/(ISNUMBER($A$2:$A$1048576)),ROW($A$2:$A$1048576))),CE98)</f>
        <v/>
      </c>
      <c r="CG98" s="38">
        <f>sum(CE98-CE$106)/CE$107</f>
        <v/>
      </c>
      <c r="CH98" s="9" t="n">
        <v>3.89</v>
      </c>
      <c r="CI98" s="9" t="n">
        <v>6.03</v>
      </c>
      <c r="CJ98" s="9" t="n">
        <v>13.4</v>
      </c>
      <c r="CK98" s="33">
        <f>PERCENTRANK(CJ$2:INDEX($CJ:$CJ,LOOKUP(2,1/(ISNUMBER($A$2:$A$1048576)),ROW($A$2:$A$1048576))),CJ98)</f>
        <v/>
      </c>
      <c r="CL98" s="38">
        <f>sum(CJ98-CJ$106)/CJ$107</f>
        <v/>
      </c>
      <c r="CM98" s="9" t="n">
        <v>65.48999999999999</v>
      </c>
      <c r="CN98" s="9" t="n">
        <v>26.89</v>
      </c>
      <c r="CO98" s="9" t="n">
        <v>41.06</v>
      </c>
      <c r="CP98" s="9" t="n">
        <v>0.83</v>
      </c>
      <c r="CQ98" s="9" t="n">
        <v>1.49</v>
      </c>
      <c r="CR98" s="9" t="n">
        <v>11.37</v>
      </c>
      <c r="CS98" s="33">
        <f>PERCENTRANK(CR$2:INDEX($CR:$CR,LOOKUP(2,1/(ISNUMBER($A$2:$A$1048576)),ROW($A$2:$A$1048576))),CR98)</f>
        <v/>
      </c>
      <c r="CT98" s="39">
        <f>1-(CR98-CR$106)/CR$107</f>
        <v/>
      </c>
      <c r="CU98" s="9" t="n">
        <v>4.63</v>
      </c>
      <c r="CV98" s="33">
        <f>PERCENTRANK(CU$2:INDEX($CU:$CU,LOOKUP(2,1/(ISNUMBER($A$2:$A$1048576)),ROW($A$2:$A$1048576))),CU98)</f>
        <v/>
      </c>
      <c r="CW98" s="39">
        <f>1-(CU98-CU$106)/CU$107</f>
        <v/>
      </c>
      <c r="CX98" s="9" t="n">
        <v>40.7</v>
      </c>
      <c r="CY98" s="9" t="n">
        <v>56.11</v>
      </c>
      <c r="CZ98" s="9" t="n">
        <v>31.37</v>
      </c>
      <c r="DA98" s="9" t="n">
        <v>55.91</v>
      </c>
      <c r="DB98" s="9" t="n">
        <v>24.77</v>
      </c>
      <c r="DC98" s="9" t="n">
        <v>9.91</v>
      </c>
      <c r="DD98" s="9" t="n">
        <v>40.02</v>
      </c>
      <c r="DE98" s="9" t="n">
        <v>6.26</v>
      </c>
      <c r="DF98" s="9" t="n">
        <v>3.2</v>
      </c>
      <c r="DG98" s="9" t="n">
        <v>51.14</v>
      </c>
      <c r="DH98" s="9" t="n">
        <v>35.8</v>
      </c>
      <c r="DI98" s="33">
        <f>PERCENTRANK(DH$2:INDEX($DH:$DH,LOOKUP(2,1/(ISNUMBER($A$2:$A$1048576)),ROW($A$2:$A$1048576))),DH98)</f>
        <v/>
      </c>
      <c r="DJ98" s="39">
        <f>SUM(DH98-DH$106)/DH$107</f>
        <v/>
      </c>
      <c r="DK98" s="9" t="n">
        <v>14.09</v>
      </c>
      <c r="DL98" s="9" t="n">
        <v>13.17</v>
      </c>
      <c r="DM98" s="9" t="n">
        <v>2.86</v>
      </c>
      <c r="DN98" s="9" t="n">
        <v>0.03</v>
      </c>
      <c r="DO98" s="9" t="n">
        <v>134.37</v>
      </c>
      <c r="DP98" s="9" t="n">
        <v>101.11</v>
      </c>
      <c r="DQ98" s="33">
        <f>PERCENTRANK(DP$2:INDEX($DP:$DP,LOOKUP(2,1/(ISNUMBER($A$2:$A$1048576)),ROW($A$2:$A$1048576))),DP98)</f>
        <v/>
      </c>
      <c r="DR98" s="40">
        <f>sum(DP98-DP$106)/DP$107</f>
        <v/>
      </c>
      <c r="DS98" s="9" t="n">
        <v>75.25</v>
      </c>
      <c r="DT98" s="9" t="n">
        <v>70.54000000000001</v>
      </c>
      <c r="DU98" s="9" t="n">
        <v>66.91</v>
      </c>
      <c r="DV98" s="9" t="n">
        <v>94.86</v>
      </c>
      <c r="DW98" s="9" t="n">
        <v>155.23</v>
      </c>
      <c r="DX98" s="9" t="n">
        <v>140.71</v>
      </c>
      <c r="DY98" s="9" t="n">
        <v>90.65000000000001</v>
      </c>
      <c r="DZ98" s="9" t="n">
        <v>46.91</v>
      </c>
      <c r="EA98" s="9" t="n">
        <v>25.46</v>
      </c>
      <c r="EB98" s="9" t="n">
        <v>54.26</v>
      </c>
      <c r="EC98" s="9" t="n">
        <v>40.71</v>
      </c>
      <c r="ED98" s="9" t="n">
        <v>26.97</v>
      </c>
      <c r="EE98" s="33">
        <f>PERCENTRANK(ED$2:INDEX($ED:$ED,LOOKUP(2,1/(ISNUMBER($A$2:$A$1048576)),ROW($A$2:$A$1048576))),ED98)</f>
        <v/>
      </c>
      <c r="EF98" s="40">
        <f>sum(ED98-ED$106)/ED$107</f>
        <v/>
      </c>
      <c r="EG98" s="9" t="n">
        <v>66.25</v>
      </c>
      <c r="EH98" s="9" t="n">
        <v>63.89</v>
      </c>
      <c r="EI98" s="9" t="n">
        <v>43.26</v>
      </c>
      <c r="EJ98" s="33">
        <f>PERCENTRANK(EI$2:INDEX($EI:$EI,LOOKUP(2,1/(ISNUMBER($A$2:$A$1048576)),ROW($A$2:$A$1048576))),EI98)</f>
        <v/>
      </c>
      <c r="EK98" s="40">
        <f>sum(EI98-EI$106)/EI$107</f>
        <v/>
      </c>
      <c r="EL98" s="9" t="n">
        <v>67.70999999999999</v>
      </c>
      <c r="EM98" s="9" t="n">
        <v>2.2</v>
      </c>
      <c r="EN98" s="9" t="n">
        <v>1.2</v>
      </c>
      <c r="EO98" s="9" t="n">
        <v>54.55</v>
      </c>
      <c r="EP98" s="9" t="n">
        <v>19.6</v>
      </c>
      <c r="EQ98" s="9" t="n">
        <v>17.51</v>
      </c>
      <c r="ER98" s="9" t="n">
        <v>89.36</v>
      </c>
      <c r="ES98" s="9" t="n">
        <v>9.109999999999999</v>
      </c>
      <c r="ET98" s="9" t="n">
        <v>16.24</v>
      </c>
      <c r="EU98" s="9" t="n">
        <v>4.27</v>
      </c>
      <c r="EV98" s="9" t="n">
        <v>11.48</v>
      </c>
      <c r="EW98" s="9" t="n">
        <v>20.52</v>
      </c>
      <c r="EX98" s="33">
        <f>PERCENTRANK(EW$2:INDEX($EW:$EW,LOOKUP(2,1/(ISNUMBER($A$2:$A$1048576)),ROW($A$2:$A$1048576))),EW98)</f>
        <v/>
      </c>
      <c r="EY98" s="38">
        <f>1-(EW98-EW$106)/EW$107</f>
        <v/>
      </c>
      <c r="EZ98" s="9" t="n">
        <v>20</v>
      </c>
      <c r="FA98" s="9" t="n">
        <v>13.99</v>
      </c>
      <c r="FB98" s="33">
        <f>PERCENTRANK(FA$2:INDEX($FA:$FA,LOOKUP(2,1/(ISNUMBER($A$2:$A$1048576)),ROW($A$2:$A$1048576))),FA98)</f>
        <v/>
      </c>
      <c r="FC98" s="39">
        <f>1-(FA98-FA$106)/FA$107</f>
        <v/>
      </c>
      <c r="FD98" s="9" t="n">
        <v>1.49</v>
      </c>
      <c r="FE98" s="9" t="n">
        <v>1.37</v>
      </c>
      <c r="FF98" s="33">
        <f>PERCENTRANK(FE$2:INDEX($FE:$FE,LOOKUP(2,1/(ISNUMBER($A$2:$A$1048576)),ROW($A$2:$A$1048576))),FE98)</f>
        <v/>
      </c>
      <c r="FG98" s="39">
        <f>1-(FE98-FE$106)/FE$107</f>
        <v/>
      </c>
      <c r="FH98" s="9" t="n">
        <v>11.37</v>
      </c>
      <c r="FI98" s="9" t="n">
        <v>4.29</v>
      </c>
      <c r="FJ98" s="9" t="n">
        <v>37.69</v>
      </c>
      <c r="FK98" s="9" t="n">
        <v>419</v>
      </c>
      <c r="FL98" s="33">
        <f>PERCENTRANK(FK$2:INDEX($FK:$FK,LOOKUP(2,1/(ISNUMBER($A$2:$A$1048576)),ROW($A$2:$A$1048576))),FK98)</f>
        <v/>
      </c>
      <c r="FM98" s="39">
        <f>SWA97-(FK98-FK$106)/FK$107</f>
        <v/>
      </c>
      <c r="FN98" s="9" t="n">
        <v>351.03</v>
      </c>
      <c r="FO98" s="9" t="n">
        <v>83.78</v>
      </c>
      <c r="FP98" s="9" t="n">
        <v>49.48</v>
      </c>
      <c r="FQ98" s="9" t="n">
        <v>86.94</v>
      </c>
      <c r="FR98" s="9" t="n">
        <v>13.2</v>
      </c>
      <c r="FS98" s="9" t="n">
        <v>26</v>
      </c>
      <c r="FT98" s="9" t="n">
        <v>47.74</v>
      </c>
      <c r="FU98" s="9" t="n">
        <v>69.83</v>
      </c>
      <c r="FV98" s="9" t="n">
        <v>28.14</v>
      </c>
      <c r="FW98" s="9" t="n">
        <v>31.54</v>
      </c>
      <c r="FX98" s="9" t="n">
        <v>10.14</v>
      </c>
      <c r="FY98" s="9" t="n">
        <v>172.11</v>
      </c>
      <c r="FZ98" s="9" t="n">
        <v>85.70999999999999</v>
      </c>
      <c r="GA98" s="9" t="n">
        <v>49.8</v>
      </c>
      <c r="GB98" s="9" t="n">
        <v>4.74</v>
      </c>
      <c r="GC98" s="9" t="n">
        <v>1.43</v>
      </c>
      <c r="GD98" s="9" t="n">
        <v>30.12</v>
      </c>
      <c r="GE98" s="9" t="n">
        <v>28.66</v>
      </c>
      <c r="GF98" s="9" t="n">
        <v>6.89</v>
      </c>
      <c r="GG98" s="9" t="n">
        <v>24.03</v>
      </c>
      <c r="GH98" s="9" t="n">
        <v>1.17</v>
      </c>
      <c r="GI98" s="9" t="n">
        <v>0.43</v>
      </c>
      <c r="GJ98" s="9" t="n">
        <v>36.59</v>
      </c>
      <c r="GK98" s="9" t="n">
        <v>25.17</v>
      </c>
      <c r="GL98" s="9" t="n">
        <v>3.31</v>
      </c>
      <c r="GM98" s="9" t="n">
        <v>13.17</v>
      </c>
      <c r="GN98" s="9" t="n">
        <v>4.54</v>
      </c>
      <c r="GO98" s="9" t="n">
        <v>1.46</v>
      </c>
      <c r="GP98" s="9" t="n">
        <v>32.08</v>
      </c>
      <c r="GQ98" s="9" t="n">
        <v>2.91</v>
      </c>
      <c r="GR98" s="9" t="n">
        <v>0.63</v>
      </c>
      <c r="GS98" s="9" t="n">
        <v>21.57</v>
      </c>
      <c r="GT98" s="9" t="n">
        <v>0.2</v>
      </c>
      <c r="GU98" s="9" t="n">
        <v>0.11</v>
      </c>
      <c r="GV98" s="9" t="n">
        <v>57.14</v>
      </c>
      <c r="GW98" s="9" t="n">
        <v>15.4</v>
      </c>
      <c r="GX98" s="9" t="n">
        <v>5</v>
      </c>
      <c r="GY98" s="9" t="n">
        <v>32.47</v>
      </c>
      <c r="GZ98" s="9" t="n">
        <v>4.97</v>
      </c>
      <c r="HA98" s="9" t="n">
        <v>5.89</v>
      </c>
      <c r="HB98" s="9" t="n">
        <v>24.57</v>
      </c>
      <c r="HC98" s="9" t="n">
        <v>3.06</v>
      </c>
      <c r="HD98" s="9" t="n">
        <v>9.34</v>
      </c>
      <c r="HE98" s="9" t="n">
        <v>16.69</v>
      </c>
      <c r="HF98" s="9" t="n">
        <v>56.11</v>
      </c>
      <c r="HG98" s="9" t="n">
        <v>24.74</v>
      </c>
      <c r="HH98" s="9" t="n">
        <v>44.09</v>
      </c>
      <c r="HI98" s="9" t="n">
        <v>2.77</v>
      </c>
      <c r="HJ98" s="9" t="n">
        <v>1.17</v>
      </c>
      <c r="HK98" s="9" t="n">
        <v>11.2</v>
      </c>
      <c r="HL98" s="9" t="n">
        <v>4.03</v>
      </c>
      <c r="HM98" s="9" t="n">
        <v>35.97</v>
      </c>
      <c r="HN98" s="9" t="n">
        <v>65.48999999999999</v>
      </c>
      <c r="HO98" s="9" t="n">
        <v>38.6</v>
      </c>
      <c r="HP98" s="9" t="n">
        <v>58.94</v>
      </c>
      <c r="HQ98" s="9" t="n">
        <v>24.77</v>
      </c>
      <c r="HR98" s="9" t="n">
        <v>11.91</v>
      </c>
      <c r="HS98" s="9" t="n">
        <v>48.1</v>
      </c>
      <c r="HT98" s="9" t="n">
        <v>3.63</v>
      </c>
      <c r="HU98" s="9" t="n">
        <v>1.91</v>
      </c>
      <c r="HV98" s="9" t="n">
        <v>52.76</v>
      </c>
      <c r="HW98" s="9" t="n">
        <v>33.31</v>
      </c>
      <c r="HX98" s="9" t="n">
        <v>11.97</v>
      </c>
      <c r="HY98" s="9" t="n">
        <v>14.66</v>
      </c>
      <c r="HZ98" s="9" t="n">
        <v>2.09</v>
      </c>
      <c r="IA98" s="9" t="n">
        <v>0.06</v>
      </c>
      <c r="IB98" s="9" t="n">
        <v>131.89</v>
      </c>
      <c r="IC98" s="9" t="n">
        <v>95.66</v>
      </c>
      <c r="ID98" s="9" t="n">
        <v>72.53</v>
      </c>
      <c r="IE98" s="9" t="n">
        <v>59.74</v>
      </c>
      <c r="IF98" s="9" t="n">
        <v>56.49</v>
      </c>
      <c r="IG98" s="9" t="n">
        <v>94.55</v>
      </c>
      <c r="IH98" s="9" t="n">
        <v>168.89</v>
      </c>
      <c r="II98" s="9" t="n">
        <v>150.6</v>
      </c>
      <c r="IJ98" s="9" t="n">
        <v>89.17</v>
      </c>
      <c r="IK98" s="9" t="n">
        <v>43.94</v>
      </c>
      <c r="IL98" s="9" t="n">
        <v>22.6</v>
      </c>
      <c r="IM98" s="9" t="n">
        <v>51.43</v>
      </c>
      <c r="IN98" s="9" t="n">
        <v>58.83</v>
      </c>
      <c r="IO98" s="9" t="n">
        <v>38.03</v>
      </c>
      <c r="IP98" s="9" t="n">
        <v>64.64</v>
      </c>
      <c r="IQ98" s="9" t="n">
        <v>66.03</v>
      </c>
      <c r="IR98" s="9" t="n">
        <v>50.91</v>
      </c>
      <c r="IS98" s="9" t="n">
        <v>77.11</v>
      </c>
      <c r="IT98" s="33">
        <f>PERCENTRANK(IS$2:INDEX($IS:$IS,LOOKUP(2,1/(ISNUMBER($A$2:$A$1048576)),ROW($A$2:$A$1048576))),IS98)</f>
        <v/>
      </c>
      <c r="IU98" s="39">
        <f>1-(IS98-IS$106)/IS$107</f>
        <v/>
      </c>
      <c r="IV98" s="9" t="n">
        <v>3.86</v>
      </c>
      <c r="IW98" s="9" t="n">
        <v>1.31</v>
      </c>
      <c r="IX98" s="9" t="n">
        <v>34.07</v>
      </c>
      <c r="IY98" s="9" t="n">
        <v>19.51</v>
      </c>
      <c r="IZ98" s="9" t="n">
        <v>17.97</v>
      </c>
      <c r="JA98" s="9" t="n">
        <v>92.09</v>
      </c>
      <c r="JB98" s="9" t="n">
        <v>7.83</v>
      </c>
      <c r="JC98" s="9" t="n">
        <v>16.33</v>
      </c>
      <c r="JD98" s="9" t="n">
        <v>4.29</v>
      </c>
      <c r="JE98" s="9" t="n">
        <v>11.11</v>
      </c>
      <c r="JF98" s="9" t="n">
        <v>18.62</v>
      </c>
      <c r="JG98" s="9" t="n">
        <v>20.82</v>
      </c>
      <c r="JH98" s="9" t="n">
        <v>11.12</v>
      </c>
    </row>
    <row r="99">
      <c r="A99" s="12" t="n">
        <v>2025</v>
      </c>
      <c r="B99" s="31" t="inlineStr">
        <is>
          <t>Las Vegas Lights</t>
        </is>
      </c>
      <c r="C99" s="12" t="n">
        <v>27</v>
      </c>
      <c r="D99" s="5">
        <f>(C99-AVERAGE($C$2:INDEX($C:$C,LOOKUP(2,1/(ISNUMBER($A$2:$A$1048576)),ROW($A$2:$A$1048576)))))/_xlfn.STDEV.P($C$2:INDEX($C:$C,LOOKUP(2,1/(ISNUMBER($A$2:$A$1048576)),ROW($A$2:$A$1048576))))</f>
        <v/>
      </c>
      <c r="E99" s="12" t="n">
        <v>12</v>
      </c>
      <c r="F99" s="6">
        <f>-E99</f>
        <v/>
      </c>
      <c r="G99" s="7">
        <f>(F99-AVERAGE($F$2:INDEX($F:$F,LOOKUP(2,1/(ISNUMBER($A$2:$A$1048576)),ROW($A$2:$A$1048576)))))/_xlfn.STDEV.P($F$2:INDEX($F:$F,LOOKUP(2,1/(ISNUMBER($A$2:$A$1048576)),ROW($A$2:$A$1048576))))</f>
        <v/>
      </c>
      <c r="H99" s="32">
        <f>sum(0.5*D99)+(0.5*G99)</f>
        <v/>
      </c>
      <c r="I99" s="12" t="inlineStr">
        <is>
          <t>West</t>
        </is>
      </c>
      <c r="J99" s="10">
        <f>sum(L99*L$105)+(N99*N$105)+(P99*P$105)+(T99*R$105)</f>
        <v/>
      </c>
      <c r="K99" s="33">
        <f>PERCENTRANK(J$2:INDEX($J:$J,LOOKUP(2,1/(ISNUMBER($A$2:$A$1048576)),ROW($A$2:$A$1048576))),J99)</f>
        <v/>
      </c>
      <c r="L99" s="10">
        <f>sum(AA99*0.66)+(AD99*0.55)+(AG99*0.59)+(CG99*0.51)+(CL99*0.6)+(EY99*0.31)</f>
        <v/>
      </c>
      <c r="M99" s="33">
        <f>PERCENTRANK(L$2:INDEX($L:$L,LOOKUP(2,1/(ISNUMBER($A$2:$A$1048576)),ROW($A$2:$A$1048576))),L99)</f>
        <v/>
      </c>
      <c r="N99" s="10">
        <f>sum(CT99*0.57)+(CW99*0.71)+(DJ99*0.08)+(FC99*0.33)+(FG99*0.69)+(FM99*0.26)+(IU99*0.54)+(AU99*0.4)</f>
        <v/>
      </c>
      <c r="O99" s="33">
        <f>PERCENTRANK(N$2:INDEX($N:$N,LOOKUP(2,1/(ISNUMBER($A$2:$A$1048576)),ROW($A$2:$A$1048576))),N99)</f>
        <v/>
      </c>
      <c r="P99" s="10">
        <f>sum(BG99*0.51)+(CD99*0.51)+(DR99*0.11)+(EF99*0.42)+(EK99*0.44)+(W99*0.6)</f>
        <v/>
      </c>
      <c r="Q99" s="33">
        <f>PERCENTRANK(P$2:INDEX($P:$P,LOOKUP(2,1/(ISNUMBER($A$2:$A$1048576)),ROW($A$2:$A$1048576))),P99)</f>
        <v/>
      </c>
      <c r="R99" s="10">
        <f>sum(Y99-FE99)</f>
        <v/>
      </c>
      <c r="S99" s="33">
        <f>PERCENTRANK(R$2:INDEX($R:$R,LOOKUP(2,1/(ISNUMBER($A$2:$A$1048576)),ROW($A$2:$A$1048576))),R99)</f>
        <v/>
      </c>
      <c r="T99" s="34">
        <f>sum(R99-R$106)/R$107</f>
        <v/>
      </c>
      <c r="U99" s="35">
        <f>sum(Y99/AI99)*100</f>
        <v/>
      </c>
      <c r="V99" s="33">
        <f>PERCENTRANK(U$2:INDEX($U:$U,LOOKUP(2,1/(ISNUMBER($A$2:$A$1048576)),ROW($A$2:$A$1048576))),U99)</f>
        <v/>
      </c>
      <c r="W99" s="36">
        <f>sum(U99-U$106)/U$107</f>
        <v/>
      </c>
      <c r="X99" s="9" t="n">
        <v>0.77</v>
      </c>
      <c r="Y99" s="9" t="n">
        <v>0.82</v>
      </c>
      <c r="Z99" s="33">
        <f>PERCENTRANK(Y$2:INDEX($Y:$Y,LOOKUP(2,1/(ISNUMBER($A$2:$A$1048576)),ROW($A$2:$A$1048576))),Y99)</f>
        <v/>
      </c>
      <c r="AA99" s="37">
        <f>sum(Y99-Y$106)/Y$107</f>
        <v/>
      </c>
      <c r="AB99" s="9" t="n">
        <v>8.77</v>
      </c>
      <c r="AC99" s="33">
        <f>PERCENTRANK(AB$2:INDEX($AB:$AB,LOOKUP(2,1/(ISNUMBER($A$2:$A$1048576)),ROW($A$2:$A$1048576))),AB99)</f>
        <v/>
      </c>
      <c r="AD99" s="38">
        <f>sum(AB99-AB$106)/AB$107</f>
        <v/>
      </c>
      <c r="AE99" s="9" t="n">
        <v>2.97</v>
      </c>
      <c r="AF99" s="33">
        <f>PERCENTRANK(AE$2:INDEX($AE:$AE,LOOKUP(2,1/(ISNUMBER($A$2:$A$1048576)),ROW($A$2:$A$1048576))),AE99)</f>
        <v/>
      </c>
      <c r="AG99" s="38">
        <f>sum(AE99-AE$106)/AE$107</f>
        <v/>
      </c>
      <c r="AH99" s="9" t="n">
        <v>33.84</v>
      </c>
      <c r="AI99" s="9" t="n">
        <v>365.23</v>
      </c>
      <c r="AJ99" s="9" t="n">
        <v>301.83</v>
      </c>
      <c r="AK99" s="9" t="n">
        <v>82.64</v>
      </c>
      <c r="AL99" s="9" t="n">
        <v>47.75</v>
      </c>
      <c r="AM99" s="9" t="n">
        <v>91.06999999999999</v>
      </c>
      <c r="AN99" s="9" t="n">
        <v>18.5</v>
      </c>
      <c r="AO99" s="9" t="n">
        <v>34.63</v>
      </c>
      <c r="AP99" s="9" t="n">
        <v>37.93</v>
      </c>
      <c r="AQ99" s="9" t="n">
        <v>65.27</v>
      </c>
      <c r="AR99" s="9" t="n">
        <v>32.97</v>
      </c>
      <c r="AS99" s="9" t="n">
        <v>25.33</v>
      </c>
      <c r="AT99" s="33">
        <f>PERCENTRANK(AS$2:INDEX($AS:$AS,LOOKUP(2,1/(ISNUMBER($A$2:$A$1048576)),ROW($A$2:$A$1048576))),AS99)</f>
        <v/>
      </c>
      <c r="AU99" s="39">
        <f>SUM(AS99-AS$106)/AS$107</f>
        <v/>
      </c>
      <c r="AV99" s="9" t="n">
        <v>6.97</v>
      </c>
      <c r="AW99" s="33">
        <f>PERCENTRANK(AV$2:INDEX($AV:$AV,LOOKUP(2,1/(ISNUMBER($A$2:$A$1048576)),ROW($A$2:$A$1048576))),AV99)</f>
        <v/>
      </c>
      <c r="AX99" s="9" t="n">
        <v>170.97</v>
      </c>
      <c r="AY99" s="9" t="n">
        <v>81.63</v>
      </c>
      <c r="AZ99" s="9" t="n">
        <v>47.75</v>
      </c>
      <c r="BA99" s="9" t="n">
        <v>4.4</v>
      </c>
      <c r="BB99" s="9" t="n">
        <v>1.17</v>
      </c>
      <c r="BC99" s="9" t="n">
        <v>26.52</v>
      </c>
      <c r="BD99" s="9" t="n">
        <v>21.8</v>
      </c>
      <c r="BE99" s="9" t="n">
        <v>5.3</v>
      </c>
      <c r="BF99" s="33">
        <f>PERCENTRANK(BE$2:INDEX($BE:$BE,LOOKUP(2,1/(ISNUMBER($A$2:$A$1048576)),ROW($A$2:$A$1048576))),BE99)</f>
        <v/>
      </c>
      <c r="BG99" s="40">
        <f>sum(BE99-BE$106)/BE$107</f>
        <v/>
      </c>
      <c r="BH99" s="9" t="n">
        <v>24.31</v>
      </c>
      <c r="BI99" s="9" t="n">
        <v>0.63</v>
      </c>
      <c r="BJ99" s="9" t="n">
        <v>0.4</v>
      </c>
      <c r="BK99" s="9" t="n">
        <v>63.16</v>
      </c>
      <c r="BL99" s="9" t="n">
        <v>24.4</v>
      </c>
      <c r="BM99" s="9" t="n">
        <v>2.73</v>
      </c>
      <c r="BN99" s="9" t="n">
        <v>11.2</v>
      </c>
      <c r="BO99" s="9" t="n">
        <v>3.73</v>
      </c>
      <c r="BP99" s="9" t="n">
        <v>1.17</v>
      </c>
      <c r="BQ99" s="9" t="n">
        <v>31.25</v>
      </c>
      <c r="BR99" s="9" t="n">
        <v>2.53</v>
      </c>
      <c r="BS99" s="9" t="n">
        <v>0.53</v>
      </c>
      <c r="BT99" s="9" t="n">
        <v>21.05</v>
      </c>
      <c r="BU99" s="9" t="n">
        <v>0.1</v>
      </c>
      <c r="BV99" s="9" t="n">
        <v>0.07000000000000001</v>
      </c>
      <c r="BW99" s="9" t="n">
        <v>66.67</v>
      </c>
      <c r="BX99" s="9" t="n">
        <v>11.13</v>
      </c>
      <c r="BY99" s="9" t="n">
        <v>3.33</v>
      </c>
      <c r="BZ99" s="9" t="n">
        <v>29.94</v>
      </c>
      <c r="CA99" s="9" t="n">
        <v>3.83</v>
      </c>
      <c r="CB99" s="9" t="n">
        <v>3.23</v>
      </c>
      <c r="CC99" s="33">
        <f>PERCENTRANK(CD$2:INDEX($CD:$CD,LOOKUP(2,1/(ISNUMBER($A$2:$A$1048576)),ROW($A$2:$A$1048576))),CD99)</f>
        <v/>
      </c>
      <c r="CD99" s="40">
        <f>sum(CB99-CB$106)/CB$107</f>
        <v/>
      </c>
      <c r="CE99" s="9" t="n">
        <v>18.17</v>
      </c>
      <c r="CF99" s="33">
        <f>PERCENTRANK(CE$2:INDEX($CE:$CE,LOOKUP(2,1/(ISNUMBER($A$2:$A$1048576)),ROW($A$2:$A$1048576))),CE99)</f>
        <v/>
      </c>
      <c r="CG99" s="38">
        <f>sum(CE99-CE$106)/CE$107</f>
        <v/>
      </c>
      <c r="CH99" s="9" t="n">
        <v>2.3</v>
      </c>
      <c r="CI99" s="9" t="n">
        <v>7.53</v>
      </c>
      <c r="CJ99" s="9" t="n">
        <v>10.23</v>
      </c>
      <c r="CK99" s="33">
        <f>PERCENTRANK(CJ$2:INDEX($CJ:$CJ,LOOKUP(2,1/(ISNUMBER($A$2:$A$1048576)),ROW($A$2:$A$1048576))),CJ99)</f>
        <v/>
      </c>
      <c r="CL99" s="38">
        <f>sum(CJ99-CJ$106)/CJ$107</f>
        <v/>
      </c>
      <c r="CM99" s="9" t="n">
        <v>56.93</v>
      </c>
      <c r="CN99" s="9" t="n">
        <v>23.03</v>
      </c>
      <c r="CO99" s="9" t="n">
        <v>40.46</v>
      </c>
      <c r="CP99" s="9" t="n">
        <v>2.27</v>
      </c>
      <c r="CQ99" s="9" t="n">
        <v>1.67</v>
      </c>
      <c r="CR99" s="9" t="n">
        <v>12.37</v>
      </c>
      <c r="CS99" s="33">
        <f>PERCENTRANK(CR$2:INDEX($CR:$CR,LOOKUP(2,1/(ISNUMBER($A$2:$A$1048576)),ROW($A$2:$A$1048576))),CR99)</f>
        <v/>
      </c>
      <c r="CT99" s="39">
        <f>1-(CR99-CR$106)/CR$107</f>
        <v/>
      </c>
      <c r="CU99" s="9" t="n">
        <v>4.63</v>
      </c>
      <c r="CV99" s="33">
        <f>PERCENTRANK(CU$2:INDEX($CU:$CU,LOOKUP(2,1/(ISNUMBER($A$2:$A$1048576)),ROW($A$2:$A$1048576))),CU99)</f>
        <v/>
      </c>
      <c r="CW99" s="39">
        <f>1-(CU99-CU$106)/CU$107</f>
        <v/>
      </c>
      <c r="CX99" s="9" t="n">
        <v>37.47</v>
      </c>
      <c r="CY99" s="9" t="n">
        <v>63.83</v>
      </c>
      <c r="CZ99" s="9" t="n">
        <v>36.87</v>
      </c>
      <c r="DA99" s="9" t="n">
        <v>57.75</v>
      </c>
      <c r="DB99" s="9" t="n">
        <v>27.73</v>
      </c>
      <c r="DC99" s="9" t="n">
        <v>11.97</v>
      </c>
      <c r="DD99" s="9" t="n">
        <v>43.15</v>
      </c>
      <c r="DE99" s="9" t="n">
        <v>2.23</v>
      </c>
      <c r="DF99" s="9" t="n">
        <v>1.1</v>
      </c>
      <c r="DG99" s="9" t="n">
        <v>49.25</v>
      </c>
      <c r="DH99" s="9" t="n">
        <v>34.97</v>
      </c>
      <c r="DI99" s="33">
        <f>PERCENTRANK(DH$2:INDEX($DH:$DH,LOOKUP(2,1/(ISNUMBER($A$2:$A$1048576)),ROW($A$2:$A$1048576))),DH99)</f>
        <v/>
      </c>
      <c r="DJ99" s="39">
        <f>SUM(DH99-DH$106)/DH$107</f>
        <v/>
      </c>
      <c r="DK99" s="9" t="n">
        <v>13.63</v>
      </c>
      <c r="DL99" s="9" t="n">
        <v>14.37</v>
      </c>
      <c r="DM99" s="9" t="n">
        <v>2.7</v>
      </c>
      <c r="DN99" s="9" t="n">
        <v>0.1</v>
      </c>
      <c r="DO99" s="9" t="n">
        <v>122.83</v>
      </c>
      <c r="DP99" s="9" t="n">
        <v>86.73</v>
      </c>
      <c r="DQ99" s="33">
        <f>PERCENTRANK(DP$2:INDEX($DP:$DP,LOOKUP(2,1/(ISNUMBER($A$2:$A$1048576)),ROW($A$2:$A$1048576))),DP99)</f>
        <v/>
      </c>
      <c r="DR99" s="40">
        <f>sum(DP99-DP$106)/DP$107</f>
        <v/>
      </c>
      <c r="DS99" s="9" t="n">
        <v>70.61</v>
      </c>
      <c r="DT99" s="9" t="n">
        <v>59.3</v>
      </c>
      <c r="DU99" s="9" t="n">
        <v>55.1</v>
      </c>
      <c r="DV99" s="9" t="n">
        <v>92.92</v>
      </c>
      <c r="DW99" s="9" t="n">
        <v>136.93</v>
      </c>
      <c r="DX99" s="9" t="n">
        <v>122.17</v>
      </c>
      <c r="DY99" s="9" t="n">
        <v>89.22</v>
      </c>
      <c r="DZ99" s="9" t="n">
        <v>46.1</v>
      </c>
      <c r="EA99" s="9" t="n">
        <v>24.2</v>
      </c>
      <c r="EB99" s="9" t="n">
        <v>52.49</v>
      </c>
      <c r="EC99" s="9" t="n">
        <v>45.27</v>
      </c>
      <c r="ED99" s="9" t="n">
        <v>28.63</v>
      </c>
      <c r="EE99" s="33">
        <f>PERCENTRANK(ED$2:INDEX($ED:$ED,LOOKUP(2,1/(ISNUMBER($A$2:$A$1048576)),ROW($A$2:$A$1048576))),ED99)</f>
        <v/>
      </c>
      <c r="EF99" s="40">
        <f>sum(ED99-ED$106)/ED$107</f>
        <v/>
      </c>
      <c r="EG99" s="9" t="n">
        <v>63.25</v>
      </c>
      <c r="EH99" s="9" t="n">
        <v>65.5</v>
      </c>
      <c r="EI99" s="9" t="n">
        <v>43.77</v>
      </c>
      <c r="EJ99" s="33">
        <f>PERCENTRANK(EI$2:INDEX($EI:$EI,LOOKUP(2,1/(ISNUMBER($A$2:$A$1048576)),ROW($A$2:$A$1048576))),EI99)</f>
        <v/>
      </c>
      <c r="EK99" s="40">
        <f>sum(EI99-EI$106)/EI$107</f>
        <v/>
      </c>
      <c r="EL99" s="9" t="n">
        <v>66.81999999999999</v>
      </c>
      <c r="EM99" s="9" t="n">
        <v>0.97</v>
      </c>
      <c r="EN99" s="9" t="n">
        <v>0.27</v>
      </c>
      <c r="EO99" s="9" t="n">
        <v>27.59</v>
      </c>
      <c r="EP99" s="9" t="n">
        <v>18.4</v>
      </c>
      <c r="EQ99" s="9" t="n">
        <v>17</v>
      </c>
      <c r="ER99" s="9" t="n">
        <v>92.39</v>
      </c>
      <c r="ES99" s="9" t="n">
        <v>8.07</v>
      </c>
      <c r="ET99" s="9" t="n">
        <v>15.53</v>
      </c>
      <c r="EU99" s="9" t="n">
        <v>3.89</v>
      </c>
      <c r="EV99" s="9" t="n">
        <v>12.81</v>
      </c>
      <c r="EW99" s="9" t="n">
        <v>20.8</v>
      </c>
      <c r="EX99" s="33">
        <f>PERCENTRANK(EW$2:INDEX($EW:$EW,LOOKUP(2,1/(ISNUMBER($A$2:$A$1048576)),ROW($A$2:$A$1048576))),EW99)</f>
        <v/>
      </c>
      <c r="EY99" s="38">
        <f>1-(EW99-EW$106)/EW$107</f>
        <v/>
      </c>
      <c r="EZ99" s="9" t="n">
        <v>20.91</v>
      </c>
      <c r="FA99" s="9" t="n">
        <v>12.65</v>
      </c>
      <c r="FB99" s="33">
        <f>PERCENTRANK(FA$2:INDEX($FA:$FA,LOOKUP(2,1/(ISNUMBER($A$2:$A$1048576)),ROW($A$2:$A$1048576))),FA99)</f>
        <v/>
      </c>
      <c r="FC99" s="39">
        <f>1-(FA99-FA$106)/FA$107</f>
        <v/>
      </c>
      <c r="FD99" s="9" t="n">
        <v>1.67</v>
      </c>
      <c r="FE99" s="9" t="n">
        <v>1.63</v>
      </c>
      <c r="FF99" s="33">
        <f>PERCENTRANK(FE$2:INDEX($FE:$FE,LOOKUP(2,1/(ISNUMBER($A$2:$A$1048576)),ROW($A$2:$A$1048576))),FE99)</f>
        <v/>
      </c>
      <c r="FG99" s="39">
        <f>1-(FE99-FE$106)/FE$107</f>
        <v/>
      </c>
      <c r="FH99" s="9" t="n">
        <v>12.37</v>
      </c>
      <c r="FI99" s="9" t="n">
        <v>4.37</v>
      </c>
      <c r="FJ99" s="9" t="n">
        <v>35.31</v>
      </c>
      <c r="FK99" s="9" t="n">
        <v>417.57</v>
      </c>
      <c r="FL99" s="33">
        <f>PERCENTRANK(FK$2:INDEX($FK:$FK,LOOKUP(2,1/(ISNUMBER($A$2:$A$1048576)),ROW($A$2:$A$1048576))),FK99)</f>
        <v/>
      </c>
      <c r="FM99" s="39">
        <f>SWA98-(FK99-FK$106)/FK$107</f>
        <v/>
      </c>
      <c r="FN99" s="9" t="n">
        <v>355.83</v>
      </c>
      <c r="FO99" s="9" t="n">
        <v>85.22</v>
      </c>
      <c r="FP99" s="9" t="n">
        <v>52.25</v>
      </c>
      <c r="FQ99" s="9" t="n">
        <v>93.83</v>
      </c>
      <c r="FR99" s="9" t="n">
        <v>13.73</v>
      </c>
      <c r="FS99" s="9" t="n">
        <v>31.57</v>
      </c>
      <c r="FT99" s="9" t="n">
        <v>48.53</v>
      </c>
      <c r="FU99" s="9" t="n">
        <v>66.47</v>
      </c>
      <c r="FV99" s="9" t="n">
        <v>26.37</v>
      </c>
      <c r="FW99" s="9" t="n">
        <v>27.83</v>
      </c>
      <c r="FX99" s="9" t="n">
        <v>12.27</v>
      </c>
      <c r="FY99" s="9" t="n">
        <v>170.97</v>
      </c>
      <c r="FZ99" s="9" t="n">
        <v>83.23</v>
      </c>
      <c r="GA99" s="9" t="n">
        <v>48.68</v>
      </c>
      <c r="GB99" s="9" t="n">
        <v>4.83</v>
      </c>
      <c r="GC99" s="9" t="n">
        <v>1.3</v>
      </c>
      <c r="GD99" s="9" t="n">
        <v>26.9</v>
      </c>
      <c r="GE99" s="9" t="n">
        <v>27.93</v>
      </c>
      <c r="GF99" s="9" t="n">
        <v>6.73</v>
      </c>
      <c r="GG99" s="9" t="n">
        <v>24.11</v>
      </c>
      <c r="GH99" s="9" t="n">
        <v>0.7</v>
      </c>
      <c r="GI99" s="9" t="n">
        <v>0.47</v>
      </c>
      <c r="GJ99" s="9" t="n">
        <v>66.67</v>
      </c>
      <c r="GK99" s="9" t="n">
        <v>27.7</v>
      </c>
      <c r="GL99" s="9" t="n">
        <v>4.3</v>
      </c>
      <c r="GM99" s="9" t="n">
        <v>15.52</v>
      </c>
      <c r="GN99" s="9" t="n">
        <v>5</v>
      </c>
      <c r="GO99" s="9" t="n">
        <v>1.33</v>
      </c>
      <c r="GP99" s="9" t="n">
        <v>26.67</v>
      </c>
      <c r="GQ99" s="9" t="n">
        <v>2.7</v>
      </c>
      <c r="GR99" s="9" t="n">
        <v>1</v>
      </c>
      <c r="GS99" s="9" t="n">
        <v>37.04</v>
      </c>
      <c r="GT99" s="9" t="n">
        <v>0.23</v>
      </c>
      <c r="GU99" s="9" t="n">
        <v>0.13</v>
      </c>
      <c r="GV99" s="9" t="n">
        <v>57.14</v>
      </c>
      <c r="GW99" s="9" t="n">
        <v>14.8</v>
      </c>
      <c r="GX99" s="9" t="n">
        <v>5.07</v>
      </c>
      <c r="GY99" s="9" t="n">
        <v>34.23</v>
      </c>
      <c r="GZ99" s="9" t="n">
        <v>4.33</v>
      </c>
      <c r="HA99" s="9" t="n">
        <v>8.43</v>
      </c>
      <c r="HB99" s="9" t="n">
        <v>24.43</v>
      </c>
      <c r="HC99" s="9" t="n">
        <v>3.6</v>
      </c>
      <c r="HD99" s="9" t="n">
        <v>9.029999999999999</v>
      </c>
      <c r="HE99" s="9" t="n">
        <v>18.9</v>
      </c>
      <c r="HF99" s="9" t="n">
        <v>63.83</v>
      </c>
      <c r="HG99" s="9" t="n">
        <v>26.97</v>
      </c>
      <c r="HH99" s="9" t="n">
        <v>42.25</v>
      </c>
      <c r="HI99" s="9" t="n">
        <v>0.83</v>
      </c>
      <c r="HJ99" s="9" t="n">
        <v>0.77</v>
      </c>
      <c r="HK99" s="9" t="n">
        <v>8.77</v>
      </c>
      <c r="HL99" s="9" t="n">
        <v>3.1</v>
      </c>
      <c r="HM99" s="9" t="n">
        <v>35.36</v>
      </c>
      <c r="HN99" s="9" t="n">
        <v>56.93</v>
      </c>
      <c r="HO99" s="9" t="n">
        <v>33.9</v>
      </c>
      <c r="HP99" s="9" t="n">
        <v>59.54</v>
      </c>
      <c r="HQ99" s="9" t="n">
        <v>27.73</v>
      </c>
      <c r="HR99" s="9" t="n">
        <v>13.6</v>
      </c>
      <c r="HS99" s="9" t="n">
        <v>49.04</v>
      </c>
      <c r="HT99" s="9" t="n">
        <v>2.63</v>
      </c>
      <c r="HU99" s="9" t="n">
        <v>1.13</v>
      </c>
      <c r="HV99" s="9" t="n">
        <v>43.04</v>
      </c>
      <c r="HW99" s="9" t="n">
        <v>33.17</v>
      </c>
      <c r="HX99" s="9" t="n">
        <v>12.33</v>
      </c>
      <c r="HY99" s="9" t="n">
        <v>13.67</v>
      </c>
      <c r="HZ99" s="9" t="n">
        <v>2.1</v>
      </c>
      <c r="IA99" s="9" t="n">
        <v>0.03</v>
      </c>
      <c r="IB99" s="9" t="n">
        <v>138.17</v>
      </c>
      <c r="IC99" s="9" t="n">
        <v>105.9</v>
      </c>
      <c r="ID99" s="9" t="n">
        <v>76.65000000000001</v>
      </c>
      <c r="IE99" s="9" t="n">
        <v>69.43000000000001</v>
      </c>
      <c r="IF99" s="9" t="n">
        <v>65.09999999999999</v>
      </c>
      <c r="IG99" s="9" t="n">
        <v>93.76000000000001</v>
      </c>
      <c r="IH99" s="9" t="n">
        <v>149.47</v>
      </c>
      <c r="II99" s="9" t="n">
        <v>134.6</v>
      </c>
      <c r="IJ99" s="9" t="n">
        <v>90.05</v>
      </c>
      <c r="IK99" s="9" t="n">
        <v>38.3</v>
      </c>
      <c r="IL99" s="9" t="n">
        <v>20.87</v>
      </c>
      <c r="IM99" s="9" t="n">
        <v>54.48</v>
      </c>
      <c r="IN99" s="9" t="n">
        <v>51.8</v>
      </c>
      <c r="IO99" s="9" t="n">
        <v>36.8</v>
      </c>
      <c r="IP99" s="9" t="n">
        <v>71.04000000000001</v>
      </c>
      <c r="IQ99" s="9" t="n">
        <v>66.37</v>
      </c>
      <c r="IR99" s="9" t="n">
        <v>52.63</v>
      </c>
      <c r="IS99" s="9" t="n">
        <v>79.31</v>
      </c>
      <c r="IT99" s="33">
        <f>PERCENTRANK(IS$2:INDEX($IS:$IS,LOOKUP(2,1/(ISNUMBER($A$2:$A$1048576)),ROW($A$2:$A$1048576))),IS99)</f>
        <v/>
      </c>
      <c r="IU99" s="39">
        <f>1-(IS99-IS$106)/IS$107</f>
        <v/>
      </c>
      <c r="IV99" s="9" t="n">
        <v>0.8</v>
      </c>
      <c r="IW99" s="9" t="n">
        <v>0.4</v>
      </c>
      <c r="IX99" s="9" t="n">
        <v>50</v>
      </c>
      <c r="IY99" s="9" t="n">
        <v>19.87</v>
      </c>
      <c r="IZ99" s="9" t="n">
        <v>18.17</v>
      </c>
      <c r="JA99" s="9" t="n">
        <v>91.44</v>
      </c>
      <c r="JB99" s="9" t="n">
        <v>7.47</v>
      </c>
      <c r="JC99" s="9" t="n">
        <v>16.01</v>
      </c>
      <c r="JD99" s="9" t="n">
        <v>4.32</v>
      </c>
      <c r="JE99" s="9" t="n">
        <v>9.710000000000001</v>
      </c>
      <c r="JF99" s="9" t="n">
        <v>18.07</v>
      </c>
      <c r="JG99" s="9" t="n">
        <v>19.82</v>
      </c>
      <c r="JH99" s="9" t="n">
        <v>10.01</v>
      </c>
    </row>
    <row r="100">
      <c r="A100" s="12" t="n">
        <v>2024</v>
      </c>
      <c r="B100" s="31" t="inlineStr">
        <is>
          <t>Miami</t>
        </is>
      </c>
      <c r="C100" s="12" t="n">
        <v>11</v>
      </c>
      <c r="D100" s="5">
        <f>(C100-AVERAGE($C$2:INDEX($C:$C,LOOKUP(2,1/(ISNUMBER($A$2:$A$1048576)),ROW($A$2:$A$1048576)))))/_xlfn.STDEV.P($C$2:INDEX($C:$C,LOOKUP(2,1/(ISNUMBER($A$2:$A$1048576)),ROW($A$2:$A$1048576))))</f>
        <v/>
      </c>
      <c r="E100" s="12" t="n">
        <v>12</v>
      </c>
      <c r="F100" s="6">
        <f>-E100</f>
        <v/>
      </c>
      <c r="G100" s="7">
        <f>(F100-AVERAGE($F$2:INDEX($F:$F,LOOKUP(2,1/(ISNUMBER($A$2:$A$1048576)),ROW($A$2:$A$1048576)))))/_xlfn.STDEV.P($F$2:INDEX($F:$F,LOOKUP(2,1/(ISNUMBER($A$2:$A$1048576)),ROW($A$2:$A$1048576))))</f>
        <v/>
      </c>
      <c r="H100" s="32">
        <f>sum(0.5*D100)+(0.5*G100)</f>
        <v/>
      </c>
      <c r="I100" s="12" t="inlineStr">
        <is>
          <t>East</t>
        </is>
      </c>
      <c r="J100" s="10">
        <f>sum(L100*L$105)+(N100*N$105)+(P100*P$105)+(T100*R$105)</f>
        <v/>
      </c>
      <c r="K100" s="33">
        <f>PERCENTRANK(J$2:INDEX($J:$J,LOOKUP(2,1/(ISNUMBER($A$2:$A$1048576)),ROW($A$2:$A$1048576))),J100)</f>
        <v/>
      </c>
      <c r="L100" s="10">
        <f>sum(AA100*0.66)+(AD100*0.55)+(AG100*0.59)+(CG100*0.51)+(CL100*0.6)+(EY100*0.31)</f>
        <v/>
      </c>
      <c r="M100" s="33">
        <f>PERCENTRANK(L$2:INDEX($L:$L,LOOKUP(2,1/(ISNUMBER($A$2:$A$1048576)),ROW($A$2:$A$1048576))),L100)</f>
        <v/>
      </c>
      <c r="N100" s="10">
        <f>sum(CT100*0.57)+(CW100*0.71)+(DJ100*0.08)+(FC100*0.33)+(FG100*0.69)+(FM100*0.26)+(IU100*0.54)+(AU100*0.4)</f>
        <v/>
      </c>
      <c r="O100" s="33">
        <f>PERCENTRANK(N$2:INDEX($N:$N,LOOKUP(2,1/(ISNUMBER($A$2:$A$1048576)),ROW($A$2:$A$1048576))),N100)</f>
        <v/>
      </c>
      <c r="P100" s="10">
        <f>sum(BG100*0.51)+(CD100*0.51)+(DR100*0.11)+(EF100*0.42)+(EK100*0.44)+(W100*0.6)</f>
        <v/>
      </c>
      <c r="Q100" s="33">
        <f>PERCENTRANK(P$2:INDEX($P:$P,LOOKUP(2,1/(ISNUMBER($A$2:$A$1048576)),ROW($A$2:$A$1048576))),P100)</f>
        <v/>
      </c>
      <c r="R100" s="10">
        <f>sum(Y100-FE100)</f>
        <v/>
      </c>
      <c r="S100" s="33">
        <f>PERCENTRANK(R$2:INDEX($R:$R,LOOKUP(2,1/(ISNUMBER($A$2:$A$1048576)),ROW($A$2:$A$1048576))),R100)</f>
        <v/>
      </c>
      <c r="T100" s="34">
        <f>sum(R100-R$106)/R$107</f>
        <v/>
      </c>
      <c r="U100" s="35">
        <f>sum(Y100/AI100)*100</f>
        <v/>
      </c>
      <c r="V100" s="33">
        <f>PERCENTRANK(U$2:INDEX($U:$U,LOOKUP(2,1/(ISNUMBER($A$2:$A$1048576)),ROW($A$2:$A$1048576))),U100)</f>
        <v/>
      </c>
      <c r="W100" s="36">
        <f>sum(U100-U$106)/U$107</f>
        <v/>
      </c>
      <c r="X100" s="9" t="n">
        <v>0.79</v>
      </c>
      <c r="Y100" s="9" t="n">
        <v>0.91</v>
      </c>
      <c r="Z100" s="33">
        <f>PERCENTRANK(Y$2:INDEX($Y:$Y,LOOKUP(2,1/(ISNUMBER($A$2:$A$1048576)),ROW($A$2:$A$1048576))),Y100)</f>
        <v/>
      </c>
      <c r="AA100" s="37">
        <f>sum(Y100-Y$106)/Y$107</f>
        <v/>
      </c>
      <c r="AB100" s="9" t="n">
        <v>8.640000000000001</v>
      </c>
      <c r="AC100" s="33">
        <f>PERCENTRANK(AB$2:INDEX($AB:$AB,LOOKUP(2,1/(ISNUMBER($A$2:$A$1048576)),ROW($A$2:$A$1048576))),AB100)</f>
        <v/>
      </c>
      <c r="AD100" s="38">
        <f>sum(AB100-AB$106)/AB$107</f>
        <v/>
      </c>
      <c r="AE100" s="9" t="n">
        <v>2.91</v>
      </c>
      <c r="AF100" s="33">
        <f>PERCENTRANK(AE$2:INDEX($AE:$AE,LOOKUP(2,1/(ISNUMBER($A$2:$A$1048576)),ROW($A$2:$A$1048576))),AE100)</f>
        <v/>
      </c>
      <c r="AG100" s="38">
        <f>sum(AE100-AE$106)/AE$107</f>
        <v/>
      </c>
      <c r="AH100" s="9" t="n">
        <v>33.68</v>
      </c>
      <c r="AI100" s="9" t="n">
        <v>359.21</v>
      </c>
      <c r="AJ100" s="9" t="n">
        <v>296.79</v>
      </c>
      <c r="AK100" s="9" t="n">
        <v>82.62</v>
      </c>
      <c r="AL100" s="9" t="n">
        <v>44.7</v>
      </c>
      <c r="AM100" s="9" t="n">
        <v>90.58</v>
      </c>
      <c r="AN100" s="9" t="n">
        <v>22</v>
      </c>
      <c r="AO100" s="9" t="n">
        <v>34.97</v>
      </c>
      <c r="AP100" s="9" t="n">
        <v>33.61</v>
      </c>
      <c r="AQ100" s="9" t="n">
        <v>66.7</v>
      </c>
      <c r="AR100" s="9" t="n">
        <v>36.64</v>
      </c>
      <c r="AS100" s="9" t="n">
        <v>23.64</v>
      </c>
      <c r="AT100" s="33">
        <f>PERCENTRANK(AS$2:INDEX($AS:$AS,LOOKUP(2,1/(ISNUMBER($A$2:$A$1048576)),ROW($A$2:$A$1048576))),AS100)</f>
        <v/>
      </c>
      <c r="AU100" s="39">
        <f>SUM(AS100-AS$106)/AS$107</f>
        <v/>
      </c>
      <c r="AV100" s="9" t="n">
        <v>6.42</v>
      </c>
      <c r="AW100" s="33">
        <f>PERCENTRANK(AV$2:INDEX($AV:$AV,LOOKUP(2,1/(ISNUMBER($A$2:$A$1048576)),ROW($A$2:$A$1048576))),AV100)</f>
        <v/>
      </c>
      <c r="AX100" s="9" t="n">
        <v>172.97</v>
      </c>
      <c r="AY100" s="9" t="n">
        <v>82.61</v>
      </c>
      <c r="AZ100" s="9" t="n">
        <v>47.76</v>
      </c>
      <c r="BA100" s="9" t="n">
        <v>4.45</v>
      </c>
      <c r="BB100" s="9" t="n">
        <v>1.27</v>
      </c>
      <c r="BC100" s="9" t="n">
        <v>28.57</v>
      </c>
      <c r="BD100" s="9" t="n">
        <v>17.79</v>
      </c>
      <c r="BE100" s="9" t="n">
        <v>5.21</v>
      </c>
      <c r="BF100" s="33">
        <f>PERCENTRANK(BE$2:INDEX($BE:$BE,LOOKUP(2,1/(ISNUMBER($A$2:$A$1048576)),ROW($A$2:$A$1048576))),BE100)</f>
        <v/>
      </c>
      <c r="BG100" s="40">
        <f>sum(BE100-BE$106)/BE$107</f>
        <v/>
      </c>
      <c r="BH100" s="9" t="n">
        <v>29.3</v>
      </c>
      <c r="BI100" s="9" t="n">
        <v>0.64</v>
      </c>
      <c r="BJ100" s="9" t="n">
        <v>0.3</v>
      </c>
      <c r="BK100" s="9" t="n">
        <v>47.62</v>
      </c>
      <c r="BL100" s="9" t="n">
        <v>25.36</v>
      </c>
      <c r="BM100" s="9" t="n">
        <v>2.79</v>
      </c>
      <c r="BN100" s="9" t="n">
        <v>10.99</v>
      </c>
      <c r="BO100" s="9" t="n">
        <v>3.3</v>
      </c>
      <c r="BP100" s="9" t="n">
        <v>1.03</v>
      </c>
      <c r="BQ100" s="9" t="n">
        <v>31.19</v>
      </c>
      <c r="BR100" s="9" t="n">
        <v>1.58</v>
      </c>
      <c r="BS100" s="9" t="n">
        <v>0.39</v>
      </c>
      <c r="BT100" s="9" t="n">
        <v>25</v>
      </c>
      <c r="BU100" s="9" t="n">
        <v>0.03</v>
      </c>
      <c r="BV100" s="9" t="n">
        <v>0.03</v>
      </c>
      <c r="BW100" s="9" t="n">
        <v>100</v>
      </c>
      <c r="BX100" s="9" t="n">
        <v>9.27</v>
      </c>
      <c r="BY100" s="9" t="n">
        <v>2.64</v>
      </c>
      <c r="BZ100" s="9" t="n">
        <v>28.43</v>
      </c>
      <c r="CA100" s="9" t="n">
        <v>2.73</v>
      </c>
      <c r="CB100" s="9" t="n">
        <v>2.61</v>
      </c>
      <c r="CC100" s="33">
        <f>PERCENTRANK(CD$2:INDEX($CD:$CD,LOOKUP(2,1/(ISNUMBER($A$2:$A$1048576)),ROW($A$2:$A$1048576))),CD100)</f>
        <v/>
      </c>
      <c r="CD100" s="40">
        <f>sum(CB100-CB$106)/CB$107</f>
        <v/>
      </c>
      <c r="CE100" s="9" t="n">
        <v>14.61</v>
      </c>
      <c r="CF100" s="33">
        <f>PERCENTRANK(CE$2:INDEX($CE:$CE,LOOKUP(2,1/(ISNUMBER($A$2:$A$1048576)),ROW($A$2:$A$1048576))),CE100)</f>
        <v/>
      </c>
      <c r="CG100" s="38">
        <f>sum(CE100-CE$106)/CE$107</f>
        <v/>
      </c>
      <c r="CH100" s="9" t="n">
        <v>2.61</v>
      </c>
      <c r="CI100" s="9" t="n">
        <v>6.03</v>
      </c>
      <c r="CJ100" s="9" t="n">
        <v>8.449999999999999</v>
      </c>
      <c r="CK100" s="33">
        <f>PERCENTRANK(CJ$2:INDEX($CJ:$CJ,LOOKUP(2,1/(ISNUMBER($A$2:$A$1048576)),ROW($A$2:$A$1048576))),CJ100)</f>
        <v/>
      </c>
      <c r="CL100" s="38">
        <f>sum(CJ100-CJ$106)/CJ$107</f>
        <v/>
      </c>
      <c r="CM100" s="9" t="n">
        <v>58.91</v>
      </c>
      <c r="CN100" s="9" t="n">
        <v>23.52</v>
      </c>
      <c r="CO100" s="9" t="n">
        <v>39.92</v>
      </c>
      <c r="CP100" s="9" t="n">
        <v>1.85</v>
      </c>
      <c r="CQ100" s="9" t="n">
        <v>2.67</v>
      </c>
      <c r="CR100" s="9" t="n">
        <v>16.52</v>
      </c>
      <c r="CS100" s="33">
        <f>PERCENTRANK(CR$2:INDEX($CR:$CR,LOOKUP(2,1/(ISNUMBER($A$2:$A$1048576)),ROW($A$2:$A$1048576))),CR100)</f>
        <v/>
      </c>
      <c r="CT100" s="39">
        <f>1-(CR100-CR$106)/CR$107</f>
        <v/>
      </c>
      <c r="CU100" s="9" t="n">
        <v>6.94</v>
      </c>
      <c r="CV100" s="33">
        <f>PERCENTRANK(CU$2:INDEX($CU:$CU,LOOKUP(2,1/(ISNUMBER($A$2:$A$1048576)),ROW($A$2:$A$1048576))),CU100)</f>
        <v/>
      </c>
      <c r="CW100" s="39">
        <f>1-(CU100-CU$106)/CU$107</f>
        <v/>
      </c>
      <c r="CX100" s="9" t="n">
        <v>42.02</v>
      </c>
      <c r="CY100" s="9" t="n">
        <v>66.15000000000001</v>
      </c>
      <c r="CZ100" s="9" t="n">
        <v>38.7</v>
      </c>
      <c r="DA100" s="9" t="n">
        <v>58.5</v>
      </c>
      <c r="DB100" s="9" t="n">
        <v>25.39</v>
      </c>
      <c r="DC100" s="9" t="n">
        <v>10.94</v>
      </c>
      <c r="DD100" s="9" t="n">
        <v>43.08</v>
      </c>
      <c r="DE100" s="9" t="n">
        <v>4.03</v>
      </c>
      <c r="DF100" s="9" t="n">
        <v>1.79</v>
      </c>
      <c r="DG100" s="9" t="n">
        <v>44.36</v>
      </c>
      <c r="DH100" s="9" t="n">
        <v>38.06</v>
      </c>
      <c r="DI100" s="33">
        <f>PERCENTRANK(DH$2:INDEX($DH:$DH,LOOKUP(2,1/(ISNUMBER($A$2:$A$1048576)),ROW($A$2:$A$1048576))),DH100)</f>
        <v/>
      </c>
      <c r="DJ100" s="39">
        <f>SUM(DH100-DH$106)/DH$107</f>
        <v/>
      </c>
      <c r="DK100" s="9" t="n">
        <v>13.64</v>
      </c>
      <c r="DL100" s="9" t="n">
        <v>13.61</v>
      </c>
      <c r="DM100" s="9" t="n">
        <v>2.79</v>
      </c>
      <c r="DN100" s="9" t="n">
        <v>0.18</v>
      </c>
      <c r="DO100" s="9" t="n">
        <v>124.48</v>
      </c>
      <c r="DP100" s="9" t="n">
        <v>85.7</v>
      </c>
      <c r="DQ100" s="33">
        <f>PERCENTRANK(DP$2:INDEX($DP:$DP,LOOKUP(2,1/(ISNUMBER($A$2:$A$1048576)),ROW($A$2:$A$1048576))),DP100)</f>
        <v/>
      </c>
      <c r="DR100" s="40">
        <f>sum(DP100-DP$106)/DP$107</f>
        <v/>
      </c>
      <c r="DS100" s="9" t="n">
        <v>68.84</v>
      </c>
      <c r="DT100" s="9" t="n">
        <v>55.85</v>
      </c>
      <c r="DU100" s="9" t="n">
        <v>52.7</v>
      </c>
      <c r="DV100" s="9" t="n">
        <v>94.36</v>
      </c>
      <c r="DW100" s="9" t="n">
        <v>136.52</v>
      </c>
      <c r="DX100" s="9" t="n">
        <v>123.21</v>
      </c>
      <c r="DY100" s="9" t="n">
        <v>90.26000000000001</v>
      </c>
      <c r="DZ100" s="9" t="n">
        <v>42.76</v>
      </c>
      <c r="EA100" s="9" t="n">
        <v>20.76</v>
      </c>
      <c r="EB100" s="9" t="n">
        <v>48.55</v>
      </c>
      <c r="EC100" s="9" t="n">
        <v>39.48</v>
      </c>
      <c r="ED100" s="9" t="n">
        <v>23.55</v>
      </c>
      <c r="EE100" s="33">
        <f>PERCENTRANK(ED$2:INDEX($ED:$ED,LOOKUP(2,1/(ISNUMBER($A$2:$A$1048576)),ROW($A$2:$A$1048576))),ED100)</f>
        <v/>
      </c>
      <c r="EF100" s="40">
        <f>sum(ED100-ED$106)/ED$107</f>
        <v/>
      </c>
      <c r="EG100" s="9" t="n">
        <v>59.63</v>
      </c>
      <c r="EH100" s="9" t="n">
        <v>60.33</v>
      </c>
      <c r="EI100" s="9" t="n">
        <v>37.55</v>
      </c>
      <c r="EJ100" s="33">
        <f>PERCENTRANK(EI$2:INDEX($EI:$EI,LOOKUP(2,1/(ISNUMBER($A$2:$A$1048576)),ROW($A$2:$A$1048576))),EI100)</f>
        <v/>
      </c>
      <c r="EK100" s="40">
        <f>sum(EI100-EI$106)/EI$107</f>
        <v/>
      </c>
      <c r="EL100" s="9" t="n">
        <v>62.23</v>
      </c>
      <c r="EM100" s="9" t="n">
        <v>1.55</v>
      </c>
      <c r="EN100" s="9" t="n">
        <v>0.42</v>
      </c>
      <c r="EO100" s="9" t="n">
        <v>27.45</v>
      </c>
      <c r="EP100" s="9" t="n">
        <v>15.27</v>
      </c>
      <c r="EQ100" s="9" t="n">
        <v>13.52</v>
      </c>
      <c r="ER100" s="9" t="n">
        <v>88.48999999999999</v>
      </c>
      <c r="ES100" s="9" t="n">
        <v>9.699999999999999</v>
      </c>
      <c r="ET100" s="9" t="n">
        <v>15.6</v>
      </c>
      <c r="EU100" s="9" t="n">
        <v>3.93</v>
      </c>
      <c r="EV100" s="9" t="n">
        <v>12.19</v>
      </c>
      <c r="EW100" s="9" t="n">
        <v>20.65</v>
      </c>
      <c r="EX100" s="33">
        <f>PERCENTRANK(EW$2:INDEX($EW:$EW,LOOKUP(2,1/(ISNUMBER($A$2:$A$1048576)),ROW($A$2:$A$1048576))),EW100)</f>
        <v/>
      </c>
      <c r="EY100" s="38">
        <f>1-(EW100-EW$106)/EW$107</f>
        <v/>
      </c>
      <c r="EZ100" s="9" t="n">
        <v>20.75</v>
      </c>
      <c r="FA100" s="9" t="n">
        <v>14.52</v>
      </c>
      <c r="FB100" s="33">
        <f>PERCENTRANK(FA$2:INDEX($FA:$FA,LOOKUP(2,1/(ISNUMBER($A$2:$A$1048576)),ROW($A$2:$A$1048576))),FA100)</f>
        <v/>
      </c>
      <c r="FC100" s="39">
        <f>1-(FA100-FA$106)/FA$107</f>
        <v/>
      </c>
      <c r="FD100" s="9" t="n">
        <v>2.67</v>
      </c>
      <c r="FE100" s="9" t="n">
        <v>2.33</v>
      </c>
      <c r="FF100" s="33">
        <f>PERCENTRANK(FE$2:INDEX($FE:$FE,LOOKUP(2,1/(ISNUMBER($A$2:$A$1048576)),ROW($A$2:$A$1048576))),FE100)</f>
        <v/>
      </c>
      <c r="FG100" s="39">
        <f>1-(FE100-FE$106)/FE$107</f>
        <v/>
      </c>
      <c r="FH100" s="9" t="n">
        <v>16.52</v>
      </c>
      <c r="FI100" s="9" t="n">
        <v>6.58</v>
      </c>
      <c r="FJ100" s="9" t="n">
        <v>39.82</v>
      </c>
      <c r="FK100" s="9" t="n">
        <v>463.73</v>
      </c>
      <c r="FL100" s="33">
        <f>PERCENTRANK(FK$2:INDEX($FK:$FK,LOOKUP(2,1/(ISNUMBER($A$2:$A$1048576)),ROW($A$2:$A$1048576))),FK100)</f>
        <v/>
      </c>
      <c r="FM100" s="39">
        <f>SWA99-(FK100-FK$106)/FK$107</f>
        <v/>
      </c>
      <c r="FN100" s="9" t="n">
        <v>400.82</v>
      </c>
      <c r="FO100" s="9" t="n">
        <v>86.43000000000001</v>
      </c>
      <c r="FP100" s="9" t="n">
        <v>55.3</v>
      </c>
      <c r="FQ100" s="9" t="n">
        <v>88.73</v>
      </c>
      <c r="FR100" s="9" t="n">
        <v>11.76</v>
      </c>
      <c r="FS100" s="9" t="n">
        <v>29.7</v>
      </c>
      <c r="FT100" s="9" t="n">
        <v>47.27</v>
      </c>
      <c r="FU100" s="9" t="n">
        <v>70.55</v>
      </c>
      <c r="FV100" s="9" t="n">
        <v>26.06</v>
      </c>
      <c r="FW100" s="9" t="n">
        <v>30.61</v>
      </c>
      <c r="FX100" s="9" t="n">
        <v>13.88</v>
      </c>
      <c r="FY100" s="9" t="n">
        <v>172.97</v>
      </c>
      <c r="FZ100" s="9" t="n">
        <v>85.03</v>
      </c>
      <c r="GA100" s="9" t="n">
        <v>49.16</v>
      </c>
      <c r="GB100" s="9" t="n">
        <v>6.42</v>
      </c>
      <c r="GC100" s="9" t="n">
        <v>1.58</v>
      </c>
      <c r="GD100" s="9" t="n">
        <v>24.53</v>
      </c>
      <c r="GE100" s="9" t="n">
        <v>34.12</v>
      </c>
      <c r="GF100" s="9" t="n">
        <v>10.27</v>
      </c>
      <c r="GG100" s="9" t="n">
        <v>30.11</v>
      </c>
      <c r="GH100" s="9" t="n">
        <v>1.24</v>
      </c>
      <c r="GI100" s="9" t="n">
        <v>0.79</v>
      </c>
      <c r="GJ100" s="9" t="n">
        <v>63.41</v>
      </c>
      <c r="GK100" s="9" t="n">
        <v>27.55</v>
      </c>
      <c r="GL100" s="9" t="n">
        <v>4.45</v>
      </c>
      <c r="GM100" s="9" t="n">
        <v>16.17</v>
      </c>
      <c r="GN100" s="9" t="n">
        <v>6.33</v>
      </c>
      <c r="GO100" s="9" t="n">
        <v>1.61</v>
      </c>
      <c r="GP100" s="9" t="n">
        <v>25.36</v>
      </c>
      <c r="GQ100" s="9" t="n">
        <v>2.76</v>
      </c>
      <c r="GR100" s="9" t="n">
        <v>0.48</v>
      </c>
      <c r="GS100" s="9" t="n">
        <v>17.58</v>
      </c>
      <c r="GT100" s="9" t="n">
        <v>0.36</v>
      </c>
      <c r="GU100" s="9" t="n">
        <v>0.27</v>
      </c>
      <c r="GV100" s="9" t="n">
        <v>75</v>
      </c>
      <c r="GW100" s="9" t="n">
        <v>17.73</v>
      </c>
      <c r="GX100" s="9" t="n">
        <v>6.21</v>
      </c>
      <c r="GY100" s="9" t="n">
        <v>35.04</v>
      </c>
      <c r="GZ100" s="9" t="n">
        <v>5.79</v>
      </c>
      <c r="HA100" s="9" t="n">
        <v>10</v>
      </c>
      <c r="HB100" s="9" t="n">
        <v>29.42</v>
      </c>
      <c r="HC100" s="9" t="n">
        <v>5.33</v>
      </c>
      <c r="HD100" s="9" t="n">
        <v>10.18</v>
      </c>
      <c r="HE100" s="9" t="n">
        <v>23.97</v>
      </c>
      <c r="HF100" s="9" t="n">
        <v>66.15000000000001</v>
      </c>
      <c r="HG100" s="9" t="n">
        <v>27.45</v>
      </c>
      <c r="HH100" s="9" t="n">
        <v>41.5</v>
      </c>
      <c r="HI100" s="9" t="n">
        <v>1.3</v>
      </c>
      <c r="HJ100" s="9" t="n">
        <v>0.79</v>
      </c>
      <c r="HK100" s="9" t="n">
        <v>8.640000000000001</v>
      </c>
      <c r="HL100" s="9" t="n">
        <v>3.06</v>
      </c>
      <c r="HM100" s="9" t="n">
        <v>35.44</v>
      </c>
      <c r="HN100" s="9" t="n">
        <v>58.91</v>
      </c>
      <c r="HO100" s="9" t="n">
        <v>35.39</v>
      </c>
      <c r="HP100" s="9" t="n">
        <v>60.08</v>
      </c>
      <c r="HQ100" s="9" t="n">
        <v>25.39</v>
      </c>
      <c r="HR100" s="9" t="n">
        <v>12.33</v>
      </c>
      <c r="HS100" s="9" t="n">
        <v>48.57</v>
      </c>
      <c r="HT100" s="9" t="n">
        <v>1.91</v>
      </c>
      <c r="HU100" s="9" t="n">
        <v>1.09</v>
      </c>
      <c r="HV100" s="9" t="n">
        <v>57.14</v>
      </c>
      <c r="HW100" s="9" t="n">
        <v>31.7</v>
      </c>
      <c r="HX100" s="9" t="n">
        <v>8.52</v>
      </c>
      <c r="HY100" s="9" t="n">
        <v>12.27</v>
      </c>
      <c r="HZ100" s="9" t="n">
        <v>2.03</v>
      </c>
      <c r="IA100" s="9" t="n">
        <v>0.06</v>
      </c>
      <c r="IB100" s="9" t="n">
        <v>147.27</v>
      </c>
      <c r="IC100" s="9" t="n">
        <v>115.94</v>
      </c>
      <c r="ID100" s="9" t="n">
        <v>78.72</v>
      </c>
      <c r="IE100" s="9" t="n">
        <v>72.94</v>
      </c>
      <c r="IF100" s="9" t="n">
        <v>69.33</v>
      </c>
      <c r="IG100" s="9" t="n">
        <v>95.06</v>
      </c>
      <c r="IH100" s="9" t="n">
        <v>182.52</v>
      </c>
      <c r="II100" s="9" t="n">
        <v>165.67</v>
      </c>
      <c r="IJ100" s="9" t="n">
        <v>90.77</v>
      </c>
      <c r="IK100" s="9" t="n">
        <v>38.06</v>
      </c>
      <c r="IL100" s="9" t="n">
        <v>22.36</v>
      </c>
      <c r="IM100" s="9" t="n">
        <v>58.76</v>
      </c>
      <c r="IN100" s="9" t="n">
        <v>62.33</v>
      </c>
      <c r="IO100" s="9" t="n">
        <v>48.94</v>
      </c>
      <c r="IP100" s="9" t="n">
        <v>78.51000000000001</v>
      </c>
      <c r="IQ100" s="9" t="n">
        <v>76.61</v>
      </c>
      <c r="IR100" s="9" t="n">
        <v>62.88</v>
      </c>
      <c r="IS100" s="9" t="n">
        <v>82.08</v>
      </c>
      <c r="IT100" s="33">
        <f>PERCENTRANK(IS$2:INDEX($IS:$IS,LOOKUP(2,1/(ISNUMBER($A$2:$A$1048576)),ROW($A$2:$A$1048576))),IS100)</f>
        <v/>
      </c>
      <c r="IU100" s="39">
        <f>1-(IS100-IS$106)/IS$107</f>
        <v/>
      </c>
      <c r="IV100" s="9" t="n">
        <v>1.67</v>
      </c>
      <c r="IW100" s="9" t="n">
        <v>0.91</v>
      </c>
      <c r="IX100" s="9" t="n">
        <v>54.55</v>
      </c>
      <c r="IY100" s="9" t="n">
        <v>18.12</v>
      </c>
      <c r="IZ100" s="9" t="n">
        <v>16.48</v>
      </c>
      <c r="JA100" s="9" t="n">
        <v>90.97</v>
      </c>
      <c r="JB100" s="9" t="n">
        <v>6.58</v>
      </c>
      <c r="JC100" s="9" t="n">
        <v>16.14</v>
      </c>
      <c r="JD100" s="9" t="n">
        <v>4.84</v>
      </c>
      <c r="JE100" s="9" t="n">
        <v>8.67</v>
      </c>
      <c r="JF100" s="9" t="n">
        <v>18</v>
      </c>
      <c r="JG100" s="9" t="n">
        <v>19.61</v>
      </c>
      <c r="JH100" s="9" t="n">
        <v>10.89</v>
      </c>
    </row>
    <row r="101">
      <c r="A101" s="19" t="n"/>
      <c r="B101" s="41" t="n"/>
      <c r="C101" s="12" t="n"/>
      <c r="D101" s="12" t="n"/>
      <c r="E101" s="12" t="n"/>
      <c r="F101" s="12" t="n"/>
      <c r="G101" s="12" t="n"/>
      <c r="H101" s="12" t="n"/>
      <c r="I101" s="12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9" t="n"/>
      <c r="S101" s="19" t="n"/>
      <c r="T101" s="19" t="n"/>
      <c r="U101" s="19" t="n"/>
      <c r="V101" s="19" t="n"/>
      <c r="W101" s="19" t="n"/>
    </row>
    <row r="102">
      <c r="A102" s="19" t="n"/>
      <c r="B102" s="41" t="n"/>
      <c r="C102" s="12" t="n"/>
      <c r="D102" s="12" t="n"/>
      <c r="E102" s="12" t="n"/>
      <c r="F102" s="12" t="n"/>
      <c r="G102" s="12" t="n"/>
      <c r="H102" s="12" t="n"/>
      <c r="I102" s="12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</row>
    <row r="103">
      <c r="A103" s="13" t="inlineStr">
        <is>
          <t>Correlation to Points</t>
        </is>
      </c>
      <c r="B103" s="41" t="n"/>
      <c r="C103" s="12" t="n"/>
      <c r="D103" s="12" t="n"/>
      <c r="E103" s="12" t="n"/>
      <c r="F103" s="12" t="n"/>
      <c r="G103" s="12" t="n"/>
      <c r="H103" s="12" t="n"/>
      <c r="I103" s="12" t="n"/>
      <c r="J103" s="14">
        <f>CORREL($C2:INDEX($C:$C,LOOKUP(2,1/(ISNUMBER($A$2:$A$1048576)),ROW($A$2:$A$1048576))),J2:INDEX($J:$J,LOOKUP(2,1/(ISNUMBER($A$2:$A$1048576)),ROW($A$2:$A$1048576))))</f>
        <v/>
      </c>
      <c r="K103" s="14" t="n"/>
      <c r="L103" s="14">
        <f>CORREL($C2:INDEX($C:$C,LOOKUP(2,1/(ISNUMBER($A$2:$A$1048576)),ROW($A$2:$A$1048576))),L2:INDEX($L:$L,LOOKUP(2,1/(ISNUMBER($A$2:$A$1048576)),ROW($A$2:$A$1048576))))</f>
        <v/>
      </c>
      <c r="M103" s="14" t="n"/>
      <c r="N103" s="14">
        <f>CORREL($C2:INDEX($C:$C,LOOKUP(2,1/(ISNUMBER($A$2:$A$1048576)),ROW($A$2:$A$1048576))),N2:INDEX($N:$N,LOOKUP(2,1/(ISNUMBER($A$2:$A$1048576)),ROW($A$2:$A$1048576))))</f>
        <v/>
      </c>
      <c r="O103" s="14" t="n"/>
      <c r="P103" s="14">
        <f>CORREL($C2:INDEX($C:$C,LOOKUP(2,1/(ISNUMBER($A$2:$A$1048576)),ROW($A$2:$A$1048576))),P2:INDEX($P:$P,LOOKUP(2,1/(ISNUMBER($A$2:$A$1048576)),ROW($A$2:$A$1048576))))</f>
        <v/>
      </c>
      <c r="Q103" s="14" t="n"/>
      <c r="R103" s="14">
        <f>CORREL($C2:INDEX($C:$C,LOOKUP(2,1/(ISNUMBER($A$2:$A$1048576)),ROW($A$2:$A$1048576))),R2:INDEX($R:$R,LOOKUP(2,1/(ISNUMBER($A$2:$A$1048576)),ROW($A$2:$A$1048576))))</f>
        <v/>
      </c>
      <c r="S103" s="14" t="n"/>
      <c r="T103" s="14" t="n"/>
      <c r="U103" s="14">
        <f>CORREL($C2:INDEX($C:$C,LOOKUP(2,1/(ISNUMBER($A$2:$A$1048576)),ROW($A$2:$A$1048576))),U2:INDEX($U:$U,LOOKUP(2,1/(ISNUMBER($A$2:$A$1048576)),ROW($A$2:$A$1048576))))</f>
        <v/>
      </c>
      <c r="V103" s="14" t="n"/>
      <c r="W103" s="14" t="n"/>
      <c r="X103" s="14">
        <f>CORREL($C2:INDEX($C:$C,LOOKUP(2,1/(ISNUMBER($A$2:$A$1048576)),ROW($A$2:$A$1048576))),X2:INDEX($X:$X,LOOKUP(2,1/(ISNUMBER($A$2:$A$1048576)),ROW($A$2:$A$1048576))))</f>
        <v/>
      </c>
      <c r="Y103" s="14">
        <f>CORREL($C2:INDEX($C:$C,LOOKUP(2,1/(ISNUMBER($A$2:$A$1048576)),ROW($A$2:$A$1048576))),Y2:INDEX($Y:$Y,LOOKUP(2,1/(ISNUMBER($A$2:$A$1048576)),ROW($A$2:$A$1048576))))</f>
        <v/>
      </c>
      <c r="Z103" s="14" t="n"/>
      <c r="AA103" s="14" t="n"/>
      <c r="AB103" s="14">
        <f>CORREL($C2:INDEX($C:$C,LOOKUP(2,1/(ISNUMBER($A$2:$A$1048576)),ROW($A$2:$A$1048576))),AB2:INDEX($AB:$AB,LOOKUP(2,1/(ISNUMBER($A$2:$A$1048576)),ROW($A$2:$A$1048576))))</f>
        <v/>
      </c>
      <c r="AC103" s="14" t="n"/>
      <c r="AD103" s="14" t="n"/>
      <c r="AE103" s="14">
        <f>CORREL($C2:INDEX($C:$C,LOOKUP(2,1/(ISNUMBER($A$2:$A$1048576)),ROW($A$2:$A$1048576))),AE2:INDEX($AE:$AE,LOOKUP(2,1/(ISNUMBER($A$2:$A$1048576)),ROW($A$2:$A$1048576))))</f>
        <v/>
      </c>
      <c r="AF103" s="14" t="n"/>
      <c r="AG103" s="14" t="n"/>
      <c r="AH103" s="14">
        <f>CORREL($C2:INDEX($C:$C,LOOKUP(2,1/(ISNUMBER($A$2:$A$1048576)),ROW($A$2:$A$1048576))),AH2:INDEX($AH:$AH,LOOKUP(2,1/(ISNUMBER($A$2:$A$1048576)),ROW($A$2:$A$1048576))))</f>
        <v/>
      </c>
      <c r="AI103" s="14">
        <f>CORREL($C2:INDEX($C:$C,LOOKUP(2,1/(ISNUMBER($A$2:$A$1048576)),ROW($A$2:$A$1048576))),AI2:INDEX($AI:$AI,LOOKUP(2,1/(ISNUMBER($A$2:$A$1048576)),ROW($A$2:$A$1048576))))</f>
        <v/>
      </c>
      <c r="AJ103" s="14">
        <f>CORREL($C2:INDEX($C:$C,LOOKUP(2,1/(ISNUMBER($A$2:$A$1048576)),ROW($A$2:$A$1048576))),AJ2:INDEX($AJ:$AJ,LOOKUP(2,1/(ISNUMBER($A$2:$A$1048576)),ROW($A$2:$A$1048576))))</f>
        <v/>
      </c>
      <c r="AK103" s="14">
        <f>CORREL($C2:INDEX($C:$C,LOOKUP(2,1/(ISNUMBER($A$2:$A$1048576)),ROW($A$2:$A$1048576))),AK2:INDEX($AK:$AK,LOOKUP(2,1/(ISNUMBER($A$2:$A$1048576)),ROW($A$2:$A$1048576))))</f>
        <v/>
      </c>
      <c r="AL103" s="14">
        <f>CORREL($C2:INDEX($C:$C,LOOKUP(2,1/(ISNUMBER($A$2:$A$1048576)),ROW($A$2:$A$1048576))),AL2:INDEX($AL:$AL,LOOKUP(2,1/(ISNUMBER($A$2:$A$1048576)),ROW($A$2:$A$1048576))))</f>
        <v/>
      </c>
      <c r="AM103" s="14">
        <f>CORREL($C2:INDEX($C:$C,LOOKUP(2,1/(ISNUMBER($A$2:$A$1048576)),ROW($A$2:$A$1048576))),AM2:INDEX($AM:$AM,LOOKUP(2,1/(ISNUMBER($A$2:$A$1048576)),ROW($A$2:$A$1048576))))</f>
        <v/>
      </c>
      <c r="AN103" s="14">
        <f>CORREL($C2:INDEX($C:$C,LOOKUP(2,1/(ISNUMBER($A$2:$A$1048576)),ROW($A$2:$A$1048576))),AN2:INDEX($AN:$AN,LOOKUP(2,1/(ISNUMBER($A$2:$A$1048576)),ROW($A$2:$A$1048576))))</f>
        <v/>
      </c>
      <c r="AO103" s="14">
        <f>CORREL($C2:INDEX($C:$C,LOOKUP(2,1/(ISNUMBER($A$2:$A$1048576)),ROW($A$2:$A$1048576))),AO2:INDEX($AO:$AO,LOOKUP(2,1/(ISNUMBER($A$2:$A$1048576)),ROW($A$2:$A$1048576))))</f>
        <v/>
      </c>
      <c r="AP103" s="14">
        <f>CORREL($C2:INDEX($C:$C,LOOKUP(2,1/(ISNUMBER($A$2:$A$1048576)),ROW($A$2:$A$1048576))),AP2:INDEX($AP:$AP,LOOKUP(2,1/(ISNUMBER($A$2:$A$1048576)),ROW($A$2:$A$1048576))))</f>
        <v/>
      </c>
      <c r="AQ103" s="14">
        <f>CORREL($C2:INDEX($C:$C,LOOKUP(2,1/(ISNUMBER($A$2:$A$1048576)),ROW($A$2:$A$1048576))),AQ2:INDEX($AQ:$AQ,LOOKUP(2,1/(ISNUMBER($A$2:$A$1048576)),ROW($A$2:$A$1048576))))</f>
        <v/>
      </c>
      <c r="AR103" s="14">
        <f>CORREL($C2:INDEX($C:$C,LOOKUP(2,1/(ISNUMBER($A$2:$A$1048576)),ROW($A$2:$A$1048576))),AR2:INDEX($AR:$AR,LOOKUP(2,1/(ISNUMBER($A$2:$A$1048576)),ROW($A$2:$A$1048576))))</f>
        <v/>
      </c>
      <c r="AS103" s="14">
        <f>CORREL($C2:INDEX($C:$C,LOOKUP(2,1/(ISNUMBER($A$2:$A$1048576)),ROW($A$2:$A$1048576))),AS2:INDEX($AS:$AS,LOOKUP(2,1/(ISNUMBER($A$2:$A$1048576)),ROW($A$2:$A$1048576))))</f>
        <v/>
      </c>
      <c r="AT103" s="14" t="n"/>
      <c r="AU103" s="14" t="n"/>
      <c r="AV103" s="14">
        <f>CORREL($C2:INDEX($C:$C,LOOKUP(2,1/(ISNUMBER($A$2:$A$1048576)),ROW($A$2:$A$1048576))),AV2:INDEX($AV:$AV,LOOKUP(2,1/(ISNUMBER($A$2:$A$1048576)),ROW($A$2:$A$1048576))))</f>
        <v/>
      </c>
      <c r="AW103" s="14" t="n"/>
      <c r="AX103" s="14">
        <f>CORREL($C2:INDEX($C:$C,LOOKUP(2,1/(ISNUMBER($A$2:$A$1048576)),ROW($A$2:$A$1048576))),AX2:INDEX($AX:$AX,LOOKUP(2,1/(ISNUMBER($A$2:$A$1048576)),ROW($A$2:$A$1048576))))</f>
        <v/>
      </c>
      <c r="AY103" s="14">
        <f>CORREL($C2:INDEX($C:$C,LOOKUP(2,1/(ISNUMBER($A$2:$A$1048576)),ROW($A$2:$A$1048576))),AY2:INDEX($AY:$AY,LOOKUP(2,1/(ISNUMBER($A$2:$A$1048576)),ROW($A$2:$A$1048576))))</f>
        <v/>
      </c>
      <c r="AZ103" s="14">
        <f>CORREL($C2:INDEX($C:$C,LOOKUP(2,1/(ISNUMBER($A$2:$A$1048576)),ROW($A$2:$A$1048576))),AZ2:INDEX($AZ:$AZ,LOOKUP(2,1/(ISNUMBER($A$2:$A$1048576)),ROW($A$2:$A$1048576))))</f>
        <v/>
      </c>
      <c r="BA103" s="14">
        <f>CORREL($C2:INDEX($C:$C,LOOKUP(2,1/(ISNUMBER($A$2:$A$1048576)),ROW($A$2:$A$1048576))),BA2:INDEX($BA:$BA,LOOKUP(2,1/(ISNUMBER($A$2:$A$1048576)),ROW($A$2:$A$1048576))))</f>
        <v/>
      </c>
      <c r="BB103" s="14">
        <f>CORREL($C2:INDEX($C:$C,LOOKUP(2,1/(ISNUMBER($A$2:$A$1048576)),ROW($A$2:$A$1048576))),BB2:INDEX($BB:$BB,LOOKUP(2,1/(ISNUMBER($A$2:$A$1048576)),ROW($A$2:$A$1048576))))</f>
        <v/>
      </c>
      <c r="BC103" s="14">
        <f>CORREL($C2:INDEX($C:$C,LOOKUP(2,1/(ISNUMBER($A$2:$A$1048576)),ROW($A$2:$A$1048576))),BC2:INDEX($BC:$BC,LOOKUP(2,1/(ISNUMBER($A$2:$A$1048576)),ROW($A$2:$A$1048576))))</f>
        <v/>
      </c>
      <c r="BD103" s="14">
        <f>CORREL($C2:INDEX($C:$C,LOOKUP(2,1/(ISNUMBER($A$2:$A$1048576)),ROW($A$2:$A$1048576))),BD2:INDEX($BD:$BD,LOOKUP(2,1/(ISNUMBER($A$2:$A$1048576)),ROW($A$2:$A$1048576))))</f>
        <v/>
      </c>
      <c r="BE103" s="14">
        <f>CORREL($C2:INDEX($C:$C,LOOKUP(2,1/(ISNUMBER($A$2:$A$1048576)),ROW($A$2:$A$1048576))),BE2:INDEX($BE:$BE,LOOKUP(2,1/(ISNUMBER($A$2:$A$1048576)),ROW($A$2:$A$1048576))))</f>
        <v/>
      </c>
      <c r="BF103" s="14" t="n"/>
      <c r="BG103" s="14" t="n"/>
      <c r="BH103" s="14">
        <f>CORREL($C2:INDEX($C:$C,LOOKUP(2,1/(ISNUMBER($A$2:$A$1048576)),ROW($A$2:$A$1048576))),BH2:INDEX($BH:$BH,LOOKUP(2,1/(ISNUMBER($A$2:$A$1048576)),ROW($A$2:$A$1048576))))</f>
        <v/>
      </c>
      <c r="BI103" s="14">
        <f>CORREL($C2:INDEX($C:$C,LOOKUP(2,1/(ISNUMBER($A$2:$A$1048576)),ROW($A$2:$A$1048576))),BI2:INDEX($BI:$BI,LOOKUP(2,1/(ISNUMBER($A$2:$A$1048576)),ROW($A$2:$A$1048576))))</f>
        <v/>
      </c>
      <c r="BJ103" s="14">
        <f>CORREL($C2:INDEX($C:$C,LOOKUP(2,1/(ISNUMBER($A$2:$A$1048576)),ROW($A$2:$A$1048576))),BJ2:INDEX($BJ:$BJ,LOOKUP(2,1/(ISNUMBER($A$2:$A$1048576)),ROW($A$2:$A$1048576))))</f>
        <v/>
      </c>
      <c r="BK103" s="14">
        <f>CORREL($C2:INDEX($C:$C,LOOKUP(2,1/(ISNUMBER($A$2:$A$1048576)),ROW($A$2:$A$1048576))),BK2:INDEX($BK:$BK,LOOKUP(2,1/(ISNUMBER($A$2:$A$1048576)),ROW($A$2:$A$1048576))))</f>
        <v/>
      </c>
      <c r="BL103" s="14">
        <f>CORREL($C2:INDEX($C:$C,LOOKUP(2,1/(ISNUMBER($A$2:$A$1048576)),ROW($A$2:$A$1048576))),BL2:INDEX($BL:$BL,LOOKUP(2,1/(ISNUMBER($A$2:$A$1048576)),ROW($A$2:$A$1048576))))</f>
        <v/>
      </c>
      <c r="BM103" s="14">
        <f>CORREL($C2:INDEX($C:$C,LOOKUP(2,1/(ISNUMBER($A$2:$A$1048576)),ROW($A$2:$A$1048576))),BM2:INDEX($BM:$BM,LOOKUP(2,1/(ISNUMBER($A$2:$A$1048576)),ROW($A$2:$A$1048576))))</f>
        <v/>
      </c>
      <c r="BN103" s="14">
        <f>CORREL($C2:INDEX($C:$C,LOOKUP(2,1/(ISNUMBER($A$2:$A$1048576)),ROW($A$2:$A$1048576))),BN2:INDEX($BN:$BN,LOOKUP(2,1/(ISNUMBER($A$2:$A$1048576)),ROW($A$2:$A$1048576))))</f>
        <v/>
      </c>
      <c r="BO103" s="14">
        <f>CORREL($C2:INDEX($C:$C,LOOKUP(2,1/(ISNUMBER($A$2:$A$1048576)),ROW($A$2:$A$1048576))),BO2:INDEX($BO:$BO,LOOKUP(2,1/(ISNUMBER($A$2:$A$1048576)),ROW($A$2:$A$1048576))))</f>
        <v/>
      </c>
      <c r="BP103" s="14">
        <f>CORREL($C2:INDEX($C:$C,LOOKUP(2,1/(ISNUMBER($A$2:$A$1048576)),ROW($A$2:$A$1048576))),BP2:INDEX($BP:$BP,LOOKUP(2,1/(ISNUMBER($A$2:$A$1048576)),ROW($A$2:$A$1048576))))</f>
        <v/>
      </c>
      <c r="BQ103" s="14">
        <f>CORREL($C2:INDEX($C:$C,LOOKUP(2,1/(ISNUMBER($A$2:$A$1048576)),ROW($A$2:$A$1048576))),BQ2:INDEX($BQ:$BQ,LOOKUP(2,1/(ISNUMBER($A$2:$A$1048576)),ROW($A$2:$A$1048576))))</f>
        <v/>
      </c>
      <c r="BR103" s="14">
        <f>CORREL($C2:INDEX($C:$C,LOOKUP(2,1/(ISNUMBER($A$2:$A$1048576)),ROW($A$2:$A$1048576))),BR2:INDEX($BR:$BR,LOOKUP(2,1/(ISNUMBER($A$2:$A$1048576)),ROW($A$2:$A$1048576))))</f>
        <v/>
      </c>
      <c r="BS103" s="14">
        <f>CORREL($C2:INDEX($C:$C,LOOKUP(2,1/(ISNUMBER($A$2:$A$1048576)),ROW($A$2:$A$1048576))),BS2:INDEX($BS:$BS,LOOKUP(2,1/(ISNUMBER($A$2:$A$1048576)),ROW($A$2:$A$1048576))))</f>
        <v/>
      </c>
      <c r="BT103" s="14">
        <f>CORREL($C2:INDEX($C:$C,LOOKUP(2,1/(ISNUMBER($A$2:$A$1048576)),ROW($A$2:$A$1048576))),BT2:INDEX($BT:$BT,LOOKUP(2,1/(ISNUMBER($A$2:$A$1048576)),ROW($A$2:$A$1048576))))</f>
        <v/>
      </c>
      <c r="BU103" s="14">
        <f>CORREL($C2:INDEX($C:$C,LOOKUP(2,1/(ISNUMBER($A$2:$A$1048576)),ROW($A$2:$A$1048576))),BU2:INDEX($BU:$BU,LOOKUP(2,1/(ISNUMBER($A$2:$A$1048576)),ROW($A$2:$A$1048576))))</f>
        <v/>
      </c>
      <c r="BV103" s="14">
        <f>CORREL($C2:INDEX($C:$C,LOOKUP(2,1/(ISNUMBER($A$2:$A$1048576)),ROW($A$2:$A$1048576))),BV2:INDEX($BV:$BV,LOOKUP(2,1/(ISNUMBER($A$2:$A$1048576)),ROW($A$2:$A$1048576))))</f>
        <v/>
      </c>
      <c r="BW103" s="14">
        <f>CORREL($C2:INDEX($C:$C,LOOKUP(2,1/(ISNUMBER($A$2:$A$1048576)),ROW($A$2:$A$1048576))),BW2:INDEX($BW:$BW,LOOKUP(2,1/(ISNUMBER($A$2:$A$1048576)),ROW($A$2:$A$1048576))))</f>
        <v/>
      </c>
      <c r="BX103" s="14">
        <f>CORREL($C2:INDEX($C:$C,LOOKUP(2,1/(ISNUMBER($A$2:$A$1048576)),ROW($A$2:$A$1048576))),BX2:INDEX($BX:$BX,LOOKUP(2,1/(ISNUMBER($A$2:$A$1048576)),ROW($A$2:$A$1048576))))</f>
        <v/>
      </c>
      <c r="BY103" s="14">
        <f>CORREL($C2:INDEX($C:$C,LOOKUP(2,1/(ISNUMBER($A$2:$A$1048576)),ROW($A$2:$A$1048576))),BY2:INDEX($BY:$BY,LOOKUP(2,1/(ISNUMBER($A$2:$A$1048576)),ROW($A$2:$A$1048576))))</f>
        <v/>
      </c>
      <c r="BZ103" s="14">
        <f>CORREL($C2:INDEX($C:$C,LOOKUP(2,1/(ISNUMBER($A$2:$A$1048576)),ROW($A$2:$A$1048576))),BZ2:INDEX($BZ:$BZ,LOOKUP(2,1/(ISNUMBER($A$2:$A$1048576)),ROW($A$2:$A$1048576))))</f>
        <v/>
      </c>
      <c r="CA103" s="14">
        <f>CORREL($C2:INDEX($C:$C,LOOKUP(2,1/(ISNUMBER($A$2:$A$1048576)),ROW($A$2:$A$1048576))),CA2:INDEX($CA:$CA,LOOKUP(2,1/(ISNUMBER($A$2:$A$1048576)),ROW($A$2:$A$1048576))))</f>
        <v/>
      </c>
      <c r="CB103" s="14">
        <f>CORREL($C2:INDEX($C:$C,LOOKUP(2,1/(ISNUMBER($A$2:$A$1048576)),ROW($A$2:$A$1048576))),CB2:INDEX($CB:$CB,LOOKUP(2,1/(ISNUMBER($A$2:$A$1048576)),ROW($A$2:$A$1048576))))</f>
        <v/>
      </c>
      <c r="CC103" s="14" t="n"/>
      <c r="CD103" s="14" t="n"/>
      <c r="CE103" s="14">
        <f>CORREL($C2:INDEX($C:$C,LOOKUP(2,1/(ISNUMBER($A$2:$A$1048576)),ROW($A$2:$A$1048576))),CE2:INDEX($CE:$CE,LOOKUP(2,1/(ISNUMBER($A$2:$A$1048576)),ROW($A$2:$A$1048576))))</f>
        <v/>
      </c>
      <c r="CF103" s="14" t="n"/>
      <c r="CG103" s="14" t="n"/>
      <c r="CH103" s="14">
        <f>CORREL($C2:INDEX($C:$C,LOOKUP(2,1/(ISNUMBER($A$2:$A$1048576)),ROW($A$2:$A$1048576))),CH2:INDEX($CH:$CH,LOOKUP(2,1/(ISNUMBER($A$2:$A$1048576)),ROW($A$2:$A$1048576))))</f>
        <v/>
      </c>
      <c r="CI103" s="14">
        <f>CORREL($C2:INDEX($C:$C,LOOKUP(2,1/(ISNUMBER($A$2:$A$1048576)),ROW($A$2:$A$1048576))),CI2:INDEX($CI:$CI,LOOKUP(2,1/(ISNUMBER($A$2:$A$1048576)),ROW($A$2:$A$1048576))))</f>
        <v/>
      </c>
      <c r="CJ103" s="14">
        <f>CORREL($C2:INDEX($C:$C,LOOKUP(2,1/(ISNUMBER($A$2:$A$1048576)),ROW($A$2:$A$1048576))),CJ2:INDEX($CJ:$CJ,LOOKUP(2,1/(ISNUMBER($A$2:$A$1048576)),ROW($A$2:$A$1048576))))</f>
        <v/>
      </c>
      <c r="CK103" s="14" t="n"/>
      <c r="CL103" s="14" t="n"/>
      <c r="CM103" s="14">
        <f>CORREL($C2:INDEX($C:$C,LOOKUP(2,1/(ISNUMBER($A$2:$A$1048576)),ROW($A$2:$A$1048576))),CM2:INDEX($CM:$CM,LOOKUP(2,1/(ISNUMBER($A$2:$A$1048576)),ROW($A$2:$A$1048576))))</f>
        <v/>
      </c>
      <c r="CN103" s="14">
        <f>CORREL($C2:INDEX($C:$C,LOOKUP(2,1/(ISNUMBER($A$2:$A$1048576)),ROW($A$2:$A$1048576))),CN2:INDEX($CN:$CN,LOOKUP(2,1/(ISNUMBER($A$2:$A$1048576)),ROW($A$2:$A$1048576))))</f>
        <v/>
      </c>
      <c r="CO103" s="14">
        <f>CORREL($C2:INDEX($C:$C,LOOKUP(2,1/(ISNUMBER($A$2:$A$1048576)),ROW($A$2:$A$1048576))),CO2:INDEX($CO:$CO,LOOKUP(2,1/(ISNUMBER($A$2:$A$1048576)),ROW($A$2:$A$1048576))))</f>
        <v/>
      </c>
      <c r="CP103" s="14">
        <f>CORREL($C2:INDEX($C:$C,LOOKUP(2,1/(ISNUMBER($A$2:$A$1048576)),ROW($A$2:$A$1048576))),CP2:INDEX($CP:$CP,LOOKUP(2,1/(ISNUMBER($A$2:$A$1048576)),ROW($A$2:$A$1048576))))</f>
        <v/>
      </c>
      <c r="CQ103" s="14">
        <f>CORREL($C2:INDEX($C:$C,LOOKUP(2,1/(ISNUMBER($A$2:$A$1048576)),ROW($A$2:$A$1048576))),CQ2:INDEX($CQ:$CQ,LOOKUP(2,1/(ISNUMBER($A$2:$A$1048576)),ROW($A$2:$A$1048576))))</f>
        <v/>
      </c>
      <c r="CR103" s="14">
        <f>CORREL($C2:INDEX($C:$C,LOOKUP(2,1/(ISNUMBER($A$2:$A$1048576)),ROW($A$2:$A$1048576))),CR2:INDEX($CR:$CR,LOOKUP(2,1/(ISNUMBER($A$2:$A$1048576)),ROW($A$2:$A$1048576))))</f>
        <v/>
      </c>
      <c r="CS103" s="14" t="n"/>
      <c r="CT103" s="14" t="n"/>
      <c r="CU103" s="14">
        <f>CORREL($C2:INDEX($C:$C,LOOKUP(2,1/(ISNUMBER($A$2:$A$1048576)),ROW($A$2:$A$1048576))),CU2:INDEX($CU:$CU,LOOKUP(2,1/(ISNUMBER($A$2:$A$1048576)),ROW($A$2:$A$1048576))))</f>
        <v/>
      </c>
      <c r="CV103" s="14" t="n"/>
      <c r="CW103" s="14" t="n"/>
      <c r="CX103" s="14">
        <f>CORREL($C2:INDEX($C:$C,LOOKUP(2,1/(ISNUMBER($A$2:$A$1048576)),ROW($A$2:$A$1048576))),CX2:INDEX($CX:$CX,LOOKUP(2,1/(ISNUMBER($A$2:$A$1048576)),ROW($A$2:$A$1048576))))</f>
        <v/>
      </c>
      <c r="CY103" s="14">
        <f>CORREL($C2:INDEX($C:$C,LOOKUP(2,1/(ISNUMBER($A$2:$A$1048576)),ROW($A$2:$A$1048576))),CY2:INDEX($CY:$CY,LOOKUP(2,1/(ISNUMBER($A$2:$A$1048576)),ROW($A$2:$A$1048576))))</f>
        <v/>
      </c>
      <c r="CZ103" s="14">
        <f>CORREL($C2:INDEX($C:$C,LOOKUP(2,1/(ISNUMBER($A$2:$A$1048576)),ROW($A$2:$A$1048576))),CZ2:INDEX($CZ:$CZ,LOOKUP(2,1/(ISNUMBER($A$2:$A$1048576)),ROW($A$2:$A$1048576))))</f>
        <v/>
      </c>
      <c r="DA103" s="14">
        <f>CORREL($C2:INDEX($C:$C,LOOKUP(2,1/(ISNUMBER($A$2:$A$1048576)),ROW($A$2:$A$1048576))),DA2:INDEX($DA:$DA,LOOKUP(2,1/(ISNUMBER($A$2:$A$1048576)),ROW($A$2:$A$1048576))))</f>
        <v/>
      </c>
      <c r="DB103" s="14">
        <f>CORREL($C2:INDEX($C:$C,LOOKUP(2,1/(ISNUMBER($A$2:$A$1048576)),ROW($A$2:$A$1048576))),DB2:INDEX($DB:$DB,LOOKUP(2,1/(ISNUMBER($A$2:$A$1048576)),ROW($A$2:$A$1048576))))</f>
        <v/>
      </c>
      <c r="DC103" s="14">
        <f>CORREL($C2:INDEX($C:$C,LOOKUP(2,1/(ISNUMBER($A$2:$A$1048576)),ROW($A$2:$A$1048576))),DC2:INDEX($DC:$DC,LOOKUP(2,1/(ISNUMBER($A$2:$A$1048576)),ROW($A$2:$A$1048576))))</f>
        <v/>
      </c>
      <c r="DD103" s="14">
        <f>CORREL($C2:INDEX($C:$C,LOOKUP(2,1/(ISNUMBER($A$2:$A$1048576)),ROW($A$2:$A$1048576))),DD2:INDEX($DD:$DD,LOOKUP(2,1/(ISNUMBER($A$2:$A$1048576)),ROW($A$2:$A$1048576))))</f>
        <v/>
      </c>
      <c r="DE103" s="14">
        <f>CORREL($C2:INDEX($C:$C,LOOKUP(2,1/(ISNUMBER($A$2:$A$1048576)),ROW($A$2:$A$1048576))),DE2:INDEX($DE:$DE,LOOKUP(2,1/(ISNUMBER($A$2:$A$1048576)),ROW($A$2:$A$1048576))))</f>
        <v/>
      </c>
      <c r="DF103" s="14">
        <f>CORREL($C2:INDEX($C:$C,LOOKUP(2,1/(ISNUMBER($A$2:$A$1048576)),ROW($A$2:$A$1048576))),DF2:INDEX($DF:$DF,LOOKUP(2,1/(ISNUMBER($A$2:$A$1048576)),ROW($A$2:$A$1048576))))</f>
        <v/>
      </c>
      <c r="DG103" s="14">
        <f>CORREL($C2:INDEX($C:$C,LOOKUP(2,1/(ISNUMBER($A$2:$A$1048576)),ROW($A$2:$A$1048576))),DG2:INDEX($DG:$DG,LOOKUP(2,1/(ISNUMBER($A$2:$A$1048576)),ROW($A$2:$A$1048576))))</f>
        <v/>
      </c>
      <c r="DH103" s="14">
        <f>CORREL($C2:INDEX($C:$C,LOOKUP(2,1/(ISNUMBER($A$2:$A$1048576)),ROW($A$2:$A$1048576))),DH2:INDEX($DH:$DH,LOOKUP(2,1/(ISNUMBER($A$2:$A$1048576)),ROW($A$2:$A$1048576))))</f>
        <v/>
      </c>
      <c r="DI103" s="14" t="n"/>
      <c r="DJ103" s="14" t="n"/>
      <c r="DK103" s="14">
        <f>CORREL($C2:INDEX($C:$C,LOOKUP(2,1/(ISNUMBER($A$2:$A$1048576)),ROW($A$2:$A$1048576))),DK2:INDEX($DK:$DK,LOOKUP(2,1/(ISNUMBER($A$2:$A$1048576)),ROW($A$2:$A$1048576))))</f>
        <v/>
      </c>
      <c r="DL103" s="14">
        <f>CORREL($C2:INDEX($C:$C,LOOKUP(2,1/(ISNUMBER($A$2:$A$1048576)),ROW($A$2:$A$1048576))),DL2:INDEX($DL:$DL,LOOKUP(2,1/(ISNUMBER($A$2:$A$1048576)),ROW($A$2:$A$1048576))))</f>
        <v/>
      </c>
      <c r="DM103" s="14">
        <f>CORREL($C2:INDEX($C:$C,LOOKUP(2,1/(ISNUMBER($A$2:$A$1048576)),ROW($A$2:$A$1048576))),DM2:INDEX($DM:$DM,LOOKUP(2,1/(ISNUMBER($A$2:$A$1048576)),ROW($A$2:$A$1048576))))</f>
        <v/>
      </c>
      <c r="DN103" s="14">
        <f>CORREL($C2:INDEX($C:$C,LOOKUP(2,1/(ISNUMBER($A$2:$A$1048576)),ROW($A$2:$A$1048576))),DN2:INDEX($DN:$DN,LOOKUP(2,1/(ISNUMBER($A$2:$A$1048576)),ROW($A$2:$A$1048576))))</f>
        <v/>
      </c>
      <c r="DO103" s="14">
        <f>CORREL($C2:INDEX($C:$C,LOOKUP(2,1/(ISNUMBER($A$2:$A$1048576)),ROW($A$2:$A$1048576))),DO2:INDEX($DO:$DO,LOOKUP(2,1/(ISNUMBER($A$2:$A$1048576)),ROW($A$2:$A$1048576))))</f>
        <v/>
      </c>
      <c r="DP103" s="14">
        <f>CORREL($C2:INDEX($C:$C,LOOKUP(2,1/(ISNUMBER($A$2:$A$1048576)),ROW($A$2:$A$1048576))),DP2:INDEX($DP:$DP,LOOKUP(2,1/(ISNUMBER($A$2:$A$1048576)),ROW($A$2:$A$1048576))))</f>
        <v/>
      </c>
      <c r="DQ103" s="14" t="n"/>
      <c r="DR103" s="14" t="n"/>
      <c r="DS103" s="14">
        <f>CORREL($C2:INDEX($C:$C,LOOKUP(2,1/(ISNUMBER($A$2:$A$1048576)),ROW($A$2:$A$1048576))),DS2:INDEX($DS:$DS,LOOKUP(2,1/(ISNUMBER($A$2:$A$1048576)),ROW($A$2:$A$1048576))))</f>
        <v/>
      </c>
      <c r="DT103" s="14">
        <f>CORREL($C2:INDEX($C:$C,LOOKUP(2,1/(ISNUMBER($A$2:$A$1048576)),ROW($A$2:$A$1048576))),DT2:INDEX($DT:$DT,LOOKUP(2,1/(ISNUMBER($A$2:$A$1048576)),ROW($A$2:$A$1048576))))</f>
        <v/>
      </c>
      <c r="DU103" s="14">
        <f>CORREL($C2:INDEX($C:$C,LOOKUP(2,1/(ISNUMBER($A$2:$A$1048576)),ROW($A$2:$A$1048576))),DU2:INDEX($DU:$DU,LOOKUP(2,1/(ISNUMBER($A$2:$A$1048576)),ROW($A$2:$A$1048576))))</f>
        <v/>
      </c>
      <c r="DV103" s="14">
        <f>CORREL($C2:INDEX($C:$C,LOOKUP(2,1/(ISNUMBER($A$2:$A$1048576)),ROW($A$2:$A$1048576))),DV2:INDEX($DV:$DV,LOOKUP(2,1/(ISNUMBER($A$2:$A$1048576)),ROW($A$2:$A$1048576))))</f>
        <v/>
      </c>
      <c r="DW103" s="14">
        <f>CORREL($C2:INDEX($C:$C,LOOKUP(2,1/(ISNUMBER($A$2:$A$1048576)),ROW($A$2:$A$1048576))),DW2:INDEX($DW:$DW,LOOKUP(2,1/(ISNUMBER($A$2:$A$1048576)),ROW($A$2:$A$1048576))))</f>
        <v/>
      </c>
      <c r="DX103" s="14">
        <f>CORREL($C2:INDEX($C:$C,LOOKUP(2,1/(ISNUMBER($A$2:$A$1048576)),ROW($A$2:$A$1048576))),DX2:INDEX($DX:$DX,LOOKUP(2,1/(ISNUMBER($A$2:$A$1048576)),ROW($A$2:$A$1048576))))</f>
        <v/>
      </c>
      <c r="DY103" s="14">
        <f>CORREL($C2:INDEX($C:$C,LOOKUP(2,1/(ISNUMBER($A$2:$A$1048576)),ROW($A$2:$A$1048576))),DY2:INDEX($DY:$DY,LOOKUP(2,1/(ISNUMBER($A$2:$A$1048576)),ROW($A$2:$A$1048576))))</f>
        <v/>
      </c>
      <c r="DZ103" s="14">
        <f>CORREL($C2:INDEX($C:$C,LOOKUP(2,1/(ISNUMBER($A$2:$A$1048576)),ROW($A$2:$A$1048576))),DZ2:INDEX($DZ:$DZ,LOOKUP(2,1/(ISNUMBER($A$2:$A$1048576)),ROW($A$2:$A$1048576))))</f>
        <v/>
      </c>
      <c r="EA103" s="14">
        <f>CORREL($C2:INDEX($C:$C,LOOKUP(2,1/(ISNUMBER($A$2:$A$1048576)),ROW($A$2:$A$1048576))),EA2:INDEX($EA:$EA,LOOKUP(2,1/(ISNUMBER($A$2:$A$1048576)),ROW($A$2:$A$1048576))))</f>
        <v/>
      </c>
      <c r="EB103" s="14">
        <f>CORREL($C2:INDEX($C:$C,LOOKUP(2,1/(ISNUMBER($A$2:$A$1048576)),ROW($A$2:$A$1048576))),EB2:INDEX($EB:$EB,LOOKUP(2,1/(ISNUMBER($A$2:$A$1048576)),ROW($A$2:$A$1048576))))</f>
        <v/>
      </c>
      <c r="EC103" s="14">
        <f>CORREL($C2:INDEX($C:$C,LOOKUP(2,1/(ISNUMBER($A$2:$A$1048576)),ROW($A$2:$A$1048576))),EC2:INDEX($EC:$EC,LOOKUP(2,1/(ISNUMBER($A$2:$A$1048576)),ROW($A$2:$A$1048576))))</f>
        <v/>
      </c>
      <c r="ED103" s="14">
        <f>CORREL($C2:INDEX($C:$C,LOOKUP(2,1/(ISNUMBER($A$2:$A$1048576)),ROW($A$2:$A$1048576))),ED2:INDEX($ED:$ED,LOOKUP(2,1/(ISNUMBER($A$2:$A$1048576)),ROW($A$2:$A$1048576))))</f>
        <v/>
      </c>
      <c r="EE103" s="14" t="n"/>
      <c r="EF103" s="14" t="n"/>
      <c r="EG103" s="14">
        <f>CORREL($C2:INDEX($C:$C,LOOKUP(2,1/(ISNUMBER($A$2:$A$1048576)),ROW($A$2:$A$1048576))),EG2:INDEX($EG:$EG,LOOKUP(2,1/(ISNUMBER($A$2:$A$1048576)),ROW($A$2:$A$1048576))))</f>
        <v/>
      </c>
      <c r="EH103" s="14">
        <f>CORREL($C2:INDEX($C:$C,LOOKUP(2,1/(ISNUMBER($A$2:$A$1048576)),ROW($A$2:$A$1048576))),EH2:INDEX($EH:$EH,LOOKUP(2,1/(ISNUMBER($A$2:$A$1048576)),ROW($A$2:$A$1048576))))</f>
        <v/>
      </c>
      <c r="EI103" s="14">
        <f>CORREL($C2:INDEX($C:$C,LOOKUP(2,1/(ISNUMBER($A$2:$A$1048576)),ROW($A$2:$A$1048576))),EI2:INDEX($EI:$EI,LOOKUP(2,1/(ISNUMBER($A$2:$A$1048576)),ROW($A$2:$A$1048576))))</f>
        <v/>
      </c>
      <c r="EJ103" s="14" t="n"/>
      <c r="EK103" s="14" t="n"/>
      <c r="EL103" s="14">
        <f>CORREL($C2:INDEX($C:$C,LOOKUP(2,1/(ISNUMBER($A$2:$A$1048576)),ROW($A$2:$A$1048576))),EL2:INDEX($EL:$EL,LOOKUP(2,1/(ISNUMBER($A$2:$A$1048576)),ROW($A$2:$A$1048576))))</f>
        <v/>
      </c>
      <c r="EM103" s="14">
        <f>CORREL($C2:INDEX($C:$C,LOOKUP(2,1/(ISNUMBER($A$2:$A$1048576)),ROW($A$2:$A$1048576))),EM2:INDEX($EM:$EM,LOOKUP(2,1/(ISNUMBER($A$2:$A$1048576)),ROW($A$2:$A$1048576))))</f>
        <v/>
      </c>
      <c r="EN103" s="14">
        <f>CORREL($C2:INDEX($C:$C,LOOKUP(2,1/(ISNUMBER($A$2:$A$1048576)),ROW($A$2:$A$1048576))),EN2:INDEX($EN:$EN,LOOKUP(2,1/(ISNUMBER($A$2:$A$1048576)),ROW($A$2:$A$1048576))))</f>
        <v/>
      </c>
      <c r="EO103" s="14">
        <f>CORREL($C2:INDEX($C:$C,LOOKUP(2,1/(ISNUMBER($A$2:$A$1048576)),ROW($A$2:$A$1048576))),EO2:INDEX($EO:$EO,LOOKUP(2,1/(ISNUMBER($A$2:$A$1048576)),ROW($A$2:$A$1048576))))</f>
        <v/>
      </c>
      <c r="EP103" s="14">
        <f>CORREL($C2:INDEX($C:$C,LOOKUP(2,1/(ISNUMBER($A$2:$A$1048576)),ROW($A$2:$A$1048576))),EP2:INDEX($EP:$EP,LOOKUP(2,1/(ISNUMBER($A$2:$A$1048576)),ROW($A$2:$A$1048576))))</f>
        <v/>
      </c>
      <c r="EQ103" s="14">
        <f>CORREL($C2:INDEX($C:$C,LOOKUP(2,1/(ISNUMBER($A$2:$A$1048576)),ROW($A$2:$A$1048576))),EQ2:INDEX($EQ:$EQ,LOOKUP(2,1/(ISNUMBER($A$2:$A$1048576)),ROW($A$2:$A$1048576))))</f>
        <v/>
      </c>
      <c r="ER103" s="14">
        <f>CORREL($C2:INDEX($C:$C,LOOKUP(2,1/(ISNUMBER($A$2:$A$1048576)),ROW($A$2:$A$1048576))),ER2:INDEX($ER:$ER,LOOKUP(2,1/(ISNUMBER($A$2:$A$1048576)),ROW($A$2:$A$1048576))))</f>
        <v/>
      </c>
      <c r="ES103" s="14">
        <f>CORREL($C2:INDEX($C:$C,LOOKUP(2,1/(ISNUMBER($A$2:$A$1048576)),ROW($A$2:$A$1048576))),ES2:INDEX($ES:$ES,LOOKUP(2,1/(ISNUMBER($A$2:$A$1048576)),ROW($A$2:$A$1048576))))</f>
        <v/>
      </c>
      <c r="ET103" s="14">
        <f>CORREL($C2:INDEX($C:$C,LOOKUP(2,1/(ISNUMBER($A$2:$A$1048576)),ROW($A$2:$A$1048576))),ET2:INDEX($ET:$ET,LOOKUP(2,1/(ISNUMBER($A$2:$A$1048576)),ROW($A$2:$A$1048576))))</f>
        <v/>
      </c>
      <c r="EU103" s="14">
        <f>CORREL($C2:INDEX($C:$C,LOOKUP(2,1/(ISNUMBER($A$2:$A$1048576)),ROW($A$2:$A$1048576))),EU2:INDEX($EU:$EU,LOOKUP(2,1/(ISNUMBER($A$2:$A$1048576)),ROW($A$2:$A$1048576))))</f>
        <v/>
      </c>
      <c r="EV103" s="14">
        <f>CORREL($C2:INDEX($C:$C,LOOKUP(2,1/(ISNUMBER($A$2:$A$1048576)),ROW($A$2:$A$1048576))),EV2:INDEX($EV:$EV,LOOKUP(2,1/(ISNUMBER($A$2:$A$1048576)),ROW($A$2:$A$1048576))))</f>
        <v/>
      </c>
      <c r="EW103" s="14">
        <f>CORREL($C2:INDEX($C:$C,LOOKUP(2,1/(ISNUMBER($A$2:$A$1048576)),ROW($A$2:$A$1048576))),EW2:INDEX($EW:$EW,LOOKUP(2,1/(ISNUMBER($A$2:$A$1048576)),ROW($A$2:$A$1048576))))</f>
        <v/>
      </c>
      <c r="EX103" s="14" t="n"/>
      <c r="EY103" s="14" t="n"/>
      <c r="EZ103" s="14">
        <f>CORREL($C2:INDEX($C:$C,LOOKUP(2,1/(ISNUMBER($A$2:$A$1048576)),ROW($A$2:$A$1048576))),EZ2:INDEX($EZ:$EZ,LOOKUP(2,1/(ISNUMBER($A$2:$A$1048576)),ROW($A$2:$A$1048576))))</f>
        <v/>
      </c>
      <c r="FA103" s="14">
        <f>CORREL($C2:INDEX($C:$C,LOOKUP(2,1/(ISNUMBER($A$2:$A$1048576)),ROW($A$2:$A$1048576))),FA2:INDEX($FA:$FA,LOOKUP(2,1/(ISNUMBER($A$2:$A$1048576)),ROW($A$2:$A$1048576))))</f>
        <v/>
      </c>
      <c r="FB103" s="14" t="n"/>
      <c r="FC103" s="14" t="n"/>
      <c r="FD103" s="14">
        <f>CORREL($C2:INDEX($C:$C,LOOKUP(2,1/(ISNUMBER($A$2:$A$1048576)),ROW($A$2:$A$1048576))),FD2:INDEX($FD:$FD,LOOKUP(2,1/(ISNUMBER($A$2:$A$1048576)),ROW($A$2:$A$1048576))))</f>
        <v/>
      </c>
      <c r="FE103" s="14">
        <f>CORREL($C2:INDEX($C:$C,LOOKUP(2,1/(ISNUMBER($A$2:$A$1048576)),ROW($A$2:$A$1048576))),FE2:INDEX($FE:$FE,LOOKUP(2,1/(ISNUMBER($A$2:$A$1048576)),ROW($A$2:$A$1048576))))</f>
        <v/>
      </c>
      <c r="FF103" s="14" t="n"/>
      <c r="FG103" s="14" t="n"/>
      <c r="FH103" s="14">
        <f>CORREL($C2:INDEX($C:$C,LOOKUP(2,1/(ISNUMBER($A$2:$A$1048576)),ROW($A$2:$A$1048576))),FH2:INDEX($FH:$FH,LOOKUP(2,1/(ISNUMBER($A$2:$A$1048576)),ROW($A$2:$A$1048576))))</f>
        <v/>
      </c>
      <c r="FI103" s="14">
        <f>CORREL($C2:INDEX($C:$C,LOOKUP(2,1/(ISNUMBER($A$2:$A$1048576)),ROW($A$2:$A$1048576))),FI2:INDEX($FI:$FI,LOOKUP(2,1/(ISNUMBER($A$2:$A$1048576)),ROW($A$2:$A$1048576))))</f>
        <v/>
      </c>
      <c r="FJ103" s="14">
        <f>CORREL($C2:INDEX($C:$C,LOOKUP(2,1/(ISNUMBER($A$2:$A$1048576)),ROW($A$2:$A$1048576))),FJ2:INDEX($FJ:$FJ,LOOKUP(2,1/(ISNUMBER($A$2:$A$1048576)),ROW($A$2:$A$1048576))))</f>
        <v/>
      </c>
      <c r="FK103" s="14">
        <f>CORREL($C2:INDEX($C:$C,LOOKUP(2,1/(ISNUMBER($A$2:$A$1048576)),ROW($A$2:$A$1048576))),FK2:INDEX($FK:$FK,LOOKUP(2,1/(ISNUMBER($A$2:$A$1048576)),ROW($A$2:$A$1048576))))</f>
        <v/>
      </c>
      <c r="FL103" s="14" t="n"/>
      <c r="FM103" s="14" t="n"/>
      <c r="FN103" s="14">
        <f>CORREL($C2:INDEX($C:$C,LOOKUP(2,1/(ISNUMBER($A$2:$A$1048576)),ROW($A$2:$A$1048576))),FN2:INDEX($FN:$FN,LOOKUP(2,1/(ISNUMBER($A$2:$A$1048576)),ROW($A$2:$A$1048576))))</f>
        <v/>
      </c>
      <c r="FO103" s="14">
        <f>CORREL($C2:INDEX($C:$C,LOOKUP(2,1/(ISNUMBER($A$2:$A$1048576)),ROW($A$2:$A$1048576))),FO2:INDEX($FO:$FO,LOOKUP(2,1/(ISNUMBER($A$2:$A$1048576)),ROW($A$2:$A$1048576))))</f>
        <v/>
      </c>
      <c r="FP103" s="14">
        <f>CORREL($C2:INDEX($C:$C,LOOKUP(2,1/(ISNUMBER($A$2:$A$1048576)),ROW($A$2:$A$1048576))),FP2:INDEX($FP:$FP,LOOKUP(2,1/(ISNUMBER($A$2:$A$1048576)),ROW($A$2:$A$1048576))))</f>
        <v/>
      </c>
      <c r="FQ103" s="14">
        <f>CORREL($C2:INDEX($C:$C,LOOKUP(2,1/(ISNUMBER($A$2:$A$1048576)),ROW($A$2:$A$1048576))),FQ2:INDEX($FQ:$FQ,LOOKUP(2,1/(ISNUMBER($A$2:$A$1048576)),ROW($A$2:$A$1048576))))</f>
        <v/>
      </c>
      <c r="FR103" s="14">
        <f>CORREL($C2:INDEX($C:$C,LOOKUP(2,1/(ISNUMBER($A$2:$A$1048576)),ROW($A$2:$A$1048576))),FR2:INDEX($FR:$FR,LOOKUP(2,1/(ISNUMBER($A$2:$A$1048576)),ROW($A$2:$A$1048576))))</f>
        <v/>
      </c>
      <c r="FS103" s="14">
        <f>CORREL($C2:INDEX($C:$C,LOOKUP(2,1/(ISNUMBER($A$2:$A$1048576)),ROW($A$2:$A$1048576))),FS2:INDEX($FS:$FS,LOOKUP(2,1/(ISNUMBER($A$2:$A$1048576)),ROW($A$2:$A$1048576))))</f>
        <v/>
      </c>
      <c r="FT103" s="14">
        <f>CORREL($C2:INDEX($C:$C,LOOKUP(2,1/(ISNUMBER($A$2:$A$1048576)),ROW($A$2:$A$1048576))),FT2:INDEX($FT:$FT,LOOKUP(2,1/(ISNUMBER($A$2:$A$1048576)),ROW($A$2:$A$1048576))))</f>
        <v/>
      </c>
      <c r="FU103" s="14">
        <f>CORREL($C2:INDEX($C:$C,LOOKUP(2,1/(ISNUMBER($A$2:$A$1048576)),ROW($A$2:$A$1048576))),FU2:INDEX($FU:$FU,LOOKUP(2,1/(ISNUMBER($A$2:$A$1048576)),ROW($A$2:$A$1048576))))</f>
        <v/>
      </c>
      <c r="FV103" s="14">
        <f>CORREL($C2:INDEX($C:$C,LOOKUP(2,1/(ISNUMBER($A$2:$A$1048576)),ROW($A$2:$A$1048576))),FV2:INDEX($FV:$FV,LOOKUP(2,1/(ISNUMBER($A$2:$A$1048576)),ROW($A$2:$A$1048576))))</f>
        <v/>
      </c>
      <c r="FW103" s="14">
        <f>CORREL($C2:INDEX($C:$C,LOOKUP(2,1/(ISNUMBER($A$2:$A$1048576)),ROW($A$2:$A$1048576))),FW2:INDEX($FW:$FW,LOOKUP(2,1/(ISNUMBER($A$2:$A$1048576)),ROW($A$2:$A$1048576))))</f>
        <v/>
      </c>
      <c r="FX103" s="14">
        <f>CORREL($C2:INDEX($C:$C,LOOKUP(2,1/(ISNUMBER($A$2:$A$1048576)),ROW($A$2:$A$1048576))),FX2:INDEX($FX:$FX,LOOKUP(2,1/(ISNUMBER($A$2:$A$1048576)),ROW($A$2:$A$1048576))))</f>
        <v/>
      </c>
      <c r="FY103" s="14">
        <f>CORREL($C2:INDEX($C:$C,LOOKUP(2,1/(ISNUMBER($A$2:$A$1048576)),ROW($A$2:$A$1048576))),FY2:INDEX($FY:$FY,LOOKUP(2,1/(ISNUMBER($A$2:$A$1048576)),ROW($A$2:$A$1048576))))</f>
        <v/>
      </c>
      <c r="FZ103" s="14">
        <f>CORREL($C2:INDEX($C:$C,LOOKUP(2,1/(ISNUMBER($A$2:$A$1048576)),ROW($A$2:$A$1048576))),FZ2:INDEX($FZ:$FZ,LOOKUP(2,1/(ISNUMBER($A$2:$A$1048576)),ROW($A$2:$A$1048576))))</f>
        <v/>
      </c>
      <c r="GA103" s="14">
        <f>CORREL($C2:INDEX($C:$C,LOOKUP(2,1/(ISNUMBER($A$2:$A$1048576)),ROW($A$2:$A$1048576))),GA2:INDEX($GA:$GA,LOOKUP(2,1/(ISNUMBER($A$2:$A$1048576)),ROW($A$2:$A$1048576))))</f>
        <v/>
      </c>
      <c r="GB103" s="14">
        <f>CORREL($C2:INDEX($C:$C,LOOKUP(2,1/(ISNUMBER($A$2:$A$1048576)),ROW($A$2:$A$1048576))),GB2:INDEX($GB:$GB,LOOKUP(2,1/(ISNUMBER($A$2:$A$1048576)),ROW($A$2:$A$1048576))))</f>
        <v/>
      </c>
      <c r="GC103" s="14">
        <f>CORREL($C2:INDEX($C:$C,LOOKUP(2,1/(ISNUMBER($A$2:$A$1048576)),ROW($A$2:$A$1048576))),GC2:INDEX($GC:$GC,LOOKUP(2,1/(ISNUMBER($A$2:$A$1048576)),ROW($A$2:$A$1048576))))</f>
        <v/>
      </c>
      <c r="GD103" s="14">
        <f>CORREL($C2:INDEX($C:$C,LOOKUP(2,1/(ISNUMBER($A$2:$A$1048576)),ROW($A$2:$A$1048576))),GD2:INDEX($GD:$GD,LOOKUP(2,1/(ISNUMBER($A$2:$A$1048576)),ROW($A$2:$A$1048576))))</f>
        <v/>
      </c>
      <c r="GE103" s="14">
        <f>CORREL($C2:INDEX($C:$C,LOOKUP(2,1/(ISNUMBER($A$2:$A$1048576)),ROW($A$2:$A$1048576))),GE2:INDEX($GE:$GE,LOOKUP(2,1/(ISNUMBER($A$2:$A$1048576)),ROW($A$2:$A$1048576))))</f>
        <v/>
      </c>
      <c r="GF103" s="14">
        <f>CORREL($C2:INDEX($C:$C,LOOKUP(2,1/(ISNUMBER($A$2:$A$1048576)),ROW($A$2:$A$1048576))),GF2:INDEX($GF:$GF,LOOKUP(2,1/(ISNUMBER($A$2:$A$1048576)),ROW($A$2:$A$1048576))))</f>
        <v/>
      </c>
      <c r="GG103" s="14">
        <f>CORREL($C2:INDEX($C:$C,LOOKUP(2,1/(ISNUMBER($A$2:$A$1048576)),ROW($A$2:$A$1048576))),GG2:INDEX($GG:$GG,LOOKUP(2,1/(ISNUMBER($A$2:$A$1048576)),ROW($A$2:$A$1048576))))</f>
        <v/>
      </c>
      <c r="GH103" s="14">
        <f>CORREL($C2:INDEX($C:$C,LOOKUP(2,1/(ISNUMBER($A$2:$A$1048576)),ROW($A$2:$A$1048576))),GH2:INDEX($GH:$GH,LOOKUP(2,1/(ISNUMBER($A$2:$A$1048576)),ROW($A$2:$A$1048576))))</f>
        <v/>
      </c>
      <c r="GI103" s="14">
        <f>CORREL($C2:INDEX($C:$C,LOOKUP(2,1/(ISNUMBER($A$2:$A$1048576)),ROW($A$2:$A$1048576))),GI2:INDEX($GI:$GI,LOOKUP(2,1/(ISNUMBER($A$2:$A$1048576)),ROW($A$2:$A$1048576))))</f>
        <v/>
      </c>
      <c r="GJ103" s="14">
        <f>CORREL($C2:INDEX($C:$C,LOOKUP(2,1/(ISNUMBER($A$2:$A$1048576)),ROW($A$2:$A$1048576))),GJ2:INDEX($GJ:$GJ,LOOKUP(2,1/(ISNUMBER($A$2:$A$1048576)),ROW($A$2:$A$1048576))))</f>
        <v/>
      </c>
      <c r="GK103" s="14">
        <f>CORREL($C2:INDEX($C:$C,LOOKUP(2,1/(ISNUMBER($A$2:$A$1048576)),ROW($A$2:$A$1048576))),GK2:INDEX($GK:$GK,LOOKUP(2,1/(ISNUMBER($A$2:$A$1048576)),ROW($A$2:$A$1048576))))</f>
        <v/>
      </c>
      <c r="GL103" s="14">
        <f>CORREL($C2:INDEX($C:$C,LOOKUP(2,1/(ISNUMBER($A$2:$A$1048576)),ROW($A$2:$A$1048576))),GL2:INDEX($GL:$GL,LOOKUP(2,1/(ISNUMBER($A$2:$A$1048576)),ROW($A$2:$A$1048576))))</f>
        <v/>
      </c>
      <c r="GM103" s="14">
        <f>CORREL($C2:INDEX($C:$C,LOOKUP(2,1/(ISNUMBER($A$2:$A$1048576)),ROW($A$2:$A$1048576))),GM2:INDEX($GM:$GM,LOOKUP(2,1/(ISNUMBER($A$2:$A$1048576)),ROW($A$2:$A$1048576))))</f>
        <v/>
      </c>
      <c r="GN103" s="14">
        <f>CORREL($C2:INDEX($C:$C,LOOKUP(2,1/(ISNUMBER($A$2:$A$1048576)),ROW($A$2:$A$1048576))),GN2:INDEX($GN:$GN,LOOKUP(2,1/(ISNUMBER($A$2:$A$1048576)),ROW($A$2:$A$1048576))))</f>
        <v/>
      </c>
      <c r="GO103" s="14">
        <f>CORREL($C2:INDEX($C:$C,LOOKUP(2,1/(ISNUMBER($A$2:$A$1048576)),ROW($A$2:$A$1048576))),GO2:INDEX($GO:$GO,LOOKUP(2,1/(ISNUMBER($A$2:$A$1048576)),ROW($A$2:$A$1048576))))</f>
        <v/>
      </c>
      <c r="GP103" s="14">
        <f>CORREL($C2:INDEX($C:$C,LOOKUP(2,1/(ISNUMBER($A$2:$A$1048576)),ROW($A$2:$A$1048576))),GP2:INDEX($GP:$GP,LOOKUP(2,1/(ISNUMBER($A$2:$A$1048576)),ROW($A$2:$A$1048576))))</f>
        <v/>
      </c>
      <c r="GQ103" s="14">
        <f>CORREL($C2:INDEX($C:$C,LOOKUP(2,1/(ISNUMBER($A$2:$A$1048576)),ROW($A$2:$A$1048576))),GQ2:INDEX($GQ:$GQ,LOOKUP(2,1/(ISNUMBER($A$2:$A$1048576)),ROW($A$2:$A$1048576))))</f>
        <v/>
      </c>
      <c r="GR103" s="14">
        <f>CORREL($C2:INDEX($C:$C,LOOKUP(2,1/(ISNUMBER($A$2:$A$1048576)),ROW($A$2:$A$1048576))),GR2:INDEX($GR:$GR,LOOKUP(2,1/(ISNUMBER($A$2:$A$1048576)),ROW($A$2:$A$1048576))))</f>
        <v/>
      </c>
      <c r="GS103" s="14">
        <f>CORREL($C2:INDEX($C:$C,LOOKUP(2,1/(ISNUMBER($A$2:$A$1048576)),ROW($A$2:$A$1048576))),GS2:INDEX($GS:$GS,LOOKUP(2,1/(ISNUMBER($A$2:$A$1048576)),ROW($A$2:$A$1048576))))</f>
        <v/>
      </c>
      <c r="GT103" s="14">
        <f>CORREL($C2:INDEX($C:$C,LOOKUP(2,1/(ISNUMBER($A$2:$A$1048576)),ROW($A$2:$A$1048576))),GT2:INDEX($GT:$GT,LOOKUP(2,1/(ISNUMBER($A$2:$A$1048576)),ROW($A$2:$A$1048576))))</f>
        <v/>
      </c>
      <c r="GU103" s="14">
        <f>CORREL($C2:INDEX($C:$C,LOOKUP(2,1/(ISNUMBER($A$2:$A$1048576)),ROW($A$2:$A$1048576))),GU2:INDEX($GU:$GU,LOOKUP(2,1/(ISNUMBER($A$2:$A$1048576)),ROW($A$2:$A$1048576))))</f>
        <v/>
      </c>
      <c r="GV103" s="14">
        <f>CORREL($C2:INDEX($C:$C,LOOKUP(2,1/(ISNUMBER($A$2:$A$1048576)),ROW($A$2:$A$1048576))),GV2:INDEX($GV:$GV,LOOKUP(2,1/(ISNUMBER($A$2:$A$1048576)),ROW($A$2:$A$1048576))))</f>
        <v/>
      </c>
      <c r="GW103" s="14">
        <f>CORREL($C2:INDEX($C:$C,LOOKUP(2,1/(ISNUMBER($A$2:$A$1048576)),ROW($A$2:$A$1048576))),GW2:INDEX($GW:$GW,LOOKUP(2,1/(ISNUMBER($A$2:$A$1048576)),ROW($A$2:$A$1048576))))</f>
        <v/>
      </c>
      <c r="GX103" s="14">
        <f>CORREL($C2:INDEX($C:$C,LOOKUP(2,1/(ISNUMBER($A$2:$A$1048576)),ROW($A$2:$A$1048576))),GX2:INDEX($GX:$GX,LOOKUP(2,1/(ISNUMBER($A$2:$A$1048576)),ROW($A$2:$A$1048576))))</f>
        <v/>
      </c>
      <c r="GY103" s="14">
        <f>CORREL($C2:INDEX($C:$C,LOOKUP(2,1/(ISNUMBER($A$2:$A$1048576)),ROW($A$2:$A$1048576))),GY2:INDEX($GY:$GY,LOOKUP(2,1/(ISNUMBER($A$2:$A$1048576)),ROW($A$2:$A$1048576))))</f>
        <v/>
      </c>
      <c r="GZ103" s="14">
        <f>CORREL($C2:INDEX($C:$C,LOOKUP(2,1/(ISNUMBER($A$2:$A$1048576)),ROW($A$2:$A$1048576))),GZ2:INDEX($GZ:$GZ,LOOKUP(2,1/(ISNUMBER($A$2:$A$1048576)),ROW($A$2:$A$1048576))))</f>
        <v/>
      </c>
      <c r="HA103" s="14">
        <f>CORREL($C2:INDEX($C:$C,LOOKUP(2,1/(ISNUMBER($A$2:$A$1048576)),ROW($A$2:$A$1048576))),HA2:INDEX($HA:$HA,LOOKUP(2,1/(ISNUMBER($A$2:$A$1048576)),ROW($A$2:$A$1048576))))</f>
        <v/>
      </c>
      <c r="HB103" s="14">
        <f>CORREL($C2:INDEX($C:$C,LOOKUP(2,1/(ISNUMBER($A$2:$A$1048576)),ROW($A$2:$A$1048576))),HB2:INDEX($HB:$HB,LOOKUP(2,1/(ISNUMBER($A$2:$A$1048576)),ROW($A$2:$A$1048576))))</f>
        <v/>
      </c>
      <c r="HC103" s="14">
        <f>CORREL($C2:INDEX($C:$C,LOOKUP(2,1/(ISNUMBER($A$2:$A$1048576)),ROW($A$2:$A$1048576))),HC2:INDEX($HC:$HC,LOOKUP(2,1/(ISNUMBER($A$2:$A$1048576)),ROW($A$2:$A$1048576))))</f>
        <v/>
      </c>
      <c r="HD103" s="14">
        <f>CORREL($C2:INDEX($C:$C,LOOKUP(2,1/(ISNUMBER($A$2:$A$1048576)),ROW($A$2:$A$1048576))),HD2:INDEX($HD:$HD,LOOKUP(2,1/(ISNUMBER($A$2:$A$1048576)),ROW($A$2:$A$1048576))))</f>
        <v/>
      </c>
      <c r="HE103" s="14">
        <f>CORREL($C2:INDEX($C:$C,LOOKUP(2,1/(ISNUMBER($A$2:$A$1048576)),ROW($A$2:$A$1048576))),HE2:INDEX($HE:$HE,LOOKUP(2,1/(ISNUMBER($A$2:$A$1048576)),ROW($A$2:$A$1048576))))</f>
        <v/>
      </c>
      <c r="HF103" s="14">
        <f>CORREL($C2:INDEX($C:$C,LOOKUP(2,1/(ISNUMBER($A$2:$A$1048576)),ROW($A$2:$A$1048576))),HF2:INDEX($HF:$HF,LOOKUP(2,1/(ISNUMBER($A$2:$A$1048576)),ROW($A$2:$A$1048576))))</f>
        <v/>
      </c>
      <c r="HG103" s="14">
        <f>CORREL($C2:INDEX($C:$C,LOOKUP(2,1/(ISNUMBER($A$2:$A$1048576)),ROW($A$2:$A$1048576))),HG2:INDEX($HG:$HG,LOOKUP(2,1/(ISNUMBER($A$2:$A$1048576)),ROW($A$2:$A$1048576))))</f>
        <v/>
      </c>
      <c r="HH103" s="14">
        <f>CORREL($C2:INDEX($C:$C,LOOKUP(2,1/(ISNUMBER($A$2:$A$1048576)),ROW($A$2:$A$1048576))),HH2:INDEX($HH:$HH,LOOKUP(2,1/(ISNUMBER($A$2:$A$1048576)),ROW($A$2:$A$1048576))))</f>
        <v/>
      </c>
      <c r="HI103" s="14">
        <f>CORREL($C2:INDEX($C:$C,LOOKUP(2,1/(ISNUMBER($A$2:$A$1048576)),ROW($A$2:$A$1048576))),HI2:INDEX($HI:$HI,LOOKUP(2,1/(ISNUMBER($A$2:$A$1048576)),ROW($A$2:$A$1048576))))</f>
        <v/>
      </c>
      <c r="HJ103" s="14">
        <f>CORREL($C2:INDEX($C:$C,LOOKUP(2,1/(ISNUMBER($A$2:$A$1048576)),ROW($A$2:$A$1048576))),HJ2:INDEX($HJ:$HJ,LOOKUP(2,1/(ISNUMBER($A$2:$A$1048576)),ROW($A$2:$A$1048576))))</f>
        <v/>
      </c>
      <c r="HK103" s="14">
        <f>CORREL($C2:INDEX($C:$C,LOOKUP(2,1/(ISNUMBER($A$2:$A$1048576)),ROW($A$2:$A$1048576))),HK2:INDEX($HK:$HK,LOOKUP(2,1/(ISNUMBER($A$2:$A$1048576)),ROW($A$2:$A$1048576))))</f>
        <v/>
      </c>
      <c r="HL103" s="14">
        <f>CORREL($C2:INDEX($C:$C,LOOKUP(2,1/(ISNUMBER($A$2:$A$1048576)),ROW($A$2:$A$1048576))),HL2:INDEX($HL:$HL,LOOKUP(2,1/(ISNUMBER($A$2:$A$1048576)),ROW($A$2:$A$1048576))))</f>
        <v/>
      </c>
      <c r="HM103" s="14">
        <f>CORREL($C2:INDEX($C:$C,LOOKUP(2,1/(ISNUMBER($A$2:$A$1048576)),ROW($A$2:$A$1048576))),HM2:INDEX($HM:$HM,LOOKUP(2,1/(ISNUMBER($A$2:$A$1048576)),ROW($A$2:$A$1048576))))</f>
        <v/>
      </c>
      <c r="HN103" s="14">
        <f>CORREL($C2:INDEX($C:$C,LOOKUP(2,1/(ISNUMBER($A$2:$A$1048576)),ROW($A$2:$A$1048576))),HN2:INDEX($HN:$HN,LOOKUP(2,1/(ISNUMBER($A$2:$A$1048576)),ROW($A$2:$A$1048576))))</f>
        <v/>
      </c>
      <c r="HO103" s="14">
        <f>CORREL($C2:INDEX($C:$C,LOOKUP(2,1/(ISNUMBER($A$2:$A$1048576)),ROW($A$2:$A$1048576))),HO2:INDEX($HO:$HO,LOOKUP(2,1/(ISNUMBER($A$2:$A$1048576)),ROW($A$2:$A$1048576))))</f>
        <v/>
      </c>
      <c r="HP103" s="14">
        <f>CORREL($C2:INDEX($C:$C,LOOKUP(2,1/(ISNUMBER($A$2:$A$1048576)),ROW($A$2:$A$1048576))),HP2:INDEX($HP:$HP,LOOKUP(2,1/(ISNUMBER($A$2:$A$1048576)),ROW($A$2:$A$1048576))))</f>
        <v/>
      </c>
      <c r="HQ103" s="14">
        <f>CORREL($C2:INDEX($C:$C,LOOKUP(2,1/(ISNUMBER($A$2:$A$1048576)),ROW($A$2:$A$1048576))),HQ2:INDEX($HQ:$HQ,LOOKUP(2,1/(ISNUMBER($A$2:$A$1048576)),ROW($A$2:$A$1048576))))</f>
        <v/>
      </c>
      <c r="HR103" s="14">
        <f>CORREL($C2:INDEX($C:$C,LOOKUP(2,1/(ISNUMBER($A$2:$A$1048576)),ROW($A$2:$A$1048576))),HR2:INDEX($HR:$HR,LOOKUP(2,1/(ISNUMBER($A$2:$A$1048576)),ROW($A$2:$A$1048576))))</f>
        <v/>
      </c>
      <c r="HS103" s="14">
        <f>CORREL($C2:INDEX($C:$C,LOOKUP(2,1/(ISNUMBER($A$2:$A$1048576)),ROW($A$2:$A$1048576))),HS2:INDEX($HS:$HS,LOOKUP(2,1/(ISNUMBER($A$2:$A$1048576)),ROW($A$2:$A$1048576))))</f>
        <v/>
      </c>
      <c r="HT103" s="14">
        <f>CORREL($C2:INDEX($C:$C,LOOKUP(2,1/(ISNUMBER($A$2:$A$1048576)),ROW($A$2:$A$1048576))),HT2:INDEX($HT:$HT,LOOKUP(2,1/(ISNUMBER($A$2:$A$1048576)),ROW($A$2:$A$1048576))))</f>
        <v/>
      </c>
      <c r="HU103" s="14">
        <f>CORREL($C2:INDEX($C:$C,LOOKUP(2,1/(ISNUMBER($A$2:$A$1048576)),ROW($A$2:$A$1048576))),HU2:INDEX($HU:$HU,LOOKUP(2,1/(ISNUMBER($A$2:$A$1048576)),ROW($A$2:$A$1048576))))</f>
        <v/>
      </c>
      <c r="HV103" s="14">
        <f>CORREL($C2:INDEX($C:$C,LOOKUP(2,1/(ISNUMBER($A$2:$A$1048576)),ROW($A$2:$A$1048576))),HV2:INDEX($HV:$HV,LOOKUP(2,1/(ISNUMBER($A$2:$A$1048576)),ROW($A$2:$A$1048576))))</f>
        <v/>
      </c>
      <c r="HW103" s="14">
        <f>CORREL($C2:INDEX($C:$C,LOOKUP(2,1/(ISNUMBER($A$2:$A$1048576)),ROW($A$2:$A$1048576))),HW2:INDEX($HW:$HW,LOOKUP(2,1/(ISNUMBER($A$2:$A$1048576)),ROW($A$2:$A$1048576))))</f>
        <v/>
      </c>
      <c r="HX103" s="14">
        <f>CORREL($C2:INDEX($C:$C,LOOKUP(2,1/(ISNUMBER($A$2:$A$1048576)),ROW($A$2:$A$1048576))),HX2:INDEX($HX:$HX,LOOKUP(2,1/(ISNUMBER($A$2:$A$1048576)),ROW($A$2:$A$1048576))))</f>
        <v/>
      </c>
      <c r="HY103" s="14">
        <f>CORREL($C2:INDEX($C:$C,LOOKUP(2,1/(ISNUMBER($A$2:$A$1048576)),ROW($A$2:$A$1048576))),HY2:INDEX($HY:$HY,LOOKUP(2,1/(ISNUMBER($A$2:$A$1048576)),ROW($A$2:$A$1048576))))</f>
        <v/>
      </c>
      <c r="HZ103" s="14">
        <f>CORREL($C2:INDEX($C:$C,LOOKUP(2,1/(ISNUMBER($A$2:$A$1048576)),ROW($A$2:$A$1048576))),HZ2:INDEX($HZ:$HZ,LOOKUP(2,1/(ISNUMBER($A$2:$A$1048576)),ROW($A$2:$A$1048576))))</f>
        <v/>
      </c>
      <c r="IA103" s="14">
        <f>CORREL($C2:INDEX($C:$C,LOOKUP(2,1/(ISNUMBER($A$2:$A$1048576)),ROW($A$2:$A$1048576))),IA2:INDEX($IA:$IA,LOOKUP(2,1/(ISNUMBER($A$2:$A$1048576)),ROW($A$2:$A$1048576))))</f>
        <v/>
      </c>
      <c r="IB103" s="14">
        <f>CORREL($C2:INDEX($C:$C,LOOKUP(2,1/(ISNUMBER($A$2:$A$1048576)),ROW($A$2:$A$1048576))),IB2:INDEX($IB:$IB,LOOKUP(2,1/(ISNUMBER($A$2:$A$1048576)),ROW($A$2:$A$1048576))))</f>
        <v/>
      </c>
      <c r="IC103" s="14">
        <f>CORREL($C2:INDEX($C:$C,LOOKUP(2,1/(ISNUMBER($A$2:$A$1048576)),ROW($A$2:$A$1048576))),IC2:INDEX($IC:$IC,LOOKUP(2,1/(ISNUMBER($A$2:$A$1048576)),ROW($A$2:$A$1048576))))</f>
        <v/>
      </c>
      <c r="ID103" s="14">
        <f>CORREL($C2:INDEX($C:$C,LOOKUP(2,1/(ISNUMBER($A$2:$A$1048576)),ROW($A$2:$A$1048576))),ID2:INDEX($ID:$ID,LOOKUP(2,1/(ISNUMBER($A$2:$A$1048576)),ROW($A$2:$A$1048576))))</f>
        <v/>
      </c>
      <c r="IE103" s="14">
        <f>CORREL($C2:INDEX($C:$C,LOOKUP(2,1/(ISNUMBER($A$2:$A$1048576)),ROW($A$2:$A$1048576))),IE2:INDEX($IE:$IE,LOOKUP(2,1/(ISNUMBER($A$2:$A$1048576)),ROW($A$2:$A$1048576))))</f>
        <v/>
      </c>
      <c r="IF103" s="14">
        <f>CORREL($C2:INDEX($C:$C,LOOKUP(2,1/(ISNUMBER($A$2:$A$1048576)),ROW($A$2:$A$1048576))),IF2:INDEX($IF:$IF,LOOKUP(2,1/(ISNUMBER($A$2:$A$1048576)),ROW($A$2:$A$1048576))))</f>
        <v/>
      </c>
      <c r="IG103" s="14">
        <f>CORREL($C2:INDEX($C:$C,LOOKUP(2,1/(ISNUMBER($A$2:$A$1048576)),ROW($A$2:$A$1048576))),IG2:INDEX($IG:$IG,LOOKUP(2,1/(ISNUMBER($A$2:$A$1048576)),ROW($A$2:$A$1048576))))</f>
        <v/>
      </c>
      <c r="IH103" s="14">
        <f>CORREL($C2:INDEX($C:$C,LOOKUP(2,1/(ISNUMBER($A$2:$A$1048576)),ROW($A$2:$A$1048576))),IH2:INDEX($IH:$IH,LOOKUP(2,1/(ISNUMBER($A$2:$A$1048576)),ROW($A$2:$A$1048576))))</f>
        <v/>
      </c>
      <c r="II103" s="14">
        <f>CORREL($C2:INDEX($C:$C,LOOKUP(2,1/(ISNUMBER($A$2:$A$1048576)),ROW($A$2:$A$1048576))),II2:INDEX($II:$II,LOOKUP(2,1/(ISNUMBER($A$2:$A$1048576)),ROW($A$2:$A$1048576))))</f>
        <v/>
      </c>
      <c r="IJ103" s="14">
        <f>CORREL($C2:INDEX($C:$C,LOOKUP(2,1/(ISNUMBER($A$2:$A$1048576)),ROW($A$2:$A$1048576))),IJ2:INDEX($IJ:$IJ,LOOKUP(2,1/(ISNUMBER($A$2:$A$1048576)),ROW($A$2:$A$1048576))))</f>
        <v/>
      </c>
      <c r="IK103" s="14">
        <f>CORREL($C2:INDEX($C:$C,LOOKUP(2,1/(ISNUMBER($A$2:$A$1048576)),ROW($A$2:$A$1048576))),IK2:INDEX($IK:$IK,LOOKUP(2,1/(ISNUMBER($A$2:$A$1048576)),ROW($A$2:$A$1048576))))</f>
        <v/>
      </c>
      <c r="IL103" s="14">
        <f>CORREL($C2:INDEX($C:$C,LOOKUP(2,1/(ISNUMBER($A$2:$A$1048576)),ROW($A$2:$A$1048576))),IL2:INDEX($IL:$IL,LOOKUP(2,1/(ISNUMBER($A$2:$A$1048576)),ROW($A$2:$A$1048576))))</f>
        <v/>
      </c>
      <c r="IM103" s="14">
        <f>CORREL($C2:INDEX($C:$C,LOOKUP(2,1/(ISNUMBER($A$2:$A$1048576)),ROW($A$2:$A$1048576))),IM2:INDEX($IM:$IM,LOOKUP(2,1/(ISNUMBER($A$2:$A$1048576)),ROW($A$2:$A$1048576))))</f>
        <v/>
      </c>
      <c r="IN103" s="14">
        <f>CORREL($C2:INDEX($C:$C,LOOKUP(2,1/(ISNUMBER($A$2:$A$1048576)),ROW($A$2:$A$1048576))),IN2:INDEX($IN:$IN,LOOKUP(2,1/(ISNUMBER($A$2:$A$1048576)),ROW($A$2:$A$1048576))))</f>
        <v/>
      </c>
      <c r="IO103" s="14">
        <f>CORREL($C2:INDEX($C:$C,LOOKUP(2,1/(ISNUMBER($A$2:$A$1048576)),ROW($A$2:$A$1048576))),IO2:INDEX($IO:$IO,LOOKUP(2,1/(ISNUMBER($A$2:$A$1048576)),ROW($A$2:$A$1048576))))</f>
        <v/>
      </c>
      <c r="IP103" s="14">
        <f>CORREL($C2:INDEX($C:$C,LOOKUP(2,1/(ISNUMBER($A$2:$A$1048576)),ROW($A$2:$A$1048576))),IP2:INDEX($IP:$IP,LOOKUP(2,1/(ISNUMBER($A$2:$A$1048576)),ROW($A$2:$A$1048576))))</f>
        <v/>
      </c>
      <c r="IQ103" s="14">
        <f>CORREL($C2:INDEX($C:$C,LOOKUP(2,1/(ISNUMBER($A$2:$A$1048576)),ROW($A$2:$A$1048576))),IQ2:INDEX($IQ:$IQ,LOOKUP(2,1/(ISNUMBER($A$2:$A$1048576)),ROW($A$2:$A$1048576))))</f>
        <v/>
      </c>
      <c r="IR103" s="14">
        <f>CORREL($C2:INDEX($C:$C,LOOKUP(2,1/(ISNUMBER($A$2:$A$1048576)),ROW($A$2:$A$1048576))),IR2:INDEX($IR:$IR,LOOKUP(2,1/(ISNUMBER($A$2:$A$1048576)),ROW($A$2:$A$1048576))))</f>
        <v/>
      </c>
      <c r="IS103" s="14">
        <f>CORREL($C2:INDEX($C:$C,LOOKUP(2,1/(ISNUMBER($A$2:$A$1048576)),ROW($A$2:$A$1048576))),IS2:INDEX($IS:$IS,LOOKUP(2,1/(ISNUMBER($A$2:$A$1048576)),ROW($A$2:$A$1048576))))</f>
        <v/>
      </c>
      <c r="IT103" s="14" t="n"/>
      <c r="IU103" s="14" t="n"/>
      <c r="IV103" s="14">
        <f>CORREL($C2:INDEX($C:$C,LOOKUP(2,1/(ISNUMBER($A$2:$A$1048576)),ROW($A$2:$A$1048576))),IV2:INDEX($IV:$IV,LOOKUP(2,1/(ISNUMBER($A$2:$A$1048576)),ROW($A$2:$A$1048576))))</f>
        <v/>
      </c>
      <c r="IW103" s="14">
        <f>CORREL($C2:INDEX($C:$C,LOOKUP(2,1/(ISNUMBER($A$2:$A$1048576)),ROW($A$2:$A$1048576))),IW2:INDEX($IW:$IW,LOOKUP(2,1/(ISNUMBER($A$2:$A$1048576)),ROW($A$2:$A$1048576))))</f>
        <v/>
      </c>
      <c r="IX103" s="14">
        <f>CORREL($C2:INDEX($C:$C,LOOKUP(2,1/(ISNUMBER($A$2:$A$1048576)),ROW($A$2:$A$1048576))),IX2:INDEX($IX:$IX,LOOKUP(2,1/(ISNUMBER($A$2:$A$1048576)),ROW($A$2:$A$1048576))))</f>
        <v/>
      </c>
      <c r="IY103" s="14">
        <f>CORREL($C2:INDEX($C:$C,LOOKUP(2,1/(ISNUMBER($A$2:$A$1048576)),ROW($A$2:$A$1048576))),IY2:INDEX($IY:$IY,LOOKUP(2,1/(ISNUMBER($A$2:$A$1048576)),ROW($A$2:$A$1048576))))</f>
        <v/>
      </c>
      <c r="IZ103" s="14">
        <f>CORREL($C2:INDEX($C:$C,LOOKUP(2,1/(ISNUMBER($A$2:$A$1048576)),ROW($A$2:$A$1048576))),IZ2:INDEX($IZ:$IZ,LOOKUP(2,1/(ISNUMBER($A$2:$A$1048576)),ROW($A$2:$A$1048576))))</f>
        <v/>
      </c>
      <c r="JA103" s="14">
        <f>CORREL($C2:INDEX($C:$C,LOOKUP(2,1/(ISNUMBER($A$2:$A$1048576)),ROW($A$2:$A$1048576))),JA2:INDEX($JA:$JA,LOOKUP(2,1/(ISNUMBER($A$2:$A$1048576)),ROW($A$2:$A$1048576))))</f>
        <v/>
      </c>
      <c r="JB103" s="14">
        <f>CORREL($C2:INDEX($C:$C,LOOKUP(2,1/(ISNUMBER($A$2:$A$1048576)),ROW($A$2:$A$1048576))),JB2:INDEX($JB:$JB,LOOKUP(2,1/(ISNUMBER($A$2:$A$1048576)),ROW($A$2:$A$1048576))))</f>
        <v/>
      </c>
      <c r="JC103" s="14">
        <f>CORREL($C2:INDEX($C:$C,LOOKUP(2,1/(ISNUMBER($A$2:$A$1048576)),ROW($A$2:$A$1048576))),JC2:INDEX($JC:$JC,LOOKUP(2,1/(ISNUMBER($A$2:$A$1048576)),ROW($A$2:$A$1048576))))</f>
        <v/>
      </c>
      <c r="JD103" s="14">
        <f>CORREL($C2:INDEX($C:$C,LOOKUP(2,1/(ISNUMBER($A$2:$A$1048576)),ROW($A$2:$A$1048576))),JD2:INDEX($JD:$JD,LOOKUP(2,1/(ISNUMBER($A$2:$A$1048576)),ROW($A$2:$A$1048576))))</f>
        <v/>
      </c>
      <c r="JE103" s="14">
        <f>CORREL($C2:INDEX($C:$C,LOOKUP(2,1/(ISNUMBER($A$2:$A$1048576)),ROW($A$2:$A$1048576))),JE2:INDEX($JE:$JE,LOOKUP(2,1/(ISNUMBER($A$2:$A$1048576)),ROW($A$2:$A$1048576))))</f>
        <v/>
      </c>
      <c r="JF103" s="14">
        <f>CORREL($C2:INDEX($C:$C,LOOKUP(2,1/(ISNUMBER($A$2:$A$1048576)),ROW($A$2:$A$1048576))),JF2:INDEX($JF:$JF,LOOKUP(2,1/(ISNUMBER($A$2:$A$1048576)),ROW($A$2:$A$1048576))))</f>
        <v/>
      </c>
      <c r="JG103" s="14">
        <f>CORREL($C2:INDEX($C:$C,LOOKUP(2,1/(ISNUMBER($A$2:$A$1048576)),ROW($A$2:$A$1048576))),JG2:INDEX($JG:$JG,LOOKUP(2,1/(ISNUMBER($A$2:$A$1048576)),ROW($A$2:$A$1048576))))</f>
        <v/>
      </c>
      <c r="JH103" s="14">
        <f>CORREL($C2:INDEX($C:$C,LOOKUP(2,1/(ISNUMBER($A$2:$A$1048576)),ROW($A$2:$A$1048576))),JH2:INDEX($JH:$JH,LOOKUP(2,1/(ISNUMBER($A$2:$A$1048576)),ROW($A$2:$A$1048576))))</f>
        <v/>
      </c>
    </row>
    <row r="104">
      <c r="A104" s="13" t="inlineStr">
        <is>
          <t>Correlation to Position</t>
        </is>
      </c>
      <c r="B104" s="41" t="n"/>
      <c r="C104" s="12" t="n"/>
      <c r="D104" s="12" t="n"/>
      <c r="E104" s="12" t="n"/>
      <c r="F104" s="12" t="n"/>
      <c r="G104" s="12" t="n"/>
      <c r="H104" s="12" t="n"/>
      <c r="I104" s="12" t="n"/>
      <c r="J104" s="15">
        <f>CORREL($E9:$E101,J9:J101)</f>
        <v/>
      </c>
      <c r="K104" s="15" t="n"/>
      <c r="L104" s="15">
        <f>CORREL($E9:$E101,L9:L101)</f>
        <v/>
      </c>
      <c r="M104" s="15" t="n"/>
      <c r="N104" s="15">
        <f>CORREL($E9:$E101,N9:N101)</f>
        <v/>
      </c>
      <c r="O104" s="15" t="n"/>
      <c r="P104" s="15">
        <f>CORREL($E9:$E101,P9:P101)</f>
        <v/>
      </c>
      <c r="Q104" s="15" t="n"/>
      <c r="R104" s="15">
        <f>CORREL($E9:$E101,R9:R101)</f>
        <v/>
      </c>
      <c r="S104" s="15" t="n"/>
      <c r="T104" s="15" t="n"/>
      <c r="U104" s="15">
        <f>CORREL($E9:$E101,U9:U101)</f>
        <v/>
      </c>
      <c r="V104" s="15" t="n"/>
      <c r="W104" s="15" t="n"/>
      <c r="X104" s="15">
        <f>CORREL($E9:$E101,X9:X101)</f>
        <v/>
      </c>
      <c r="Y104" s="15">
        <f>CORREL($E9:$E101,Y9:Y101)</f>
        <v/>
      </c>
      <c r="Z104" s="15" t="n"/>
      <c r="AA104" s="15" t="n"/>
      <c r="AB104" s="15">
        <f>CORREL($E9:$E101,AB9:AB101)</f>
        <v/>
      </c>
      <c r="AC104" s="15" t="n"/>
      <c r="AD104" s="15" t="n"/>
      <c r="AE104" s="15">
        <f>CORREL($E9:$E101,AE9:AE101)</f>
        <v/>
      </c>
      <c r="AF104" s="15" t="n"/>
      <c r="AG104" s="15" t="n"/>
      <c r="AH104" s="15">
        <f>CORREL($E9:$E101,AH9:AH101)</f>
        <v/>
      </c>
      <c r="AI104" s="15">
        <f>CORREL($E9:$E101,AI9:AI101)</f>
        <v/>
      </c>
      <c r="AJ104" s="15">
        <f>CORREL($E9:$E101,AJ9:AJ101)</f>
        <v/>
      </c>
      <c r="AK104" s="15">
        <f>CORREL($E9:$E101,AK9:AK101)</f>
        <v/>
      </c>
      <c r="AL104" s="15">
        <f>CORREL($E9:$E101,AL9:AL101)</f>
        <v/>
      </c>
      <c r="AM104" s="15">
        <f>CORREL($E9:$E101,AM9:AM101)</f>
        <v/>
      </c>
      <c r="AN104" s="15">
        <f>CORREL($E9:$E101,AN9:AN101)</f>
        <v/>
      </c>
      <c r="AO104" s="15">
        <f>CORREL($E9:$E101,AO9:AO101)</f>
        <v/>
      </c>
      <c r="AP104" s="15">
        <f>CORREL($E9:$E101,AP9:AP101)</f>
        <v/>
      </c>
      <c r="AQ104" s="15">
        <f>CORREL($E9:$E101,AQ9:AQ101)</f>
        <v/>
      </c>
      <c r="AR104" s="15">
        <f>CORREL($E9:$E101,AR9:AR101)</f>
        <v/>
      </c>
      <c r="AS104" s="15">
        <f>CORREL($E9:$E101,AS9:AS101)</f>
        <v/>
      </c>
      <c r="AT104" s="15" t="n"/>
      <c r="AU104" s="15" t="n"/>
      <c r="AV104" s="15">
        <f>CORREL($E9:$E101,AV9:AV101)</f>
        <v/>
      </c>
      <c r="AW104" s="15" t="n"/>
      <c r="AX104" s="15">
        <f>CORREL($E9:$E101,AX9:AX101)</f>
        <v/>
      </c>
      <c r="AY104" s="15">
        <f>CORREL($E9:$E101,AY9:AY101)</f>
        <v/>
      </c>
      <c r="AZ104" s="15">
        <f>CORREL($E9:$E101,AZ9:AZ101)</f>
        <v/>
      </c>
      <c r="BA104" s="15">
        <f>CORREL($E9:$E101,BA9:BA101)</f>
        <v/>
      </c>
      <c r="BB104" s="15">
        <f>CORREL($E9:$E101,BB9:BB101)</f>
        <v/>
      </c>
      <c r="BC104" s="15">
        <f>CORREL($E9:$E101,BC9:BC101)</f>
        <v/>
      </c>
      <c r="BD104" s="15">
        <f>CORREL($E9:$E101,BD9:BD101)</f>
        <v/>
      </c>
      <c r="BE104" s="15">
        <f>CORREL($E9:$E101,BE9:BE101)</f>
        <v/>
      </c>
      <c r="BF104" s="15" t="n"/>
      <c r="BG104" s="15" t="n"/>
      <c r="BH104" s="15">
        <f>CORREL($E9:$E101,BH9:BH101)</f>
        <v/>
      </c>
      <c r="BI104" s="15">
        <f>CORREL($E9:$E101,BI9:BI101)</f>
        <v/>
      </c>
      <c r="BJ104" s="15">
        <f>CORREL($E9:$E101,BJ9:BJ101)</f>
        <v/>
      </c>
      <c r="BK104" s="15">
        <f>CORREL($E9:$E101,BK9:BK101)</f>
        <v/>
      </c>
      <c r="BL104" s="15">
        <f>CORREL($E9:$E101,BL9:BL101)</f>
        <v/>
      </c>
      <c r="BM104" s="15">
        <f>CORREL($E9:$E101,BM9:BM101)</f>
        <v/>
      </c>
      <c r="BN104" s="15">
        <f>CORREL($E9:$E101,BN9:BN101)</f>
        <v/>
      </c>
      <c r="BO104" s="15">
        <f>CORREL($E9:$E101,BO9:BO101)</f>
        <v/>
      </c>
      <c r="BP104" s="15">
        <f>CORREL($E9:$E101,BP9:BP101)</f>
        <v/>
      </c>
      <c r="BQ104" s="15">
        <f>CORREL($E9:$E101,BQ9:BQ101)</f>
        <v/>
      </c>
      <c r="BR104" s="15">
        <f>CORREL($E9:$E101,BR9:BR101)</f>
        <v/>
      </c>
      <c r="BS104" s="15">
        <f>CORREL($E9:$E101,BS9:BS101)</f>
        <v/>
      </c>
      <c r="BT104" s="15">
        <f>CORREL($E9:$E101,BT9:BT101)</f>
        <v/>
      </c>
      <c r="BU104" s="15">
        <f>CORREL($E9:$E101,BU9:BU101)</f>
        <v/>
      </c>
      <c r="BV104" s="15">
        <f>CORREL($E9:$E101,BV9:BV101)</f>
        <v/>
      </c>
      <c r="BW104" s="15">
        <f>CORREL($E9:$E101,BW9:BW101)</f>
        <v/>
      </c>
      <c r="BX104" s="15">
        <f>CORREL($E9:$E101,BX9:BX101)</f>
        <v/>
      </c>
      <c r="BY104" s="15">
        <f>CORREL($E9:$E101,BY9:BY101)</f>
        <v/>
      </c>
      <c r="BZ104" s="15">
        <f>CORREL($E9:$E101,BZ9:BZ101)</f>
        <v/>
      </c>
      <c r="CA104" s="15">
        <f>CORREL($E9:$E101,CA9:CA101)</f>
        <v/>
      </c>
      <c r="CB104" s="15">
        <f>CORREL($E9:$E101,CB9:CB101)</f>
        <v/>
      </c>
      <c r="CC104" s="15" t="n"/>
      <c r="CD104" s="15" t="n"/>
      <c r="CE104" s="15">
        <f>CORREL($E9:$E101,CE9:CE101)</f>
        <v/>
      </c>
      <c r="CF104" s="15" t="n"/>
      <c r="CG104" s="15" t="n"/>
      <c r="CH104" s="15">
        <f>CORREL($E9:$E101,CH9:CH101)</f>
        <v/>
      </c>
      <c r="CI104" s="15">
        <f>CORREL($E9:$E101,CI9:CI101)</f>
        <v/>
      </c>
      <c r="CJ104" s="15">
        <f>CORREL($E9:$E101,CJ9:CJ101)</f>
        <v/>
      </c>
      <c r="CK104" s="15" t="n"/>
      <c r="CL104" s="15" t="n"/>
      <c r="CM104" s="15">
        <f>CORREL($E9:$E101,CM9:CM101)</f>
        <v/>
      </c>
      <c r="CN104" s="15">
        <f>CORREL($E9:$E101,CN9:CN101)</f>
        <v/>
      </c>
      <c r="CO104" s="15">
        <f>CORREL($E9:$E101,CO9:CO101)</f>
        <v/>
      </c>
      <c r="CP104" s="15">
        <f>CORREL($E9:$E101,CP9:CP101)</f>
        <v/>
      </c>
      <c r="CQ104" s="15">
        <f>CORREL($E9:$E101,CQ9:CQ101)</f>
        <v/>
      </c>
      <c r="CR104" s="15">
        <f>CORREL($E9:$E101,CR9:CR101)</f>
        <v/>
      </c>
      <c r="CS104" s="15" t="n"/>
      <c r="CT104" s="15" t="n"/>
      <c r="CU104" s="15">
        <f>CORREL($E9:$E101,CU9:CU101)</f>
        <v/>
      </c>
      <c r="CV104" s="15" t="n"/>
      <c r="CW104" s="15" t="n"/>
      <c r="CX104" s="15">
        <f>CORREL($E9:$E101,CX9:CX101)</f>
        <v/>
      </c>
      <c r="CY104" s="15">
        <f>CORREL($E9:$E101,CY9:CY101)</f>
        <v/>
      </c>
      <c r="CZ104" s="15">
        <f>CORREL($E9:$E101,CZ9:CZ101)</f>
        <v/>
      </c>
      <c r="DA104" s="15">
        <f>CORREL($E9:$E101,DA9:DA101)</f>
        <v/>
      </c>
      <c r="DB104" s="15">
        <f>CORREL($E9:$E101,DB9:DB101)</f>
        <v/>
      </c>
      <c r="DC104" s="15">
        <f>CORREL($E9:$E101,DC9:DC101)</f>
        <v/>
      </c>
      <c r="DD104" s="15">
        <f>CORREL($E9:$E101,DD9:DD101)</f>
        <v/>
      </c>
      <c r="DE104" s="15">
        <f>CORREL($E9:$E101,DE9:DE101)</f>
        <v/>
      </c>
      <c r="DF104" s="15">
        <f>CORREL($E9:$E101,DF9:DF101)</f>
        <v/>
      </c>
      <c r="DG104" s="15">
        <f>CORREL($E9:$E101,DG9:DG101)</f>
        <v/>
      </c>
      <c r="DH104" s="15">
        <f>CORREL($E9:$E101,DH9:DH101)</f>
        <v/>
      </c>
      <c r="DI104" s="15" t="n"/>
      <c r="DJ104" s="15" t="n"/>
      <c r="DK104" s="15">
        <f>CORREL($E9:$E101,DK9:DK101)</f>
        <v/>
      </c>
      <c r="DL104" s="15">
        <f>CORREL($E9:$E101,DL9:DL101)</f>
        <v/>
      </c>
      <c r="DM104" s="15">
        <f>CORREL($E9:$E101,DM9:DM101)</f>
        <v/>
      </c>
      <c r="DN104" s="15">
        <f>CORREL($E9:$E101,DN9:DN101)</f>
        <v/>
      </c>
      <c r="DO104" s="15">
        <f>CORREL($E9:$E101,DO9:DO101)</f>
        <v/>
      </c>
      <c r="DP104" s="15">
        <f>CORREL($E9:$E101,DP9:DP101)</f>
        <v/>
      </c>
      <c r="DQ104" s="15" t="n"/>
      <c r="DR104" s="15" t="n"/>
      <c r="DS104" s="15">
        <f>CORREL($E9:$E101,DS9:DS101)</f>
        <v/>
      </c>
      <c r="DT104" s="15">
        <f>CORREL($E9:$E101,DT9:DT101)</f>
        <v/>
      </c>
      <c r="DU104" s="15">
        <f>CORREL($E9:$E101,DU9:DU101)</f>
        <v/>
      </c>
      <c r="DV104" s="15">
        <f>CORREL($E9:$E101,DV9:DV101)</f>
        <v/>
      </c>
      <c r="DW104" s="15">
        <f>CORREL($E9:$E101,DW9:DW101)</f>
        <v/>
      </c>
      <c r="DX104" s="15">
        <f>CORREL($E9:$E101,DX9:DX101)</f>
        <v/>
      </c>
      <c r="DY104" s="15">
        <f>CORREL($E9:$E101,DY9:DY101)</f>
        <v/>
      </c>
      <c r="DZ104" s="15">
        <f>CORREL($E9:$E101,DZ9:DZ101)</f>
        <v/>
      </c>
      <c r="EA104" s="15">
        <f>CORREL($E9:$E101,EA9:EA101)</f>
        <v/>
      </c>
      <c r="EB104" s="15">
        <f>CORREL($E9:$E101,EB9:EB101)</f>
        <v/>
      </c>
      <c r="EC104" s="15">
        <f>CORREL($E9:$E101,EC9:EC101)</f>
        <v/>
      </c>
      <c r="ED104" s="15">
        <f>CORREL($E9:$E101,ED9:ED101)</f>
        <v/>
      </c>
      <c r="EE104" s="15" t="n"/>
      <c r="EF104" s="15" t="n"/>
      <c r="EG104" s="15">
        <f>CORREL($E9:$E101,EG9:EG101)</f>
        <v/>
      </c>
      <c r="EH104" s="15">
        <f>CORREL($E9:$E101,EH9:EH101)</f>
        <v/>
      </c>
      <c r="EI104" s="15">
        <f>CORREL($E9:$E101,EI9:EI101)</f>
        <v/>
      </c>
      <c r="EJ104" s="15" t="n"/>
      <c r="EK104" s="15" t="n"/>
      <c r="EL104" s="15">
        <f>CORREL($E9:$E101,EL9:EL101)</f>
        <v/>
      </c>
      <c r="EM104" s="15">
        <f>CORREL($E9:$E101,EM9:EM101)</f>
        <v/>
      </c>
      <c r="EN104" s="15">
        <f>CORREL($E9:$E101,EN9:EN101)</f>
        <v/>
      </c>
      <c r="EO104" s="15">
        <f>CORREL($E9:$E101,EO9:EO101)</f>
        <v/>
      </c>
      <c r="EP104" s="15">
        <f>CORREL($E9:$E101,EP9:EP101)</f>
        <v/>
      </c>
      <c r="EQ104" s="15">
        <f>CORREL($E9:$E101,EQ9:EQ101)</f>
        <v/>
      </c>
      <c r="ER104" s="15">
        <f>CORREL($E9:$E101,ER9:ER101)</f>
        <v/>
      </c>
      <c r="ES104" s="15">
        <f>CORREL($E9:$E101,ES9:ES101)</f>
        <v/>
      </c>
      <c r="ET104" s="15">
        <f>CORREL($E9:$E101,ET9:ET101)</f>
        <v/>
      </c>
      <c r="EU104" s="15">
        <f>CORREL($E9:$E101,EU9:EU101)</f>
        <v/>
      </c>
      <c r="EV104" s="15">
        <f>CORREL($E9:$E101,EV9:EV101)</f>
        <v/>
      </c>
      <c r="EW104" s="15">
        <f>CORREL($E9:$E101,EW9:EW101)</f>
        <v/>
      </c>
      <c r="EX104" s="15" t="n"/>
      <c r="EY104" s="15" t="n"/>
      <c r="EZ104" s="15">
        <f>CORREL($E9:$E101,EZ9:EZ101)</f>
        <v/>
      </c>
      <c r="FA104" s="15">
        <f>CORREL($E9:$E101,FA9:FA101)</f>
        <v/>
      </c>
      <c r="FB104" s="15" t="n"/>
      <c r="FC104" s="15" t="n"/>
      <c r="FD104" s="15">
        <f>CORREL($E9:$E101,FD9:FD101)</f>
        <v/>
      </c>
      <c r="FE104" s="15">
        <f>CORREL($E9:$E101,FE9:FE101)</f>
        <v/>
      </c>
      <c r="FF104" s="15" t="n"/>
      <c r="FG104" s="15" t="n"/>
      <c r="FH104" s="15">
        <f>CORREL($E9:$E101,FH9:FH101)</f>
        <v/>
      </c>
      <c r="FI104" s="15">
        <f>CORREL($E9:$E101,FI9:FI101)</f>
        <v/>
      </c>
      <c r="FJ104" s="15">
        <f>CORREL($E9:$E101,FJ9:FJ101)</f>
        <v/>
      </c>
      <c r="FK104" s="15">
        <f>CORREL($E9:$E101,FK9:FK101)</f>
        <v/>
      </c>
      <c r="FL104" s="15" t="n"/>
      <c r="FM104" s="15" t="n"/>
      <c r="FN104" s="15">
        <f>CORREL($E9:$E101,FN9:FN101)</f>
        <v/>
      </c>
      <c r="FO104" s="15">
        <f>CORREL($E9:$E101,FO9:FO101)</f>
        <v/>
      </c>
      <c r="FP104" s="15">
        <f>CORREL($E9:$E101,FP9:FP101)</f>
        <v/>
      </c>
      <c r="FQ104" s="15">
        <f>CORREL($E9:$E101,FQ9:FQ101)</f>
        <v/>
      </c>
      <c r="FR104" s="15">
        <f>CORREL($E9:$E101,FR9:FR101)</f>
        <v/>
      </c>
      <c r="FS104" s="15">
        <f>CORREL($E9:$E101,FS9:FS101)</f>
        <v/>
      </c>
      <c r="FT104" s="15">
        <f>CORREL($E9:$E101,FT9:FT101)</f>
        <v/>
      </c>
      <c r="FU104" s="15">
        <f>CORREL($E9:$E101,FU9:FU101)</f>
        <v/>
      </c>
      <c r="FV104" s="15">
        <f>CORREL($E9:$E101,FV9:FV101)</f>
        <v/>
      </c>
      <c r="FW104" s="15">
        <f>CORREL($E9:$E101,FW9:FW101)</f>
        <v/>
      </c>
      <c r="FX104" s="15">
        <f>CORREL($E9:$E101,FX9:FX101)</f>
        <v/>
      </c>
      <c r="FY104" s="15">
        <f>CORREL($E9:$E101,FY9:FY101)</f>
        <v/>
      </c>
      <c r="FZ104" s="15">
        <f>CORREL($E9:$E101,FZ9:FZ101)</f>
        <v/>
      </c>
      <c r="GA104" s="15">
        <f>CORREL($E9:$E101,GA9:GA101)</f>
        <v/>
      </c>
      <c r="GB104" s="15">
        <f>CORREL($E9:$E101,GB9:GB101)</f>
        <v/>
      </c>
      <c r="GC104" s="15">
        <f>CORREL($E9:$E101,GC9:GC101)</f>
        <v/>
      </c>
      <c r="GD104" s="15">
        <f>CORREL($E9:$E101,GD9:GD101)</f>
        <v/>
      </c>
      <c r="GE104" s="15">
        <f>CORREL($E9:$E101,GE9:GE101)</f>
        <v/>
      </c>
      <c r="GF104" s="15">
        <f>CORREL($E9:$E101,GF9:GF101)</f>
        <v/>
      </c>
      <c r="GG104" s="15">
        <f>CORREL($E9:$E101,GG9:GG101)</f>
        <v/>
      </c>
      <c r="GH104" s="15">
        <f>CORREL($E9:$E101,GH9:GH101)</f>
        <v/>
      </c>
      <c r="GI104" s="15">
        <f>CORREL($E9:$E101,GI9:GI101)</f>
        <v/>
      </c>
      <c r="GJ104" s="15">
        <f>CORREL($E9:$E101,GJ9:GJ101)</f>
        <v/>
      </c>
      <c r="GK104" s="15">
        <f>CORREL($E9:$E101,GK9:GK101)</f>
        <v/>
      </c>
      <c r="GL104" s="15">
        <f>CORREL($E9:$E101,GL9:GL101)</f>
        <v/>
      </c>
      <c r="GM104" s="15">
        <f>CORREL($E9:$E101,GM9:GM101)</f>
        <v/>
      </c>
      <c r="GN104" s="15">
        <f>CORREL($E9:$E101,GN9:GN101)</f>
        <v/>
      </c>
      <c r="GO104" s="15">
        <f>CORREL($E9:$E101,GO9:GO101)</f>
        <v/>
      </c>
      <c r="GP104" s="15">
        <f>CORREL($E9:$E101,GP9:GP101)</f>
        <v/>
      </c>
      <c r="GQ104" s="15">
        <f>CORREL($E9:$E101,GQ9:GQ101)</f>
        <v/>
      </c>
      <c r="GR104" s="15">
        <f>CORREL($E9:$E101,GR9:GR101)</f>
        <v/>
      </c>
      <c r="GS104" s="15">
        <f>CORREL($E9:$E101,GS9:GS101)</f>
        <v/>
      </c>
      <c r="GT104" s="15">
        <f>CORREL($E9:$E101,GT9:GT101)</f>
        <v/>
      </c>
      <c r="GU104" s="15">
        <f>CORREL($E9:$E101,GU9:GU101)</f>
        <v/>
      </c>
      <c r="GV104" s="15">
        <f>CORREL($E9:$E101,GV9:GV101)</f>
        <v/>
      </c>
      <c r="GW104" s="15">
        <f>CORREL($E9:$E101,GW9:GW101)</f>
        <v/>
      </c>
      <c r="GX104" s="15">
        <f>CORREL($E9:$E101,GX9:GX101)</f>
        <v/>
      </c>
      <c r="GY104" s="15">
        <f>CORREL($E9:$E101,GY9:GY101)</f>
        <v/>
      </c>
      <c r="GZ104" s="15">
        <f>CORREL($E9:$E101,GZ9:GZ101)</f>
        <v/>
      </c>
      <c r="HA104" s="15">
        <f>CORREL($E9:$E101,HA9:HA101)</f>
        <v/>
      </c>
      <c r="HB104" s="15">
        <f>CORREL($E9:$E101,HB9:HB101)</f>
        <v/>
      </c>
      <c r="HC104" s="15">
        <f>CORREL($E9:$E101,HC9:HC101)</f>
        <v/>
      </c>
      <c r="HD104" s="15">
        <f>CORREL($E9:$E101,HD9:HD101)</f>
        <v/>
      </c>
      <c r="HE104" s="15">
        <f>CORREL($E9:$E101,HE9:HE101)</f>
        <v/>
      </c>
      <c r="HF104" s="15">
        <f>CORREL($E9:$E101,HF9:HF101)</f>
        <v/>
      </c>
      <c r="HG104" s="15">
        <f>CORREL($E9:$E101,HG9:HG101)</f>
        <v/>
      </c>
      <c r="HH104" s="15">
        <f>CORREL($E9:$E101,HH9:HH101)</f>
        <v/>
      </c>
      <c r="HI104" s="15">
        <f>CORREL($E9:$E101,HI9:HI101)</f>
        <v/>
      </c>
      <c r="HJ104" s="15">
        <f>CORREL($E9:$E101,HJ9:HJ101)</f>
        <v/>
      </c>
      <c r="HK104" s="15">
        <f>CORREL($E9:$E101,HK9:HK101)</f>
        <v/>
      </c>
      <c r="HL104" s="15">
        <f>CORREL($E9:$E101,HL9:HL101)</f>
        <v/>
      </c>
      <c r="HM104" s="15">
        <f>CORREL($E9:$E101,HM9:HM101)</f>
        <v/>
      </c>
      <c r="HN104" s="15">
        <f>CORREL($E9:$E101,HN9:HN101)</f>
        <v/>
      </c>
      <c r="HO104" s="15">
        <f>CORREL($E9:$E101,HO9:HO101)</f>
        <v/>
      </c>
      <c r="HP104" s="15">
        <f>CORREL($E9:$E101,HP9:HP101)</f>
        <v/>
      </c>
      <c r="HQ104" s="15">
        <f>CORREL($E9:$E101,HQ9:HQ101)</f>
        <v/>
      </c>
      <c r="HR104" s="15">
        <f>CORREL($E9:$E101,HR9:HR101)</f>
        <v/>
      </c>
      <c r="HS104" s="15">
        <f>CORREL($E9:$E101,HS9:HS101)</f>
        <v/>
      </c>
      <c r="HT104" s="15">
        <f>CORREL($E9:$E101,HT9:HT101)</f>
        <v/>
      </c>
      <c r="HU104" s="15">
        <f>CORREL($E9:$E101,HU9:HU101)</f>
        <v/>
      </c>
      <c r="HV104" s="15">
        <f>CORREL($E9:$E101,HV9:HV101)</f>
        <v/>
      </c>
      <c r="HW104" s="15">
        <f>CORREL($E9:$E101,HW9:HW101)</f>
        <v/>
      </c>
      <c r="HX104" s="15">
        <f>CORREL($E9:$E101,HX9:HX101)</f>
        <v/>
      </c>
      <c r="HY104" s="15">
        <f>CORREL($E9:$E101,HY9:HY101)</f>
        <v/>
      </c>
      <c r="HZ104" s="15">
        <f>CORREL($E9:$E101,HZ9:HZ101)</f>
        <v/>
      </c>
      <c r="IA104" s="15">
        <f>CORREL($E9:$E101,IA9:IA101)</f>
        <v/>
      </c>
      <c r="IB104" s="15">
        <f>CORREL($E9:$E101,IB9:IB101)</f>
        <v/>
      </c>
      <c r="IC104" s="15">
        <f>CORREL($E9:$E101,IC9:IC101)</f>
        <v/>
      </c>
      <c r="ID104" s="15">
        <f>CORREL($E9:$E101,ID9:ID101)</f>
        <v/>
      </c>
      <c r="IE104" s="15">
        <f>CORREL($E9:$E101,IE9:IE101)</f>
        <v/>
      </c>
      <c r="IF104" s="15">
        <f>CORREL($E9:$E101,IF9:IF101)</f>
        <v/>
      </c>
      <c r="IG104" s="15">
        <f>CORREL($E9:$E101,IG9:IG101)</f>
        <v/>
      </c>
      <c r="IH104" s="15">
        <f>CORREL($E9:$E101,IH9:IH101)</f>
        <v/>
      </c>
      <c r="II104" s="15">
        <f>CORREL($E9:$E101,II9:II101)</f>
        <v/>
      </c>
      <c r="IJ104" s="15">
        <f>CORREL($E9:$E101,IJ9:IJ101)</f>
        <v/>
      </c>
      <c r="IK104" s="15">
        <f>CORREL($E9:$E101,IK9:IK101)</f>
        <v/>
      </c>
      <c r="IL104" s="15">
        <f>CORREL($E9:$E101,IL9:IL101)</f>
        <v/>
      </c>
      <c r="IM104" s="15">
        <f>CORREL($E9:$E101,IM9:IM101)</f>
        <v/>
      </c>
      <c r="IN104" s="15">
        <f>CORREL($E9:$E101,IN9:IN101)</f>
        <v/>
      </c>
      <c r="IO104" s="15">
        <f>CORREL($E9:$E101,IO9:IO101)</f>
        <v/>
      </c>
      <c r="IP104" s="15">
        <f>CORREL($E9:$E101,IP9:IP101)</f>
        <v/>
      </c>
      <c r="IQ104" s="15">
        <f>CORREL($E9:$E101,IQ9:IQ101)</f>
        <v/>
      </c>
      <c r="IR104" s="15">
        <f>CORREL($E9:$E101,IR9:IR101)</f>
        <v/>
      </c>
      <c r="IS104" s="15">
        <f>CORREL($E9:$E101,IS9:IS101)</f>
        <v/>
      </c>
      <c r="IT104" s="15" t="n"/>
      <c r="IU104" s="15" t="n"/>
      <c r="IV104" s="15">
        <f>CORREL($E9:$E101,IV9:IV101)</f>
        <v/>
      </c>
      <c r="IW104" s="15">
        <f>CORREL($E9:$E101,IW9:IW101)</f>
        <v/>
      </c>
      <c r="IX104" s="15">
        <f>CORREL($E9:$E101,IX9:IX101)</f>
        <v/>
      </c>
      <c r="IY104" s="15">
        <f>CORREL($E9:$E101,IY9:IY101)</f>
        <v/>
      </c>
      <c r="IZ104" s="15">
        <f>CORREL($E9:$E101,IZ9:IZ101)</f>
        <v/>
      </c>
      <c r="JA104" s="15">
        <f>CORREL($E9:$E101,JA9:JA101)</f>
        <v/>
      </c>
      <c r="JB104" s="15">
        <f>CORREL($E9:$E101,JB9:JB101)</f>
        <v/>
      </c>
      <c r="JC104" s="15">
        <f>CORREL($E9:$E101,JC9:JC101)</f>
        <v/>
      </c>
      <c r="JD104" s="15">
        <f>CORREL($E9:$E101,JD9:JD101)</f>
        <v/>
      </c>
      <c r="JE104" s="15">
        <f>CORREL($E9:$E101,JE9:JE101)</f>
        <v/>
      </c>
      <c r="JF104" s="15">
        <f>CORREL($E9:$E101,JF9:JF101)</f>
        <v/>
      </c>
      <c r="JG104" s="15">
        <f>CORREL($E9:$E101,JG9:JG101)</f>
        <v/>
      </c>
      <c r="JH104" s="15">
        <f>CORREL($E9:$E101,JH9:JH101)</f>
        <v/>
      </c>
    </row>
    <row r="105">
      <c r="A105" s="13" t="inlineStr">
        <is>
          <t>Correlation to Combined Score</t>
        </is>
      </c>
      <c r="B105" s="41" t="n"/>
      <c r="C105" s="12" t="n"/>
      <c r="D105" s="12" t="n"/>
      <c r="E105" s="12" t="n"/>
      <c r="F105" s="12" t="n"/>
      <c r="G105" s="12" t="n"/>
      <c r="H105" s="12" t="n"/>
      <c r="I105" s="12" t="n"/>
      <c r="J105" s="16">
        <f>CORREL($H3:INDEX($H:$H,LOOKUP(2,1/(ISNUMBER($A$2:$A$1048576)),ROW($A$2:$A$1048576))),J3:INDEX($J:$J,LOOKUP(2,1/(ISNUMBER($A$2:$A$1048576)),ROW($A$2:$A$1048576))))</f>
        <v/>
      </c>
      <c r="K105" s="16" t="n"/>
      <c r="L105" s="16">
        <f>CORREL($H3:INDEX($H:$H,LOOKUP(2,1/(ISNUMBER($A$2:$A$1048576)),ROW($A$2:$A$1048576))),L3:INDEX($L:$L,LOOKUP(2,1/(ISNUMBER($A$2:$A$1048576)),ROW($A$2:$A$1048576))))</f>
        <v/>
      </c>
      <c r="M105" s="16" t="n"/>
      <c r="N105" s="16">
        <f>CORREL($H3:INDEX($H:$H,LOOKUP(2,1/(ISNUMBER($A$2:$A$1048576)),ROW($A$2:$A$1048576))),N3:INDEX($N:$N,LOOKUP(2,1/(ISNUMBER($A$2:$A$1048576)),ROW($A$2:$A$1048576))))</f>
        <v/>
      </c>
      <c r="O105" s="16" t="n"/>
      <c r="P105" s="16">
        <f>CORREL($H3:INDEX($H:$H,LOOKUP(2,1/(ISNUMBER($A$2:$A$1048576)),ROW($A$2:$A$1048576))),P3:INDEX($P:$P,LOOKUP(2,1/(ISNUMBER($A$2:$A$1048576)),ROW($A$2:$A$1048576))))</f>
        <v/>
      </c>
      <c r="Q105" s="16" t="n"/>
      <c r="R105" s="16">
        <f>CORREL($H3:INDEX($H:$H,LOOKUP(2,1/(ISNUMBER($A$2:$A$1048576)),ROW($A$2:$A$1048576))),R3:INDEX($R:$R,LOOKUP(2,1/(ISNUMBER($A$2:$A$1048576)),ROW($A$2:$A$1048576))))</f>
        <v/>
      </c>
      <c r="S105" s="16" t="n"/>
      <c r="T105" s="16" t="n"/>
      <c r="U105" s="16">
        <f>CORREL($H3:INDEX($H:$H,LOOKUP(2,1/(ISNUMBER($A$2:$A$1048576)),ROW($A$2:$A$1048576))),U3:INDEX($U:$U,LOOKUP(2,1/(ISNUMBER($A$2:$A$1048576)),ROW($A$2:$A$1048576))))</f>
        <v/>
      </c>
      <c r="V105" s="16" t="n"/>
      <c r="W105" s="16" t="n"/>
      <c r="X105" s="16">
        <f>CORREL($H3:INDEX($H:$H,LOOKUP(2,1/(ISNUMBER($A$2:$A$1048576)),ROW($A$2:$A$1048576))),X3:INDEX($X:$X,LOOKUP(2,1/(ISNUMBER($A$2:$A$1048576)),ROW($A$2:$A$1048576))))</f>
        <v/>
      </c>
      <c r="Y105" s="16">
        <f>CORREL($H3:INDEX($H:$H,LOOKUP(2,1/(ISNUMBER($A$2:$A$1048576)),ROW($A$2:$A$1048576))),Y3:INDEX($Y:$Y,LOOKUP(2,1/(ISNUMBER($A$2:$A$1048576)),ROW($A$2:$A$1048576))))</f>
        <v/>
      </c>
      <c r="Z105" s="16" t="n"/>
      <c r="AA105" s="16" t="n"/>
      <c r="AB105" s="16">
        <f>CORREL($H3:INDEX($H:$H,LOOKUP(2,1/(ISNUMBER($A$2:$A$1048576)),ROW($A$2:$A$1048576))),AB3:INDEX($AB:$AB,LOOKUP(2,1/(ISNUMBER($A$2:$A$1048576)),ROW($A$2:$A$1048576))))</f>
        <v/>
      </c>
      <c r="AC105" s="16" t="n"/>
      <c r="AD105" s="16" t="n"/>
      <c r="AE105" s="16">
        <f>CORREL($H3:INDEX($H:$H,LOOKUP(2,1/(ISNUMBER($A$2:$A$1048576)),ROW($A$2:$A$1048576))),AE3:INDEX($AE:$AE,LOOKUP(2,1/(ISNUMBER($A$2:$A$1048576)),ROW($A$2:$A$1048576))))</f>
        <v/>
      </c>
      <c r="AF105" s="16" t="n"/>
      <c r="AG105" s="16" t="n"/>
      <c r="AH105" s="16">
        <f>CORREL($H3:INDEX($H:$H,LOOKUP(2,1/(ISNUMBER($A$2:$A$1048576)),ROW($A$2:$A$1048576))),AH3:INDEX($AH:$AH,LOOKUP(2,1/(ISNUMBER($A$2:$A$1048576)),ROW($A$2:$A$1048576))))</f>
        <v/>
      </c>
      <c r="AI105" s="16">
        <f>CORREL($H3:INDEX($H:$H,LOOKUP(2,1/(ISNUMBER($A$2:$A$1048576)),ROW($A$2:$A$1048576))),AI3:INDEX($AI:$AI,LOOKUP(2,1/(ISNUMBER($A$2:$A$1048576)),ROW($A$2:$A$1048576))))</f>
        <v/>
      </c>
      <c r="AJ105" s="16">
        <f>CORREL($H3:INDEX($H:$H,LOOKUP(2,1/(ISNUMBER($A$2:$A$1048576)),ROW($A$2:$A$1048576))),AJ3:INDEX($AJ:$AJ,LOOKUP(2,1/(ISNUMBER($A$2:$A$1048576)),ROW($A$2:$A$1048576))))</f>
        <v/>
      </c>
      <c r="AK105" s="16">
        <f>CORREL($H3:INDEX($H:$H,LOOKUP(2,1/(ISNUMBER($A$2:$A$1048576)),ROW($A$2:$A$1048576))),AK3:INDEX($AK:$AK,LOOKUP(2,1/(ISNUMBER($A$2:$A$1048576)),ROW($A$2:$A$1048576))))</f>
        <v/>
      </c>
      <c r="AL105" s="16">
        <f>CORREL($H3:INDEX($H:$H,LOOKUP(2,1/(ISNUMBER($A$2:$A$1048576)),ROW($A$2:$A$1048576))),AL3:INDEX($AL:$AL,LOOKUP(2,1/(ISNUMBER($A$2:$A$1048576)),ROW($A$2:$A$1048576))))</f>
        <v/>
      </c>
      <c r="AM105" s="16">
        <f>CORREL($H3:INDEX($H:$H,LOOKUP(2,1/(ISNUMBER($A$2:$A$1048576)),ROW($A$2:$A$1048576))),AM3:INDEX($AM:$AM,LOOKUP(2,1/(ISNUMBER($A$2:$A$1048576)),ROW($A$2:$A$1048576))))</f>
        <v/>
      </c>
      <c r="AN105" s="16">
        <f>CORREL($H3:INDEX($H:$H,LOOKUP(2,1/(ISNUMBER($A$2:$A$1048576)),ROW($A$2:$A$1048576))),AN3:INDEX($AN:$AN,LOOKUP(2,1/(ISNUMBER($A$2:$A$1048576)),ROW($A$2:$A$1048576))))</f>
        <v/>
      </c>
      <c r="AO105" s="16">
        <f>CORREL($H3:INDEX($H:$H,LOOKUP(2,1/(ISNUMBER($A$2:$A$1048576)),ROW($A$2:$A$1048576))),AO3:INDEX($AO:$AO,LOOKUP(2,1/(ISNUMBER($A$2:$A$1048576)),ROW($A$2:$A$1048576))))</f>
        <v/>
      </c>
      <c r="AP105" s="16">
        <f>CORREL($H3:INDEX($H:$H,LOOKUP(2,1/(ISNUMBER($A$2:$A$1048576)),ROW($A$2:$A$1048576))),AP3:INDEX($AP:$AP,LOOKUP(2,1/(ISNUMBER($A$2:$A$1048576)),ROW($A$2:$A$1048576))))</f>
        <v/>
      </c>
      <c r="AQ105" s="16">
        <f>CORREL($H3:INDEX($H:$H,LOOKUP(2,1/(ISNUMBER($A$2:$A$1048576)),ROW($A$2:$A$1048576))),AQ3:INDEX($AQ:$AQ,LOOKUP(2,1/(ISNUMBER($A$2:$A$1048576)),ROW($A$2:$A$1048576))))</f>
        <v/>
      </c>
      <c r="AR105" s="16">
        <f>CORREL($H3:INDEX($H:$H,LOOKUP(2,1/(ISNUMBER($A$2:$A$1048576)),ROW($A$2:$A$1048576))),AR3:INDEX($AR:$AR,LOOKUP(2,1/(ISNUMBER($A$2:$A$1048576)),ROW($A$2:$A$1048576))))</f>
        <v/>
      </c>
      <c r="AS105" s="16">
        <f>CORREL($H3:INDEX($H:$H,LOOKUP(2,1/(ISNUMBER($A$2:$A$1048576)),ROW($A$2:$A$1048576))),AS3:INDEX($AS:$AS,LOOKUP(2,1/(ISNUMBER($A$2:$A$1048576)),ROW($A$2:$A$1048576))))</f>
        <v/>
      </c>
      <c r="AT105" s="16" t="n"/>
      <c r="AU105" s="16" t="n"/>
      <c r="AV105" s="16">
        <f>CORREL($H3:INDEX($H:$H,LOOKUP(2,1/(ISNUMBER($A$2:$A$1048576)),ROW($A$2:$A$1048576))),AV3:INDEX($AV:$AV,LOOKUP(2,1/(ISNUMBER($A$2:$A$1048576)),ROW($A$2:$A$1048576))))</f>
        <v/>
      </c>
      <c r="AW105" s="16" t="n"/>
      <c r="AX105" s="16">
        <f>CORREL($H3:INDEX($H:$H,LOOKUP(2,1/(ISNUMBER($A$2:$A$1048576)),ROW($A$2:$A$1048576))),AX3:INDEX($AX:$AX,LOOKUP(2,1/(ISNUMBER($A$2:$A$1048576)),ROW($A$2:$A$1048576))))</f>
        <v/>
      </c>
      <c r="AY105" s="16">
        <f>CORREL($H3:INDEX($H:$H,LOOKUP(2,1/(ISNUMBER($A$2:$A$1048576)),ROW($A$2:$A$1048576))),AY3:INDEX($AY:$AY,LOOKUP(2,1/(ISNUMBER($A$2:$A$1048576)),ROW($A$2:$A$1048576))))</f>
        <v/>
      </c>
      <c r="AZ105" s="16">
        <f>CORREL($H3:INDEX($H:$H,LOOKUP(2,1/(ISNUMBER($A$2:$A$1048576)),ROW($A$2:$A$1048576))),AZ3:INDEX($AZ:$AZ,LOOKUP(2,1/(ISNUMBER($A$2:$A$1048576)),ROW($A$2:$A$1048576))))</f>
        <v/>
      </c>
      <c r="BA105" s="16">
        <f>CORREL($H3:INDEX($H:$H,LOOKUP(2,1/(ISNUMBER($A$2:$A$1048576)),ROW($A$2:$A$1048576))),BA3:INDEX($BA:$BA,LOOKUP(2,1/(ISNUMBER($A$2:$A$1048576)),ROW($A$2:$A$1048576))))</f>
        <v/>
      </c>
      <c r="BB105" s="16">
        <f>CORREL($H3:INDEX($H:$H,LOOKUP(2,1/(ISNUMBER($A$2:$A$1048576)),ROW($A$2:$A$1048576))),BB3:INDEX($BB:$BB,LOOKUP(2,1/(ISNUMBER($A$2:$A$1048576)),ROW($A$2:$A$1048576))))</f>
        <v/>
      </c>
      <c r="BC105" s="16">
        <f>CORREL($H3:INDEX($H:$H,LOOKUP(2,1/(ISNUMBER($A$2:$A$1048576)),ROW($A$2:$A$1048576))),BC3:INDEX($BC:$BC,LOOKUP(2,1/(ISNUMBER($A$2:$A$1048576)),ROW($A$2:$A$1048576))))</f>
        <v/>
      </c>
      <c r="BD105" s="16">
        <f>CORREL($H3:INDEX($H:$H,LOOKUP(2,1/(ISNUMBER($A$2:$A$1048576)),ROW($A$2:$A$1048576))),BD3:INDEX($BD:$BD,LOOKUP(2,1/(ISNUMBER($A$2:$A$1048576)),ROW($A$2:$A$1048576))))</f>
        <v/>
      </c>
      <c r="BE105" s="16">
        <f>CORREL($H3:INDEX($H:$H,LOOKUP(2,1/(ISNUMBER($A$2:$A$1048576)),ROW($A$2:$A$1048576))),BE3:INDEX($BE:$BE,LOOKUP(2,1/(ISNUMBER($A$2:$A$1048576)),ROW($A$2:$A$1048576))))</f>
        <v/>
      </c>
      <c r="BF105" s="16" t="n"/>
      <c r="BG105" s="16" t="n"/>
      <c r="BH105" s="16">
        <f>CORREL($H3:INDEX($H:$H,LOOKUP(2,1/(ISNUMBER($A$2:$A$1048576)),ROW($A$2:$A$1048576))),BH3:INDEX($BH:$BH,LOOKUP(2,1/(ISNUMBER($A$2:$A$1048576)),ROW($A$2:$A$1048576))))</f>
        <v/>
      </c>
      <c r="BI105" s="16">
        <f>CORREL($H3:INDEX($H:$H,LOOKUP(2,1/(ISNUMBER($A$2:$A$1048576)),ROW($A$2:$A$1048576))),BI3:INDEX($BI:$BI,LOOKUP(2,1/(ISNUMBER($A$2:$A$1048576)),ROW($A$2:$A$1048576))))</f>
        <v/>
      </c>
      <c r="BJ105" s="16">
        <f>CORREL($H3:INDEX($H:$H,LOOKUP(2,1/(ISNUMBER($A$2:$A$1048576)),ROW($A$2:$A$1048576))),BJ3:INDEX($BJ:$BJ,LOOKUP(2,1/(ISNUMBER($A$2:$A$1048576)),ROW($A$2:$A$1048576))))</f>
        <v/>
      </c>
      <c r="BK105" s="16">
        <f>CORREL($H3:INDEX($H:$H,LOOKUP(2,1/(ISNUMBER($A$2:$A$1048576)),ROW($A$2:$A$1048576))),BK3:INDEX($BK:$BK,LOOKUP(2,1/(ISNUMBER($A$2:$A$1048576)),ROW($A$2:$A$1048576))))</f>
        <v/>
      </c>
      <c r="BL105" s="16">
        <f>CORREL($H3:INDEX($H:$H,LOOKUP(2,1/(ISNUMBER($A$2:$A$1048576)),ROW($A$2:$A$1048576))),BL3:INDEX($BL:$BL,LOOKUP(2,1/(ISNUMBER($A$2:$A$1048576)),ROW($A$2:$A$1048576))))</f>
        <v/>
      </c>
      <c r="BM105" s="16">
        <f>CORREL($H3:INDEX($H:$H,LOOKUP(2,1/(ISNUMBER($A$2:$A$1048576)),ROW($A$2:$A$1048576))),BM3:INDEX($BM:$BM,LOOKUP(2,1/(ISNUMBER($A$2:$A$1048576)),ROW($A$2:$A$1048576))))</f>
        <v/>
      </c>
      <c r="BN105" s="16">
        <f>CORREL($H3:INDEX($H:$H,LOOKUP(2,1/(ISNUMBER($A$2:$A$1048576)),ROW($A$2:$A$1048576))),BN3:INDEX($BN:$BN,LOOKUP(2,1/(ISNUMBER($A$2:$A$1048576)),ROW($A$2:$A$1048576))))</f>
        <v/>
      </c>
      <c r="BO105" s="16">
        <f>CORREL($H3:INDEX($H:$H,LOOKUP(2,1/(ISNUMBER($A$2:$A$1048576)),ROW($A$2:$A$1048576))),BO3:INDEX($BO:$BO,LOOKUP(2,1/(ISNUMBER($A$2:$A$1048576)),ROW($A$2:$A$1048576))))</f>
        <v/>
      </c>
      <c r="BP105" s="16">
        <f>CORREL($H3:INDEX($H:$H,LOOKUP(2,1/(ISNUMBER($A$2:$A$1048576)),ROW($A$2:$A$1048576))),BP3:INDEX($BP:$BP,LOOKUP(2,1/(ISNUMBER($A$2:$A$1048576)),ROW($A$2:$A$1048576))))</f>
        <v/>
      </c>
      <c r="BQ105" s="16">
        <f>CORREL($H3:INDEX($H:$H,LOOKUP(2,1/(ISNUMBER($A$2:$A$1048576)),ROW($A$2:$A$1048576))),BQ3:INDEX($BQ:$BQ,LOOKUP(2,1/(ISNUMBER($A$2:$A$1048576)),ROW($A$2:$A$1048576))))</f>
        <v/>
      </c>
      <c r="BR105" s="16">
        <f>CORREL($H3:INDEX($H:$H,LOOKUP(2,1/(ISNUMBER($A$2:$A$1048576)),ROW($A$2:$A$1048576))),BR3:INDEX($BR:$BR,LOOKUP(2,1/(ISNUMBER($A$2:$A$1048576)),ROW($A$2:$A$1048576))))</f>
        <v/>
      </c>
      <c r="BS105" s="16">
        <f>CORREL($H3:INDEX($H:$H,LOOKUP(2,1/(ISNUMBER($A$2:$A$1048576)),ROW($A$2:$A$1048576))),BS3:INDEX($BS:$BS,LOOKUP(2,1/(ISNUMBER($A$2:$A$1048576)),ROW($A$2:$A$1048576))))</f>
        <v/>
      </c>
      <c r="BT105" s="16">
        <f>CORREL($H3:INDEX($H:$H,LOOKUP(2,1/(ISNUMBER($A$2:$A$1048576)),ROW($A$2:$A$1048576))),BT3:INDEX($BT:$BT,LOOKUP(2,1/(ISNUMBER($A$2:$A$1048576)),ROW($A$2:$A$1048576))))</f>
        <v/>
      </c>
      <c r="BU105" s="16">
        <f>CORREL($H3:INDEX($H:$H,LOOKUP(2,1/(ISNUMBER($A$2:$A$1048576)),ROW($A$2:$A$1048576))),BU3:INDEX($BU:$BU,LOOKUP(2,1/(ISNUMBER($A$2:$A$1048576)),ROW($A$2:$A$1048576))))</f>
        <v/>
      </c>
      <c r="BV105" s="16">
        <f>CORREL($H3:INDEX($H:$H,LOOKUP(2,1/(ISNUMBER($A$2:$A$1048576)),ROW($A$2:$A$1048576))),BV3:INDEX($BV:$BV,LOOKUP(2,1/(ISNUMBER($A$2:$A$1048576)),ROW($A$2:$A$1048576))))</f>
        <v/>
      </c>
      <c r="BW105" s="16">
        <f>CORREL($H3:INDEX($H:$H,LOOKUP(2,1/(ISNUMBER($A$2:$A$1048576)),ROW($A$2:$A$1048576))),BW3:INDEX($BW:$BW,LOOKUP(2,1/(ISNUMBER($A$2:$A$1048576)),ROW($A$2:$A$1048576))))</f>
        <v/>
      </c>
      <c r="BX105" s="16">
        <f>CORREL($H3:INDEX($H:$H,LOOKUP(2,1/(ISNUMBER($A$2:$A$1048576)),ROW($A$2:$A$1048576))),BX3:INDEX($BX:$BX,LOOKUP(2,1/(ISNUMBER($A$2:$A$1048576)),ROW($A$2:$A$1048576))))</f>
        <v/>
      </c>
      <c r="BY105" s="16">
        <f>CORREL($H3:INDEX($H:$H,LOOKUP(2,1/(ISNUMBER($A$2:$A$1048576)),ROW($A$2:$A$1048576))),BY3:INDEX($BY:$BY,LOOKUP(2,1/(ISNUMBER($A$2:$A$1048576)),ROW($A$2:$A$1048576))))</f>
        <v/>
      </c>
      <c r="BZ105" s="16">
        <f>CORREL($H3:INDEX($H:$H,LOOKUP(2,1/(ISNUMBER($A$2:$A$1048576)),ROW($A$2:$A$1048576))),BZ3:INDEX($BZ:$BZ,LOOKUP(2,1/(ISNUMBER($A$2:$A$1048576)),ROW($A$2:$A$1048576))))</f>
        <v/>
      </c>
      <c r="CA105" s="16">
        <f>CORREL($H3:INDEX($H:$H,LOOKUP(2,1/(ISNUMBER($A$2:$A$1048576)),ROW($A$2:$A$1048576))),CA3:INDEX($CA:$CA,LOOKUP(2,1/(ISNUMBER($A$2:$A$1048576)),ROW($A$2:$A$1048576))))</f>
        <v/>
      </c>
      <c r="CB105" s="16">
        <f>CORREL($H3:INDEX($H:$H,LOOKUP(2,1/(ISNUMBER($A$2:$A$1048576)),ROW($A$2:$A$1048576))),CB3:INDEX($CB:$CB,LOOKUP(2,1/(ISNUMBER($A$2:$A$1048576)),ROW($A$2:$A$1048576))))</f>
        <v/>
      </c>
      <c r="CC105" s="16" t="n"/>
      <c r="CD105" s="16" t="n"/>
      <c r="CE105" s="16">
        <f>CORREL($H3:INDEX($H:$H,LOOKUP(2,1/(ISNUMBER($A$2:$A$1048576)),ROW($A$2:$A$1048576))),CE3:INDEX($CE:$CE,LOOKUP(2,1/(ISNUMBER($A$2:$A$1048576)),ROW($A$2:$A$1048576))))</f>
        <v/>
      </c>
      <c r="CF105" s="16" t="n"/>
      <c r="CG105" s="16" t="n"/>
      <c r="CH105" s="16">
        <f>CORREL($H3:INDEX($H:$H,LOOKUP(2,1/(ISNUMBER($A$2:$A$1048576)),ROW($A$2:$A$1048576))),CH3:INDEX($CH:$CH,LOOKUP(2,1/(ISNUMBER($A$2:$A$1048576)),ROW($A$2:$A$1048576))))</f>
        <v/>
      </c>
      <c r="CI105" s="16">
        <f>CORREL($H3:INDEX($H:$H,LOOKUP(2,1/(ISNUMBER($A$2:$A$1048576)),ROW($A$2:$A$1048576))),CI3:INDEX($CI:$CI,LOOKUP(2,1/(ISNUMBER($A$2:$A$1048576)),ROW($A$2:$A$1048576))))</f>
        <v/>
      </c>
      <c r="CJ105" s="16">
        <f>CORREL($H3:INDEX($H:$H,LOOKUP(2,1/(ISNUMBER($A$2:$A$1048576)),ROW($A$2:$A$1048576))),CJ3:INDEX($CJ:$CJ,LOOKUP(2,1/(ISNUMBER($A$2:$A$1048576)),ROW($A$2:$A$1048576))))</f>
        <v/>
      </c>
      <c r="CK105" s="16" t="n"/>
      <c r="CL105" s="16" t="n"/>
      <c r="CM105" s="16">
        <f>CORREL($H3:INDEX($H:$H,LOOKUP(2,1/(ISNUMBER($A$2:$A$1048576)),ROW($A$2:$A$1048576))),CM3:INDEX($CM:$CM,LOOKUP(2,1/(ISNUMBER($A$2:$A$1048576)),ROW($A$2:$A$1048576))))</f>
        <v/>
      </c>
      <c r="CN105" s="16">
        <f>CORREL($H3:INDEX($H:$H,LOOKUP(2,1/(ISNUMBER($A$2:$A$1048576)),ROW($A$2:$A$1048576))),CN3:INDEX($CN:$CN,LOOKUP(2,1/(ISNUMBER($A$2:$A$1048576)),ROW($A$2:$A$1048576))))</f>
        <v/>
      </c>
      <c r="CO105" s="16">
        <f>CORREL($H3:INDEX($H:$H,LOOKUP(2,1/(ISNUMBER($A$2:$A$1048576)),ROW($A$2:$A$1048576))),CO3:INDEX($CO:$CO,LOOKUP(2,1/(ISNUMBER($A$2:$A$1048576)),ROW($A$2:$A$1048576))))</f>
        <v/>
      </c>
      <c r="CP105" s="16">
        <f>CORREL($H3:INDEX($H:$H,LOOKUP(2,1/(ISNUMBER($A$2:$A$1048576)),ROW($A$2:$A$1048576))),CP3:INDEX($CP:$CP,LOOKUP(2,1/(ISNUMBER($A$2:$A$1048576)),ROW($A$2:$A$1048576))))</f>
        <v/>
      </c>
      <c r="CQ105" s="16">
        <f>CORREL($H3:INDEX($H:$H,LOOKUP(2,1/(ISNUMBER($A$2:$A$1048576)),ROW($A$2:$A$1048576))),CQ3:INDEX($CQ:$CQ,LOOKUP(2,1/(ISNUMBER($A$2:$A$1048576)),ROW($A$2:$A$1048576))))</f>
        <v/>
      </c>
      <c r="CR105" s="16">
        <f>CORREL($H3:INDEX($H:$H,LOOKUP(2,1/(ISNUMBER($A$2:$A$1048576)),ROW($A$2:$A$1048576))),CR3:INDEX($CR:$CR,LOOKUP(2,1/(ISNUMBER($A$2:$A$1048576)),ROW($A$2:$A$1048576))))</f>
        <v/>
      </c>
      <c r="CS105" s="16" t="n"/>
      <c r="CT105" s="16" t="n"/>
      <c r="CU105" s="16">
        <f>CORREL($H3:INDEX($H:$H,LOOKUP(2,1/(ISNUMBER($A$2:$A$1048576)),ROW($A$2:$A$1048576))),CU3:INDEX($CU:$CU,LOOKUP(2,1/(ISNUMBER($A$2:$A$1048576)),ROW($A$2:$A$1048576))))</f>
        <v/>
      </c>
      <c r="CV105" s="16" t="n"/>
      <c r="CW105" s="16" t="n"/>
      <c r="CX105" s="16">
        <f>CORREL($H3:INDEX($H:$H,LOOKUP(2,1/(ISNUMBER($A$2:$A$1048576)),ROW($A$2:$A$1048576))),CX3:INDEX($CX:$CX,LOOKUP(2,1/(ISNUMBER($A$2:$A$1048576)),ROW($A$2:$A$1048576))))</f>
        <v/>
      </c>
      <c r="CY105" s="16">
        <f>CORREL($H3:INDEX($H:$H,LOOKUP(2,1/(ISNUMBER($A$2:$A$1048576)),ROW($A$2:$A$1048576))),CY3:INDEX($CY:$CY,LOOKUP(2,1/(ISNUMBER($A$2:$A$1048576)),ROW($A$2:$A$1048576))))</f>
        <v/>
      </c>
      <c r="CZ105" s="16">
        <f>CORREL($H3:INDEX($H:$H,LOOKUP(2,1/(ISNUMBER($A$2:$A$1048576)),ROW($A$2:$A$1048576))),CZ3:INDEX($CZ:$CZ,LOOKUP(2,1/(ISNUMBER($A$2:$A$1048576)),ROW($A$2:$A$1048576))))</f>
        <v/>
      </c>
      <c r="DA105" s="16">
        <f>CORREL($H3:INDEX($H:$H,LOOKUP(2,1/(ISNUMBER($A$2:$A$1048576)),ROW($A$2:$A$1048576))),DA3:INDEX($DA:$DA,LOOKUP(2,1/(ISNUMBER($A$2:$A$1048576)),ROW($A$2:$A$1048576))))</f>
        <v/>
      </c>
      <c r="DB105" s="16">
        <f>CORREL($H3:INDEX($H:$H,LOOKUP(2,1/(ISNUMBER($A$2:$A$1048576)),ROW($A$2:$A$1048576))),DB3:INDEX($DB:$DB,LOOKUP(2,1/(ISNUMBER($A$2:$A$1048576)),ROW($A$2:$A$1048576))))</f>
        <v/>
      </c>
      <c r="DC105" s="16">
        <f>CORREL($H3:INDEX($H:$H,LOOKUP(2,1/(ISNUMBER($A$2:$A$1048576)),ROW($A$2:$A$1048576))),DC3:INDEX($DC:$DC,LOOKUP(2,1/(ISNUMBER($A$2:$A$1048576)),ROW($A$2:$A$1048576))))</f>
        <v/>
      </c>
      <c r="DD105" s="16">
        <f>CORREL($H3:INDEX($H:$H,LOOKUP(2,1/(ISNUMBER($A$2:$A$1048576)),ROW($A$2:$A$1048576))),DD3:INDEX($DD:$DD,LOOKUP(2,1/(ISNUMBER($A$2:$A$1048576)),ROW($A$2:$A$1048576))))</f>
        <v/>
      </c>
      <c r="DE105" s="16">
        <f>CORREL($H3:INDEX($H:$H,LOOKUP(2,1/(ISNUMBER($A$2:$A$1048576)),ROW($A$2:$A$1048576))),DE3:INDEX($DE:$DE,LOOKUP(2,1/(ISNUMBER($A$2:$A$1048576)),ROW($A$2:$A$1048576))))</f>
        <v/>
      </c>
      <c r="DF105" s="16">
        <f>CORREL($H3:INDEX($H:$H,LOOKUP(2,1/(ISNUMBER($A$2:$A$1048576)),ROW($A$2:$A$1048576))),DF3:INDEX($DF:$DF,LOOKUP(2,1/(ISNUMBER($A$2:$A$1048576)),ROW($A$2:$A$1048576))))</f>
        <v/>
      </c>
      <c r="DG105" s="16">
        <f>CORREL($H3:INDEX($H:$H,LOOKUP(2,1/(ISNUMBER($A$2:$A$1048576)),ROW($A$2:$A$1048576))),DG3:INDEX($DG:$DG,LOOKUP(2,1/(ISNUMBER($A$2:$A$1048576)),ROW($A$2:$A$1048576))))</f>
        <v/>
      </c>
      <c r="DH105" s="16">
        <f>CORREL($H3:INDEX($H:$H,LOOKUP(2,1/(ISNUMBER($A$2:$A$1048576)),ROW($A$2:$A$1048576))),DH3:INDEX($DH:$DH,LOOKUP(2,1/(ISNUMBER($A$2:$A$1048576)),ROW($A$2:$A$1048576))))</f>
        <v/>
      </c>
      <c r="DI105" s="16" t="n"/>
      <c r="DJ105" s="16" t="n"/>
      <c r="DK105" s="16">
        <f>CORREL($H3:INDEX($H:$H,LOOKUP(2,1/(ISNUMBER($A$2:$A$1048576)),ROW($A$2:$A$1048576))),DK3:INDEX($DK:$DK,LOOKUP(2,1/(ISNUMBER($A$2:$A$1048576)),ROW($A$2:$A$1048576))))</f>
        <v/>
      </c>
      <c r="DL105" s="16">
        <f>CORREL($H3:INDEX($H:$H,LOOKUP(2,1/(ISNUMBER($A$2:$A$1048576)),ROW($A$2:$A$1048576))),DL3:INDEX($DL:$DL,LOOKUP(2,1/(ISNUMBER($A$2:$A$1048576)),ROW($A$2:$A$1048576))))</f>
        <v/>
      </c>
      <c r="DM105" s="16">
        <f>CORREL($H3:INDEX($H:$H,LOOKUP(2,1/(ISNUMBER($A$2:$A$1048576)),ROW($A$2:$A$1048576))),DM3:INDEX($DM:$DM,LOOKUP(2,1/(ISNUMBER($A$2:$A$1048576)),ROW($A$2:$A$1048576))))</f>
        <v/>
      </c>
      <c r="DN105" s="16">
        <f>CORREL($H3:INDEX($H:$H,LOOKUP(2,1/(ISNUMBER($A$2:$A$1048576)),ROW($A$2:$A$1048576))),DN3:INDEX($DN:$DN,LOOKUP(2,1/(ISNUMBER($A$2:$A$1048576)),ROW($A$2:$A$1048576))))</f>
        <v/>
      </c>
      <c r="DO105" s="16">
        <f>CORREL($H3:INDEX($H:$H,LOOKUP(2,1/(ISNUMBER($A$2:$A$1048576)),ROW($A$2:$A$1048576))),DO3:INDEX($DO:$DO,LOOKUP(2,1/(ISNUMBER($A$2:$A$1048576)),ROW($A$2:$A$1048576))))</f>
        <v/>
      </c>
      <c r="DP105" s="16">
        <f>CORREL($H3:INDEX($H:$H,LOOKUP(2,1/(ISNUMBER($A$2:$A$1048576)),ROW($A$2:$A$1048576))),DP3:INDEX($DP:$DP,LOOKUP(2,1/(ISNUMBER($A$2:$A$1048576)),ROW($A$2:$A$1048576))))</f>
        <v/>
      </c>
      <c r="DQ105" s="16" t="n"/>
      <c r="DR105" s="16" t="n"/>
      <c r="DS105" s="16">
        <f>CORREL($H3:INDEX($H:$H,LOOKUP(2,1/(ISNUMBER($A$2:$A$1048576)),ROW($A$2:$A$1048576))),DS3:INDEX($DS:$DS,LOOKUP(2,1/(ISNUMBER($A$2:$A$1048576)),ROW($A$2:$A$1048576))))</f>
        <v/>
      </c>
      <c r="DT105" s="16">
        <f>CORREL($H3:INDEX($H:$H,LOOKUP(2,1/(ISNUMBER($A$2:$A$1048576)),ROW($A$2:$A$1048576))),DT3:INDEX($DT:$DT,LOOKUP(2,1/(ISNUMBER($A$2:$A$1048576)),ROW($A$2:$A$1048576))))</f>
        <v/>
      </c>
      <c r="DU105" s="16">
        <f>CORREL($H3:INDEX($H:$H,LOOKUP(2,1/(ISNUMBER($A$2:$A$1048576)),ROW($A$2:$A$1048576))),DU3:INDEX($DU:$DU,LOOKUP(2,1/(ISNUMBER($A$2:$A$1048576)),ROW($A$2:$A$1048576))))</f>
        <v/>
      </c>
      <c r="DV105" s="16">
        <f>CORREL($H3:INDEX($H:$H,LOOKUP(2,1/(ISNUMBER($A$2:$A$1048576)),ROW($A$2:$A$1048576))),DV3:INDEX($DV:$DV,LOOKUP(2,1/(ISNUMBER($A$2:$A$1048576)),ROW($A$2:$A$1048576))))</f>
        <v/>
      </c>
      <c r="DW105" s="16">
        <f>CORREL($H3:INDEX($H:$H,LOOKUP(2,1/(ISNUMBER($A$2:$A$1048576)),ROW($A$2:$A$1048576))),DW3:INDEX($DW:$DW,LOOKUP(2,1/(ISNUMBER($A$2:$A$1048576)),ROW($A$2:$A$1048576))))</f>
        <v/>
      </c>
      <c r="DX105" s="16">
        <f>CORREL($H3:INDEX($H:$H,LOOKUP(2,1/(ISNUMBER($A$2:$A$1048576)),ROW($A$2:$A$1048576))),DX3:INDEX($DX:$DX,LOOKUP(2,1/(ISNUMBER($A$2:$A$1048576)),ROW($A$2:$A$1048576))))</f>
        <v/>
      </c>
      <c r="DY105" s="16">
        <f>CORREL($H3:INDEX($H:$H,LOOKUP(2,1/(ISNUMBER($A$2:$A$1048576)),ROW($A$2:$A$1048576))),DY3:INDEX($DY:$DY,LOOKUP(2,1/(ISNUMBER($A$2:$A$1048576)),ROW($A$2:$A$1048576))))</f>
        <v/>
      </c>
      <c r="DZ105" s="16">
        <f>CORREL($H3:INDEX($H:$H,LOOKUP(2,1/(ISNUMBER($A$2:$A$1048576)),ROW($A$2:$A$1048576))),DZ3:INDEX($DZ:$DZ,LOOKUP(2,1/(ISNUMBER($A$2:$A$1048576)),ROW($A$2:$A$1048576))))</f>
        <v/>
      </c>
      <c r="EA105" s="16">
        <f>CORREL($H3:INDEX($H:$H,LOOKUP(2,1/(ISNUMBER($A$2:$A$1048576)),ROW($A$2:$A$1048576))),EA3:INDEX($EA:$EA,LOOKUP(2,1/(ISNUMBER($A$2:$A$1048576)),ROW($A$2:$A$1048576))))</f>
        <v/>
      </c>
      <c r="EB105" s="16">
        <f>CORREL($H3:INDEX($H:$H,LOOKUP(2,1/(ISNUMBER($A$2:$A$1048576)),ROW($A$2:$A$1048576))),EB3:INDEX($EB:$EB,LOOKUP(2,1/(ISNUMBER($A$2:$A$1048576)),ROW($A$2:$A$1048576))))</f>
        <v/>
      </c>
      <c r="EC105" s="16">
        <f>CORREL($H3:INDEX($H:$H,LOOKUP(2,1/(ISNUMBER($A$2:$A$1048576)),ROW($A$2:$A$1048576))),EC3:INDEX($EC:$EC,LOOKUP(2,1/(ISNUMBER($A$2:$A$1048576)),ROW($A$2:$A$1048576))))</f>
        <v/>
      </c>
      <c r="ED105" s="16">
        <f>CORREL($H3:INDEX($H:$H,LOOKUP(2,1/(ISNUMBER($A$2:$A$1048576)),ROW($A$2:$A$1048576))),ED3:INDEX($ED:$ED,LOOKUP(2,1/(ISNUMBER($A$2:$A$1048576)),ROW($A$2:$A$1048576))))</f>
        <v/>
      </c>
      <c r="EE105" s="16" t="n"/>
      <c r="EF105" s="16" t="n"/>
      <c r="EG105" s="16">
        <f>CORREL($H3:INDEX($H:$H,LOOKUP(2,1/(ISNUMBER($A$2:$A$1048576)),ROW($A$2:$A$1048576))),EG3:INDEX($EG:$EG,LOOKUP(2,1/(ISNUMBER($A$2:$A$1048576)),ROW($A$2:$A$1048576))))</f>
        <v/>
      </c>
      <c r="EH105" s="16">
        <f>CORREL($H3:INDEX($H:$H,LOOKUP(2,1/(ISNUMBER($A$2:$A$1048576)),ROW($A$2:$A$1048576))),EH3:INDEX($EH:$EH,LOOKUP(2,1/(ISNUMBER($A$2:$A$1048576)),ROW($A$2:$A$1048576))))</f>
        <v/>
      </c>
      <c r="EI105" s="16">
        <f>CORREL($H3:INDEX($H:$H,LOOKUP(2,1/(ISNUMBER($A$2:$A$1048576)),ROW($A$2:$A$1048576))),EI3:INDEX($EI:$EI,LOOKUP(2,1/(ISNUMBER($A$2:$A$1048576)),ROW($A$2:$A$1048576))))</f>
        <v/>
      </c>
      <c r="EJ105" s="16" t="n"/>
      <c r="EK105" s="16" t="n"/>
      <c r="EL105" s="16">
        <f>CORREL($H3:INDEX($H:$H,LOOKUP(2,1/(ISNUMBER($A$2:$A$1048576)),ROW($A$2:$A$1048576))),EL3:INDEX($EL:$EL,LOOKUP(2,1/(ISNUMBER($A$2:$A$1048576)),ROW($A$2:$A$1048576))))</f>
        <v/>
      </c>
      <c r="EM105" s="16">
        <f>CORREL($H3:INDEX($H:$H,LOOKUP(2,1/(ISNUMBER($A$2:$A$1048576)),ROW($A$2:$A$1048576))),EM3:INDEX($EM:$EM,LOOKUP(2,1/(ISNUMBER($A$2:$A$1048576)),ROW($A$2:$A$1048576))))</f>
        <v/>
      </c>
      <c r="EN105" s="16">
        <f>CORREL($H3:INDEX($H:$H,LOOKUP(2,1/(ISNUMBER($A$2:$A$1048576)),ROW($A$2:$A$1048576))),EN3:INDEX($EN:$EN,LOOKUP(2,1/(ISNUMBER($A$2:$A$1048576)),ROW($A$2:$A$1048576))))</f>
        <v/>
      </c>
      <c r="EO105" s="16">
        <f>CORREL($H3:INDEX($H:$H,LOOKUP(2,1/(ISNUMBER($A$2:$A$1048576)),ROW($A$2:$A$1048576))),EO3:INDEX($EO:$EO,LOOKUP(2,1/(ISNUMBER($A$2:$A$1048576)),ROW($A$2:$A$1048576))))</f>
        <v/>
      </c>
      <c r="EP105" s="16">
        <f>CORREL($H3:INDEX($H:$H,LOOKUP(2,1/(ISNUMBER($A$2:$A$1048576)),ROW($A$2:$A$1048576))),EP3:INDEX($EP:$EP,LOOKUP(2,1/(ISNUMBER($A$2:$A$1048576)),ROW($A$2:$A$1048576))))</f>
        <v/>
      </c>
      <c r="EQ105" s="16">
        <f>CORREL($H3:INDEX($H:$H,LOOKUP(2,1/(ISNUMBER($A$2:$A$1048576)),ROW($A$2:$A$1048576))),EQ3:INDEX($EQ:$EQ,LOOKUP(2,1/(ISNUMBER($A$2:$A$1048576)),ROW($A$2:$A$1048576))))</f>
        <v/>
      </c>
      <c r="ER105" s="16">
        <f>CORREL($H3:INDEX($H:$H,LOOKUP(2,1/(ISNUMBER($A$2:$A$1048576)),ROW($A$2:$A$1048576))),ER3:INDEX($ER:$ER,LOOKUP(2,1/(ISNUMBER($A$2:$A$1048576)),ROW($A$2:$A$1048576))))</f>
        <v/>
      </c>
      <c r="ES105" s="16">
        <f>CORREL($H3:INDEX($H:$H,LOOKUP(2,1/(ISNUMBER($A$2:$A$1048576)),ROW($A$2:$A$1048576))),ES3:INDEX($ES:$ES,LOOKUP(2,1/(ISNUMBER($A$2:$A$1048576)),ROW($A$2:$A$1048576))))</f>
        <v/>
      </c>
      <c r="ET105" s="16">
        <f>CORREL($H3:INDEX($H:$H,LOOKUP(2,1/(ISNUMBER($A$2:$A$1048576)),ROW($A$2:$A$1048576))),ET3:INDEX($ET:$ET,LOOKUP(2,1/(ISNUMBER($A$2:$A$1048576)),ROW($A$2:$A$1048576))))</f>
        <v/>
      </c>
      <c r="EU105" s="16">
        <f>CORREL($H3:INDEX($H:$H,LOOKUP(2,1/(ISNUMBER($A$2:$A$1048576)),ROW($A$2:$A$1048576))),EU3:INDEX($EU:$EU,LOOKUP(2,1/(ISNUMBER($A$2:$A$1048576)),ROW($A$2:$A$1048576))))</f>
        <v/>
      </c>
      <c r="EV105" s="16">
        <f>CORREL($H3:INDEX($H:$H,LOOKUP(2,1/(ISNUMBER($A$2:$A$1048576)),ROW($A$2:$A$1048576))),EV3:INDEX($EV:$EV,LOOKUP(2,1/(ISNUMBER($A$2:$A$1048576)),ROW($A$2:$A$1048576))))</f>
        <v/>
      </c>
      <c r="EW105" s="16">
        <f>CORREL($H3:INDEX($H:$H,LOOKUP(2,1/(ISNUMBER($A$2:$A$1048576)),ROW($A$2:$A$1048576))),EW3:INDEX($EW:$EW,LOOKUP(2,1/(ISNUMBER($A$2:$A$1048576)),ROW($A$2:$A$1048576))))</f>
        <v/>
      </c>
      <c r="EX105" s="16" t="n"/>
      <c r="EY105" s="16" t="n"/>
      <c r="EZ105" s="16">
        <f>CORREL($H3:INDEX($H:$H,LOOKUP(2,1/(ISNUMBER($A$2:$A$1048576)),ROW($A$2:$A$1048576))),EZ3:INDEX($EZ:$EZ,LOOKUP(2,1/(ISNUMBER($A$2:$A$1048576)),ROW($A$2:$A$1048576))))</f>
        <v/>
      </c>
      <c r="FA105" s="16">
        <f>CORREL($H3:INDEX($H:$H,LOOKUP(2,1/(ISNUMBER($A$2:$A$1048576)),ROW($A$2:$A$1048576))),FA3:INDEX($FA:$FA,LOOKUP(2,1/(ISNUMBER($A$2:$A$1048576)),ROW($A$2:$A$1048576))))</f>
        <v/>
      </c>
      <c r="FB105" s="16" t="n"/>
      <c r="FC105" s="16" t="n"/>
      <c r="FD105" s="16">
        <f>CORREL($H3:INDEX($H:$H,LOOKUP(2,1/(ISNUMBER($A$2:$A$1048576)),ROW($A$2:$A$1048576))),FD3:INDEX($FD:$FD,LOOKUP(2,1/(ISNUMBER($A$2:$A$1048576)),ROW($A$2:$A$1048576))))</f>
        <v/>
      </c>
      <c r="FE105" s="16">
        <f>CORREL($H3:INDEX($H:$H,LOOKUP(2,1/(ISNUMBER($A$2:$A$1048576)),ROW($A$2:$A$1048576))),FE3:INDEX($FE:$FE,LOOKUP(2,1/(ISNUMBER($A$2:$A$1048576)),ROW($A$2:$A$1048576))))</f>
        <v/>
      </c>
      <c r="FF105" s="16" t="n"/>
      <c r="FG105" s="16" t="n"/>
      <c r="FH105" s="16">
        <f>CORREL($H3:INDEX($H:$H,LOOKUP(2,1/(ISNUMBER($A$2:$A$1048576)),ROW($A$2:$A$1048576))),FH3:INDEX($FH:$FH,LOOKUP(2,1/(ISNUMBER($A$2:$A$1048576)),ROW($A$2:$A$1048576))))</f>
        <v/>
      </c>
      <c r="FI105" s="16">
        <f>CORREL($H3:INDEX($H:$H,LOOKUP(2,1/(ISNUMBER($A$2:$A$1048576)),ROW($A$2:$A$1048576))),FI3:INDEX($FI:$FI,LOOKUP(2,1/(ISNUMBER($A$2:$A$1048576)),ROW($A$2:$A$1048576))))</f>
        <v/>
      </c>
      <c r="FJ105" s="16">
        <f>CORREL($H3:INDEX($H:$H,LOOKUP(2,1/(ISNUMBER($A$2:$A$1048576)),ROW($A$2:$A$1048576))),FJ3:INDEX($FJ:$FJ,LOOKUP(2,1/(ISNUMBER($A$2:$A$1048576)),ROW($A$2:$A$1048576))))</f>
        <v/>
      </c>
      <c r="FK105" s="16">
        <f>CORREL($H3:INDEX($H:$H,LOOKUP(2,1/(ISNUMBER($A$2:$A$1048576)),ROW($A$2:$A$1048576))),FK3:INDEX($FK:$FK,LOOKUP(2,1/(ISNUMBER($A$2:$A$1048576)),ROW($A$2:$A$1048576))))</f>
        <v/>
      </c>
      <c r="FL105" s="16" t="n"/>
      <c r="FM105" s="16" t="n"/>
      <c r="FN105" s="16">
        <f>CORREL($H3:INDEX($H:$H,LOOKUP(2,1/(ISNUMBER($A$2:$A$1048576)),ROW($A$2:$A$1048576))),FN3:INDEX($FN:$FN,LOOKUP(2,1/(ISNUMBER($A$2:$A$1048576)),ROW($A$2:$A$1048576))))</f>
        <v/>
      </c>
      <c r="FO105" s="16">
        <f>CORREL($H3:INDEX($H:$H,LOOKUP(2,1/(ISNUMBER($A$2:$A$1048576)),ROW($A$2:$A$1048576))),FO3:INDEX($FO:$FO,LOOKUP(2,1/(ISNUMBER($A$2:$A$1048576)),ROW($A$2:$A$1048576))))</f>
        <v/>
      </c>
      <c r="FP105" s="16">
        <f>CORREL($H3:INDEX($H:$H,LOOKUP(2,1/(ISNUMBER($A$2:$A$1048576)),ROW($A$2:$A$1048576))),FP3:INDEX($FP:$FP,LOOKUP(2,1/(ISNUMBER($A$2:$A$1048576)),ROW($A$2:$A$1048576))))</f>
        <v/>
      </c>
      <c r="FQ105" s="16">
        <f>CORREL($H3:INDEX($H:$H,LOOKUP(2,1/(ISNUMBER($A$2:$A$1048576)),ROW($A$2:$A$1048576))),FQ3:INDEX($FQ:$FQ,LOOKUP(2,1/(ISNUMBER($A$2:$A$1048576)),ROW($A$2:$A$1048576))))</f>
        <v/>
      </c>
      <c r="FR105" s="16">
        <f>CORREL($H3:INDEX($H:$H,LOOKUP(2,1/(ISNUMBER($A$2:$A$1048576)),ROW($A$2:$A$1048576))),FR3:INDEX($FR:$FR,LOOKUP(2,1/(ISNUMBER($A$2:$A$1048576)),ROW($A$2:$A$1048576))))</f>
        <v/>
      </c>
      <c r="FS105" s="16">
        <f>CORREL($H3:INDEX($H:$H,LOOKUP(2,1/(ISNUMBER($A$2:$A$1048576)),ROW($A$2:$A$1048576))),FS3:INDEX($FS:$FS,LOOKUP(2,1/(ISNUMBER($A$2:$A$1048576)),ROW($A$2:$A$1048576))))</f>
        <v/>
      </c>
      <c r="FT105" s="16">
        <f>CORREL($H3:INDEX($H:$H,LOOKUP(2,1/(ISNUMBER($A$2:$A$1048576)),ROW($A$2:$A$1048576))),FT3:INDEX($FT:$FT,LOOKUP(2,1/(ISNUMBER($A$2:$A$1048576)),ROW($A$2:$A$1048576))))</f>
        <v/>
      </c>
      <c r="FU105" s="16">
        <f>CORREL($H3:INDEX($H:$H,LOOKUP(2,1/(ISNUMBER($A$2:$A$1048576)),ROW($A$2:$A$1048576))),FU3:INDEX($FU:$FU,LOOKUP(2,1/(ISNUMBER($A$2:$A$1048576)),ROW($A$2:$A$1048576))))</f>
        <v/>
      </c>
      <c r="FV105" s="16">
        <f>CORREL($H3:INDEX($H:$H,LOOKUP(2,1/(ISNUMBER($A$2:$A$1048576)),ROW($A$2:$A$1048576))),FV3:INDEX($FV:$FV,LOOKUP(2,1/(ISNUMBER($A$2:$A$1048576)),ROW($A$2:$A$1048576))))</f>
        <v/>
      </c>
      <c r="FW105" s="16">
        <f>CORREL($H3:INDEX($H:$H,LOOKUP(2,1/(ISNUMBER($A$2:$A$1048576)),ROW($A$2:$A$1048576))),FW3:INDEX($FW:$FW,LOOKUP(2,1/(ISNUMBER($A$2:$A$1048576)),ROW($A$2:$A$1048576))))</f>
        <v/>
      </c>
      <c r="FX105" s="16">
        <f>CORREL($H3:INDEX($H:$H,LOOKUP(2,1/(ISNUMBER($A$2:$A$1048576)),ROW($A$2:$A$1048576))),FX3:INDEX($FX:$FX,LOOKUP(2,1/(ISNUMBER($A$2:$A$1048576)),ROW($A$2:$A$1048576))))</f>
        <v/>
      </c>
      <c r="FY105" s="16">
        <f>CORREL($H3:INDEX($H:$H,LOOKUP(2,1/(ISNUMBER($A$2:$A$1048576)),ROW($A$2:$A$1048576))),FY3:INDEX($FY:$FY,LOOKUP(2,1/(ISNUMBER($A$2:$A$1048576)),ROW($A$2:$A$1048576))))</f>
        <v/>
      </c>
      <c r="FZ105" s="16">
        <f>CORREL($H3:INDEX($H:$H,LOOKUP(2,1/(ISNUMBER($A$2:$A$1048576)),ROW($A$2:$A$1048576))),FZ3:INDEX($FZ:$FZ,LOOKUP(2,1/(ISNUMBER($A$2:$A$1048576)),ROW($A$2:$A$1048576))))</f>
        <v/>
      </c>
      <c r="GA105" s="16">
        <f>CORREL($H3:INDEX($H:$H,LOOKUP(2,1/(ISNUMBER($A$2:$A$1048576)),ROW($A$2:$A$1048576))),GA3:INDEX($GA:$GA,LOOKUP(2,1/(ISNUMBER($A$2:$A$1048576)),ROW($A$2:$A$1048576))))</f>
        <v/>
      </c>
      <c r="GB105" s="16">
        <f>CORREL($H3:INDEX($H:$H,LOOKUP(2,1/(ISNUMBER($A$2:$A$1048576)),ROW($A$2:$A$1048576))),GB3:INDEX($GB:$GB,LOOKUP(2,1/(ISNUMBER($A$2:$A$1048576)),ROW($A$2:$A$1048576))))</f>
        <v/>
      </c>
      <c r="GC105" s="16">
        <f>CORREL($H3:INDEX($H:$H,LOOKUP(2,1/(ISNUMBER($A$2:$A$1048576)),ROW($A$2:$A$1048576))),GC3:INDEX($GC:$GC,LOOKUP(2,1/(ISNUMBER($A$2:$A$1048576)),ROW($A$2:$A$1048576))))</f>
        <v/>
      </c>
      <c r="GD105" s="16">
        <f>CORREL($H3:INDEX($H:$H,LOOKUP(2,1/(ISNUMBER($A$2:$A$1048576)),ROW($A$2:$A$1048576))),GD3:INDEX($GD:$GD,LOOKUP(2,1/(ISNUMBER($A$2:$A$1048576)),ROW($A$2:$A$1048576))))</f>
        <v/>
      </c>
      <c r="GE105" s="16">
        <f>CORREL($H3:INDEX($H:$H,LOOKUP(2,1/(ISNUMBER($A$2:$A$1048576)),ROW($A$2:$A$1048576))),GE3:INDEX($GE:$GE,LOOKUP(2,1/(ISNUMBER($A$2:$A$1048576)),ROW($A$2:$A$1048576))))</f>
        <v/>
      </c>
      <c r="GF105" s="16">
        <f>CORREL($H3:INDEX($H:$H,LOOKUP(2,1/(ISNUMBER($A$2:$A$1048576)),ROW($A$2:$A$1048576))),GF3:INDEX($GF:$GF,LOOKUP(2,1/(ISNUMBER($A$2:$A$1048576)),ROW($A$2:$A$1048576))))</f>
        <v/>
      </c>
      <c r="GG105" s="16">
        <f>CORREL($H3:INDEX($H:$H,LOOKUP(2,1/(ISNUMBER($A$2:$A$1048576)),ROW($A$2:$A$1048576))),GG3:INDEX($GG:$GG,LOOKUP(2,1/(ISNUMBER($A$2:$A$1048576)),ROW($A$2:$A$1048576))))</f>
        <v/>
      </c>
      <c r="GH105" s="16">
        <f>CORREL($H3:INDEX($H:$H,LOOKUP(2,1/(ISNUMBER($A$2:$A$1048576)),ROW($A$2:$A$1048576))),GH3:INDEX($GH:$GH,LOOKUP(2,1/(ISNUMBER($A$2:$A$1048576)),ROW($A$2:$A$1048576))))</f>
        <v/>
      </c>
      <c r="GI105" s="16">
        <f>CORREL($H3:INDEX($H:$H,LOOKUP(2,1/(ISNUMBER($A$2:$A$1048576)),ROW($A$2:$A$1048576))),GI3:INDEX($GI:$GI,LOOKUP(2,1/(ISNUMBER($A$2:$A$1048576)),ROW($A$2:$A$1048576))))</f>
        <v/>
      </c>
      <c r="GJ105" s="16">
        <f>CORREL($H3:INDEX($H:$H,LOOKUP(2,1/(ISNUMBER($A$2:$A$1048576)),ROW($A$2:$A$1048576))),GJ3:INDEX($GJ:$GJ,LOOKUP(2,1/(ISNUMBER($A$2:$A$1048576)),ROW($A$2:$A$1048576))))</f>
        <v/>
      </c>
      <c r="GK105" s="16">
        <f>CORREL($H3:INDEX($H:$H,LOOKUP(2,1/(ISNUMBER($A$2:$A$1048576)),ROW($A$2:$A$1048576))),GK3:INDEX($GK:$GK,LOOKUP(2,1/(ISNUMBER($A$2:$A$1048576)),ROW($A$2:$A$1048576))))</f>
        <v/>
      </c>
      <c r="GL105" s="16">
        <f>CORREL($H3:INDEX($H:$H,LOOKUP(2,1/(ISNUMBER($A$2:$A$1048576)),ROW($A$2:$A$1048576))),GL3:INDEX($GL:$GL,LOOKUP(2,1/(ISNUMBER($A$2:$A$1048576)),ROW($A$2:$A$1048576))))</f>
        <v/>
      </c>
      <c r="GM105" s="16">
        <f>CORREL($H3:INDEX($H:$H,LOOKUP(2,1/(ISNUMBER($A$2:$A$1048576)),ROW($A$2:$A$1048576))),GM3:INDEX($GM:$GM,LOOKUP(2,1/(ISNUMBER($A$2:$A$1048576)),ROW($A$2:$A$1048576))))</f>
        <v/>
      </c>
      <c r="GN105" s="16">
        <f>CORREL($H3:INDEX($H:$H,LOOKUP(2,1/(ISNUMBER($A$2:$A$1048576)),ROW($A$2:$A$1048576))),GN3:INDEX($GN:$GN,LOOKUP(2,1/(ISNUMBER($A$2:$A$1048576)),ROW($A$2:$A$1048576))))</f>
        <v/>
      </c>
      <c r="GO105" s="16">
        <f>CORREL($H3:INDEX($H:$H,LOOKUP(2,1/(ISNUMBER($A$2:$A$1048576)),ROW($A$2:$A$1048576))),GO3:INDEX($GO:$GO,LOOKUP(2,1/(ISNUMBER($A$2:$A$1048576)),ROW($A$2:$A$1048576))))</f>
        <v/>
      </c>
      <c r="GP105" s="16">
        <f>CORREL($H3:INDEX($H:$H,LOOKUP(2,1/(ISNUMBER($A$2:$A$1048576)),ROW($A$2:$A$1048576))),GP3:INDEX($GP:$GP,LOOKUP(2,1/(ISNUMBER($A$2:$A$1048576)),ROW($A$2:$A$1048576))))</f>
        <v/>
      </c>
      <c r="GQ105" s="16">
        <f>CORREL($H3:INDEX($H:$H,LOOKUP(2,1/(ISNUMBER($A$2:$A$1048576)),ROW($A$2:$A$1048576))),GQ3:INDEX($GQ:$GQ,LOOKUP(2,1/(ISNUMBER($A$2:$A$1048576)),ROW($A$2:$A$1048576))))</f>
        <v/>
      </c>
      <c r="GR105" s="16">
        <f>CORREL($H3:INDEX($H:$H,LOOKUP(2,1/(ISNUMBER($A$2:$A$1048576)),ROW($A$2:$A$1048576))),GR3:INDEX($GR:$GR,LOOKUP(2,1/(ISNUMBER($A$2:$A$1048576)),ROW($A$2:$A$1048576))))</f>
        <v/>
      </c>
      <c r="GS105" s="16">
        <f>CORREL($H3:INDEX($H:$H,LOOKUP(2,1/(ISNUMBER($A$2:$A$1048576)),ROW($A$2:$A$1048576))),GS3:INDEX($GS:$GS,LOOKUP(2,1/(ISNUMBER($A$2:$A$1048576)),ROW($A$2:$A$1048576))))</f>
        <v/>
      </c>
      <c r="GT105" s="16">
        <f>CORREL($H3:INDEX($H:$H,LOOKUP(2,1/(ISNUMBER($A$2:$A$1048576)),ROW($A$2:$A$1048576))),GT3:INDEX($GT:$GT,LOOKUP(2,1/(ISNUMBER($A$2:$A$1048576)),ROW($A$2:$A$1048576))))</f>
        <v/>
      </c>
      <c r="GU105" s="16">
        <f>CORREL($H3:INDEX($H:$H,LOOKUP(2,1/(ISNUMBER($A$2:$A$1048576)),ROW($A$2:$A$1048576))),GU3:INDEX($GU:$GU,LOOKUP(2,1/(ISNUMBER($A$2:$A$1048576)),ROW($A$2:$A$1048576))))</f>
        <v/>
      </c>
      <c r="GV105" s="16">
        <f>CORREL($H3:INDEX($H:$H,LOOKUP(2,1/(ISNUMBER($A$2:$A$1048576)),ROW($A$2:$A$1048576))),GV3:INDEX($GV:$GV,LOOKUP(2,1/(ISNUMBER($A$2:$A$1048576)),ROW($A$2:$A$1048576))))</f>
        <v/>
      </c>
      <c r="GW105" s="16">
        <f>CORREL($H3:INDEX($H:$H,LOOKUP(2,1/(ISNUMBER($A$2:$A$1048576)),ROW($A$2:$A$1048576))),GW3:INDEX($GW:$GW,LOOKUP(2,1/(ISNUMBER($A$2:$A$1048576)),ROW($A$2:$A$1048576))))</f>
        <v/>
      </c>
      <c r="GX105" s="16">
        <f>CORREL($H3:INDEX($H:$H,LOOKUP(2,1/(ISNUMBER($A$2:$A$1048576)),ROW($A$2:$A$1048576))),GX3:INDEX($GX:$GX,LOOKUP(2,1/(ISNUMBER($A$2:$A$1048576)),ROW($A$2:$A$1048576))))</f>
        <v/>
      </c>
      <c r="GY105" s="16">
        <f>CORREL($H3:INDEX($H:$H,LOOKUP(2,1/(ISNUMBER($A$2:$A$1048576)),ROW($A$2:$A$1048576))),GY3:INDEX($GY:$GY,LOOKUP(2,1/(ISNUMBER($A$2:$A$1048576)),ROW($A$2:$A$1048576))))</f>
        <v/>
      </c>
      <c r="GZ105" s="16">
        <f>CORREL($H3:INDEX($H:$H,LOOKUP(2,1/(ISNUMBER($A$2:$A$1048576)),ROW($A$2:$A$1048576))),GZ3:INDEX($GZ:$GZ,LOOKUP(2,1/(ISNUMBER($A$2:$A$1048576)),ROW($A$2:$A$1048576))))</f>
        <v/>
      </c>
      <c r="HA105" s="16">
        <f>CORREL($H3:INDEX($H:$H,LOOKUP(2,1/(ISNUMBER($A$2:$A$1048576)),ROW($A$2:$A$1048576))),HA3:INDEX($HA:$HA,LOOKUP(2,1/(ISNUMBER($A$2:$A$1048576)),ROW($A$2:$A$1048576))))</f>
        <v/>
      </c>
      <c r="HB105" s="16">
        <f>CORREL($H3:INDEX($H:$H,LOOKUP(2,1/(ISNUMBER($A$2:$A$1048576)),ROW($A$2:$A$1048576))),HB3:INDEX($HB:$HB,LOOKUP(2,1/(ISNUMBER($A$2:$A$1048576)),ROW($A$2:$A$1048576))))</f>
        <v/>
      </c>
      <c r="HC105" s="16">
        <f>CORREL($H3:INDEX($H:$H,LOOKUP(2,1/(ISNUMBER($A$2:$A$1048576)),ROW($A$2:$A$1048576))),HC3:INDEX($HC:$HC,LOOKUP(2,1/(ISNUMBER($A$2:$A$1048576)),ROW($A$2:$A$1048576))))</f>
        <v/>
      </c>
      <c r="HD105" s="16">
        <f>CORREL($H3:INDEX($H:$H,LOOKUP(2,1/(ISNUMBER($A$2:$A$1048576)),ROW($A$2:$A$1048576))),HD3:INDEX($HD:$HD,LOOKUP(2,1/(ISNUMBER($A$2:$A$1048576)),ROW($A$2:$A$1048576))))</f>
        <v/>
      </c>
      <c r="HE105" s="16">
        <f>CORREL($H3:INDEX($H:$H,LOOKUP(2,1/(ISNUMBER($A$2:$A$1048576)),ROW($A$2:$A$1048576))),HE3:INDEX($HE:$HE,LOOKUP(2,1/(ISNUMBER($A$2:$A$1048576)),ROW($A$2:$A$1048576))))</f>
        <v/>
      </c>
      <c r="HF105" s="16">
        <f>CORREL($H3:INDEX($H:$H,LOOKUP(2,1/(ISNUMBER($A$2:$A$1048576)),ROW($A$2:$A$1048576))),HF3:INDEX($HF:$HF,LOOKUP(2,1/(ISNUMBER($A$2:$A$1048576)),ROW($A$2:$A$1048576))))</f>
        <v/>
      </c>
      <c r="HG105" s="16">
        <f>CORREL($H3:INDEX($H:$H,LOOKUP(2,1/(ISNUMBER($A$2:$A$1048576)),ROW($A$2:$A$1048576))),HG3:INDEX($HG:$HG,LOOKUP(2,1/(ISNUMBER($A$2:$A$1048576)),ROW($A$2:$A$1048576))))</f>
        <v/>
      </c>
      <c r="HH105" s="16">
        <f>CORREL($H3:INDEX($H:$H,LOOKUP(2,1/(ISNUMBER($A$2:$A$1048576)),ROW($A$2:$A$1048576))),HH3:INDEX($HH:$HH,LOOKUP(2,1/(ISNUMBER($A$2:$A$1048576)),ROW($A$2:$A$1048576))))</f>
        <v/>
      </c>
      <c r="HI105" s="16">
        <f>CORREL($H3:INDEX($H:$H,LOOKUP(2,1/(ISNUMBER($A$2:$A$1048576)),ROW($A$2:$A$1048576))),HI3:INDEX($HI:$HI,LOOKUP(2,1/(ISNUMBER($A$2:$A$1048576)),ROW($A$2:$A$1048576))))</f>
        <v/>
      </c>
      <c r="HJ105" s="16">
        <f>CORREL($H3:INDEX($H:$H,LOOKUP(2,1/(ISNUMBER($A$2:$A$1048576)),ROW($A$2:$A$1048576))),HJ3:INDEX($HJ:$HJ,LOOKUP(2,1/(ISNUMBER($A$2:$A$1048576)),ROW($A$2:$A$1048576))))</f>
        <v/>
      </c>
      <c r="HK105" s="16">
        <f>CORREL($H3:INDEX($H:$H,LOOKUP(2,1/(ISNUMBER($A$2:$A$1048576)),ROW($A$2:$A$1048576))),HK3:INDEX($HK:$HK,LOOKUP(2,1/(ISNUMBER($A$2:$A$1048576)),ROW($A$2:$A$1048576))))</f>
        <v/>
      </c>
      <c r="HL105" s="16">
        <f>CORREL($H3:INDEX($H:$H,LOOKUP(2,1/(ISNUMBER($A$2:$A$1048576)),ROW($A$2:$A$1048576))),HL3:INDEX($HL:$HL,LOOKUP(2,1/(ISNUMBER($A$2:$A$1048576)),ROW($A$2:$A$1048576))))</f>
        <v/>
      </c>
      <c r="HM105" s="16">
        <f>CORREL($H3:INDEX($H:$H,LOOKUP(2,1/(ISNUMBER($A$2:$A$1048576)),ROW($A$2:$A$1048576))),HM3:INDEX($HM:$HM,LOOKUP(2,1/(ISNUMBER($A$2:$A$1048576)),ROW($A$2:$A$1048576))))</f>
        <v/>
      </c>
      <c r="HN105" s="16">
        <f>CORREL($H3:INDEX($H:$H,LOOKUP(2,1/(ISNUMBER($A$2:$A$1048576)),ROW($A$2:$A$1048576))),HN3:INDEX($HN:$HN,LOOKUP(2,1/(ISNUMBER($A$2:$A$1048576)),ROW($A$2:$A$1048576))))</f>
        <v/>
      </c>
      <c r="HO105" s="16">
        <f>CORREL($H3:INDEX($H:$H,LOOKUP(2,1/(ISNUMBER($A$2:$A$1048576)),ROW($A$2:$A$1048576))),HO3:INDEX($HO:$HO,LOOKUP(2,1/(ISNUMBER($A$2:$A$1048576)),ROW($A$2:$A$1048576))))</f>
        <v/>
      </c>
      <c r="HP105" s="16">
        <f>CORREL($H3:INDEX($H:$H,LOOKUP(2,1/(ISNUMBER($A$2:$A$1048576)),ROW($A$2:$A$1048576))),HP3:INDEX($HP:$HP,LOOKUP(2,1/(ISNUMBER($A$2:$A$1048576)),ROW($A$2:$A$1048576))))</f>
        <v/>
      </c>
      <c r="HQ105" s="16">
        <f>CORREL($H3:INDEX($H:$H,LOOKUP(2,1/(ISNUMBER($A$2:$A$1048576)),ROW($A$2:$A$1048576))),HQ3:INDEX($HQ:$HQ,LOOKUP(2,1/(ISNUMBER($A$2:$A$1048576)),ROW($A$2:$A$1048576))))</f>
        <v/>
      </c>
      <c r="HR105" s="16">
        <f>CORREL($H3:INDEX($H:$H,LOOKUP(2,1/(ISNUMBER($A$2:$A$1048576)),ROW($A$2:$A$1048576))),HR3:INDEX($HR:$HR,LOOKUP(2,1/(ISNUMBER($A$2:$A$1048576)),ROW($A$2:$A$1048576))))</f>
        <v/>
      </c>
      <c r="HS105" s="16">
        <f>CORREL($H3:INDEX($H:$H,LOOKUP(2,1/(ISNUMBER($A$2:$A$1048576)),ROW($A$2:$A$1048576))),HS3:INDEX($HS:$HS,LOOKUP(2,1/(ISNUMBER($A$2:$A$1048576)),ROW($A$2:$A$1048576))))</f>
        <v/>
      </c>
      <c r="HT105" s="16">
        <f>CORREL($H3:INDEX($H:$H,LOOKUP(2,1/(ISNUMBER($A$2:$A$1048576)),ROW($A$2:$A$1048576))),HT3:INDEX($HT:$HT,LOOKUP(2,1/(ISNUMBER($A$2:$A$1048576)),ROW($A$2:$A$1048576))))</f>
        <v/>
      </c>
      <c r="HU105" s="16">
        <f>CORREL($H3:INDEX($H:$H,LOOKUP(2,1/(ISNUMBER($A$2:$A$1048576)),ROW($A$2:$A$1048576))),HU3:INDEX($HU:$HU,LOOKUP(2,1/(ISNUMBER($A$2:$A$1048576)),ROW($A$2:$A$1048576))))</f>
        <v/>
      </c>
      <c r="HV105" s="16">
        <f>CORREL($H3:INDEX($H:$H,LOOKUP(2,1/(ISNUMBER($A$2:$A$1048576)),ROW($A$2:$A$1048576))),HV3:INDEX($HV:$HV,LOOKUP(2,1/(ISNUMBER($A$2:$A$1048576)),ROW($A$2:$A$1048576))))</f>
        <v/>
      </c>
      <c r="HW105" s="16">
        <f>CORREL($H3:INDEX($H:$H,LOOKUP(2,1/(ISNUMBER($A$2:$A$1048576)),ROW($A$2:$A$1048576))),HW3:INDEX($HW:$HW,LOOKUP(2,1/(ISNUMBER($A$2:$A$1048576)),ROW($A$2:$A$1048576))))</f>
        <v/>
      </c>
      <c r="HX105" s="16">
        <f>CORREL($H3:INDEX($H:$H,LOOKUP(2,1/(ISNUMBER($A$2:$A$1048576)),ROW($A$2:$A$1048576))),HX3:INDEX($HX:$HX,LOOKUP(2,1/(ISNUMBER($A$2:$A$1048576)),ROW($A$2:$A$1048576))))</f>
        <v/>
      </c>
      <c r="HY105" s="16">
        <f>CORREL($H3:INDEX($H:$H,LOOKUP(2,1/(ISNUMBER($A$2:$A$1048576)),ROW($A$2:$A$1048576))),HY3:INDEX($HY:$HY,LOOKUP(2,1/(ISNUMBER($A$2:$A$1048576)),ROW($A$2:$A$1048576))))</f>
        <v/>
      </c>
      <c r="HZ105" s="16">
        <f>CORREL($H3:INDEX($H:$H,LOOKUP(2,1/(ISNUMBER($A$2:$A$1048576)),ROW($A$2:$A$1048576))),HZ3:INDEX($HZ:$HZ,LOOKUP(2,1/(ISNUMBER($A$2:$A$1048576)),ROW($A$2:$A$1048576))))</f>
        <v/>
      </c>
      <c r="IA105" s="16">
        <f>CORREL($H3:INDEX($H:$H,LOOKUP(2,1/(ISNUMBER($A$2:$A$1048576)),ROW($A$2:$A$1048576))),IA3:INDEX($IA:$IA,LOOKUP(2,1/(ISNUMBER($A$2:$A$1048576)),ROW($A$2:$A$1048576))))</f>
        <v/>
      </c>
      <c r="IB105" s="16">
        <f>CORREL($H3:INDEX($H:$H,LOOKUP(2,1/(ISNUMBER($A$2:$A$1048576)),ROW($A$2:$A$1048576))),IB3:INDEX($IB:$IB,LOOKUP(2,1/(ISNUMBER($A$2:$A$1048576)),ROW($A$2:$A$1048576))))</f>
        <v/>
      </c>
      <c r="IC105" s="16">
        <f>CORREL($H3:INDEX($H:$H,LOOKUP(2,1/(ISNUMBER($A$2:$A$1048576)),ROW($A$2:$A$1048576))),IC3:INDEX($IC:$IC,LOOKUP(2,1/(ISNUMBER($A$2:$A$1048576)),ROW($A$2:$A$1048576))))</f>
        <v/>
      </c>
      <c r="ID105" s="16">
        <f>CORREL($H3:INDEX($H:$H,LOOKUP(2,1/(ISNUMBER($A$2:$A$1048576)),ROW($A$2:$A$1048576))),ID3:INDEX($ID:$ID,LOOKUP(2,1/(ISNUMBER($A$2:$A$1048576)),ROW($A$2:$A$1048576))))</f>
        <v/>
      </c>
      <c r="IE105" s="16">
        <f>CORREL($H3:INDEX($H:$H,LOOKUP(2,1/(ISNUMBER($A$2:$A$1048576)),ROW($A$2:$A$1048576))),IE3:INDEX($IE:$IE,LOOKUP(2,1/(ISNUMBER($A$2:$A$1048576)),ROW($A$2:$A$1048576))))</f>
        <v/>
      </c>
      <c r="IF105" s="16">
        <f>CORREL($H3:INDEX($H:$H,LOOKUP(2,1/(ISNUMBER($A$2:$A$1048576)),ROW($A$2:$A$1048576))),IF3:INDEX($IF:$IF,LOOKUP(2,1/(ISNUMBER($A$2:$A$1048576)),ROW($A$2:$A$1048576))))</f>
        <v/>
      </c>
      <c r="IG105" s="16">
        <f>CORREL($H3:INDEX($H:$H,LOOKUP(2,1/(ISNUMBER($A$2:$A$1048576)),ROW($A$2:$A$1048576))),IG3:INDEX($IG:$IG,LOOKUP(2,1/(ISNUMBER($A$2:$A$1048576)),ROW($A$2:$A$1048576))))</f>
        <v/>
      </c>
      <c r="IH105" s="16">
        <f>CORREL($H3:INDEX($H:$H,LOOKUP(2,1/(ISNUMBER($A$2:$A$1048576)),ROW($A$2:$A$1048576))),IH3:INDEX($IH:$IH,LOOKUP(2,1/(ISNUMBER($A$2:$A$1048576)),ROW($A$2:$A$1048576))))</f>
        <v/>
      </c>
      <c r="II105" s="16">
        <f>CORREL($H3:INDEX($H:$H,LOOKUP(2,1/(ISNUMBER($A$2:$A$1048576)),ROW($A$2:$A$1048576))),II3:INDEX($II:$II,LOOKUP(2,1/(ISNUMBER($A$2:$A$1048576)),ROW($A$2:$A$1048576))))</f>
        <v/>
      </c>
      <c r="IJ105" s="16">
        <f>CORREL($H3:INDEX($H:$H,LOOKUP(2,1/(ISNUMBER($A$2:$A$1048576)),ROW($A$2:$A$1048576))),IJ3:INDEX($IJ:$IJ,LOOKUP(2,1/(ISNUMBER($A$2:$A$1048576)),ROW($A$2:$A$1048576))))</f>
        <v/>
      </c>
      <c r="IK105" s="16">
        <f>CORREL($H3:INDEX($H:$H,LOOKUP(2,1/(ISNUMBER($A$2:$A$1048576)),ROW($A$2:$A$1048576))),IK3:INDEX($IK:$IK,LOOKUP(2,1/(ISNUMBER($A$2:$A$1048576)),ROW($A$2:$A$1048576))))</f>
        <v/>
      </c>
      <c r="IL105" s="16">
        <f>CORREL($H3:INDEX($H:$H,LOOKUP(2,1/(ISNUMBER($A$2:$A$1048576)),ROW($A$2:$A$1048576))),IL3:INDEX($IL:$IL,LOOKUP(2,1/(ISNUMBER($A$2:$A$1048576)),ROW($A$2:$A$1048576))))</f>
        <v/>
      </c>
      <c r="IM105" s="16">
        <f>CORREL($H3:INDEX($H:$H,LOOKUP(2,1/(ISNUMBER($A$2:$A$1048576)),ROW($A$2:$A$1048576))),IM3:INDEX($IM:$IM,LOOKUP(2,1/(ISNUMBER($A$2:$A$1048576)),ROW($A$2:$A$1048576))))</f>
        <v/>
      </c>
      <c r="IN105" s="16">
        <f>CORREL($H3:INDEX($H:$H,LOOKUP(2,1/(ISNUMBER($A$2:$A$1048576)),ROW($A$2:$A$1048576))),IN3:INDEX($IN:$IN,LOOKUP(2,1/(ISNUMBER($A$2:$A$1048576)),ROW($A$2:$A$1048576))))</f>
        <v/>
      </c>
      <c r="IO105" s="16">
        <f>CORREL($H3:INDEX($H:$H,LOOKUP(2,1/(ISNUMBER($A$2:$A$1048576)),ROW($A$2:$A$1048576))),IO3:INDEX($IO:$IO,LOOKUP(2,1/(ISNUMBER($A$2:$A$1048576)),ROW($A$2:$A$1048576))))</f>
        <v/>
      </c>
      <c r="IP105" s="16">
        <f>CORREL($H3:INDEX($H:$H,LOOKUP(2,1/(ISNUMBER($A$2:$A$1048576)),ROW($A$2:$A$1048576))),IP3:INDEX($IP:$IP,LOOKUP(2,1/(ISNUMBER($A$2:$A$1048576)),ROW($A$2:$A$1048576))))</f>
        <v/>
      </c>
      <c r="IQ105" s="16">
        <f>CORREL($H3:INDEX($H:$H,LOOKUP(2,1/(ISNUMBER($A$2:$A$1048576)),ROW($A$2:$A$1048576))),IQ3:INDEX($IQ:$IQ,LOOKUP(2,1/(ISNUMBER($A$2:$A$1048576)),ROW($A$2:$A$1048576))))</f>
        <v/>
      </c>
      <c r="IR105" s="16">
        <f>CORREL($H3:INDEX($H:$H,LOOKUP(2,1/(ISNUMBER($A$2:$A$1048576)),ROW($A$2:$A$1048576))),IR3:INDEX($IR:$IR,LOOKUP(2,1/(ISNUMBER($A$2:$A$1048576)),ROW($A$2:$A$1048576))))</f>
        <v/>
      </c>
      <c r="IS105" s="16">
        <f>CORREL($H3:INDEX($H:$H,LOOKUP(2,1/(ISNUMBER($A$2:$A$1048576)),ROW($A$2:$A$1048576))),IS3:INDEX($IS:$IS,LOOKUP(2,1/(ISNUMBER($A$2:$A$1048576)),ROW($A$2:$A$1048576))))</f>
        <v/>
      </c>
      <c r="IT105" s="16" t="n"/>
      <c r="IU105" s="16" t="n"/>
      <c r="IV105" s="16">
        <f>CORREL($H3:INDEX($H:$H,LOOKUP(2,1/(ISNUMBER($A$2:$A$1048576)),ROW($A$2:$A$1048576))),IV3:INDEX($IV:$IV,LOOKUP(2,1/(ISNUMBER($A$2:$A$1048576)),ROW($A$2:$A$1048576))))</f>
        <v/>
      </c>
      <c r="IW105" s="16">
        <f>CORREL($H3:INDEX($H:$H,LOOKUP(2,1/(ISNUMBER($A$2:$A$1048576)),ROW($A$2:$A$1048576))),IW3:INDEX($IW:$IW,LOOKUP(2,1/(ISNUMBER($A$2:$A$1048576)),ROW($A$2:$A$1048576))))</f>
        <v/>
      </c>
      <c r="IX105" s="16">
        <f>CORREL($H3:INDEX($H:$H,LOOKUP(2,1/(ISNUMBER($A$2:$A$1048576)),ROW($A$2:$A$1048576))),IX3:INDEX($IX:$IX,LOOKUP(2,1/(ISNUMBER($A$2:$A$1048576)),ROW($A$2:$A$1048576))))</f>
        <v/>
      </c>
      <c r="IY105" s="16">
        <f>CORREL($H3:INDEX($H:$H,LOOKUP(2,1/(ISNUMBER($A$2:$A$1048576)),ROW($A$2:$A$1048576))),IY3:INDEX($IY:$IY,LOOKUP(2,1/(ISNUMBER($A$2:$A$1048576)),ROW($A$2:$A$1048576))))</f>
        <v/>
      </c>
      <c r="IZ105" s="16">
        <f>CORREL($H3:INDEX($H:$H,LOOKUP(2,1/(ISNUMBER($A$2:$A$1048576)),ROW($A$2:$A$1048576))),IZ3:INDEX($IZ:$IZ,LOOKUP(2,1/(ISNUMBER($A$2:$A$1048576)),ROW($A$2:$A$1048576))))</f>
        <v/>
      </c>
      <c r="JA105" s="16">
        <f>CORREL($H3:INDEX($H:$H,LOOKUP(2,1/(ISNUMBER($A$2:$A$1048576)),ROW($A$2:$A$1048576))),JA3:INDEX($JA:$JA,LOOKUP(2,1/(ISNUMBER($A$2:$A$1048576)),ROW($A$2:$A$1048576))))</f>
        <v/>
      </c>
      <c r="JB105" s="16">
        <f>CORREL($H3:INDEX($H:$H,LOOKUP(2,1/(ISNUMBER($A$2:$A$1048576)),ROW($A$2:$A$1048576))),JB3:INDEX($JB:$JB,LOOKUP(2,1/(ISNUMBER($A$2:$A$1048576)),ROW($A$2:$A$1048576))))</f>
        <v/>
      </c>
      <c r="JC105" s="16">
        <f>CORREL($H3:INDEX($H:$H,LOOKUP(2,1/(ISNUMBER($A$2:$A$1048576)),ROW($A$2:$A$1048576))),JC3:INDEX($JC:$JC,LOOKUP(2,1/(ISNUMBER($A$2:$A$1048576)),ROW($A$2:$A$1048576))))</f>
        <v/>
      </c>
      <c r="JD105" s="16">
        <f>CORREL($H3:INDEX($H:$H,LOOKUP(2,1/(ISNUMBER($A$2:$A$1048576)),ROW($A$2:$A$1048576))),JD3:INDEX($JD:$JD,LOOKUP(2,1/(ISNUMBER($A$2:$A$1048576)),ROW($A$2:$A$1048576))))</f>
        <v/>
      </c>
      <c r="JE105" s="16">
        <f>CORREL($H3:INDEX($H:$H,LOOKUP(2,1/(ISNUMBER($A$2:$A$1048576)),ROW($A$2:$A$1048576))),JE3:INDEX($JE:$JE,LOOKUP(2,1/(ISNUMBER($A$2:$A$1048576)),ROW($A$2:$A$1048576))))</f>
        <v/>
      </c>
      <c r="JF105" s="16">
        <f>CORREL($H3:INDEX($H:$H,LOOKUP(2,1/(ISNUMBER($A$2:$A$1048576)),ROW($A$2:$A$1048576))),JF3:INDEX($JF:$JF,LOOKUP(2,1/(ISNUMBER($A$2:$A$1048576)),ROW($A$2:$A$1048576))))</f>
        <v/>
      </c>
      <c r="JG105" s="16">
        <f>CORREL($H3:INDEX($H:$H,LOOKUP(2,1/(ISNUMBER($A$2:$A$1048576)),ROW($A$2:$A$1048576))),JG3:INDEX($JG:$JG,LOOKUP(2,1/(ISNUMBER($A$2:$A$1048576)),ROW($A$2:$A$1048576))))</f>
        <v/>
      </c>
      <c r="JH105" s="16">
        <f>CORREL($H3:INDEX($H:$H,LOOKUP(2,1/(ISNUMBER($A$2:$A$1048576)),ROW($A$2:$A$1048576))),JH3:INDEX($JH:$JH,LOOKUP(2,1/(ISNUMBER($A$2:$A$1048576)),ROW($A$2:$A$1048576))))</f>
        <v/>
      </c>
    </row>
    <row r="106">
      <c r="A106" s="13" t="inlineStr">
        <is>
          <t>Mean</t>
        </is>
      </c>
      <c r="B106" s="41" t="n"/>
      <c r="C106" s="12" t="n"/>
      <c r="D106" s="12" t="n"/>
      <c r="E106" s="12" t="n"/>
      <c r="F106" s="12" t="n"/>
      <c r="G106" s="12" t="n"/>
      <c r="H106" s="12" t="n"/>
      <c r="I106" s="12" t="n"/>
      <c r="J106" s="42">
        <f>AVERAGE(J2:INDEX($J:$J,LOOKUP(2,1/(ISNUMBER($A$2:$A$1048576)),ROW($A$2:$A$1048576))))</f>
        <v/>
      </c>
      <c r="K106" s="42" t="n"/>
      <c r="L106" s="42">
        <f>AVERAGE(L2:INDEX($L:$L,LOOKUP(2,1/(ISNUMBER($A$2:$A$1048576)),ROW($A$2:$A$1048576))))</f>
        <v/>
      </c>
      <c r="M106" s="42" t="n"/>
      <c r="N106" s="42">
        <f>AVERAGE(N2:INDEX($N:$N,LOOKUP(2,1/(ISNUMBER($A$2:$A$1048576)),ROW($A$2:$A$1048576))))</f>
        <v/>
      </c>
      <c r="O106" s="42" t="n"/>
      <c r="P106" s="42">
        <f>AVERAGE(P2:INDEX($P:$P,LOOKUP(2,1/(ISNUMBER($A$2:$A$1048576)),ROW($A$2:$A$1048576))))</f>
        <v/>
      </c>
      <c r="Q106" s="42" t="n"/>
      <c r="R106" s="42">
        <f>AVERAGE(R2:INDEX($R:$R,LOOKUP(2,1/(ISNUMBER($A$2:$A$1048576)),ROW($A$2:$A$1048576))))</f>
        <v/>
      </c>
      <c r="S106" s="42" t="n"/>
      <c r="T106" s="42" t="n"/>
      <c r="U106" s="42">
        <f>AVERAGE(U2:INDEX($U:$U,LOOKUP(2,1/(ISNUMBER($A$2:$A$1048576)),ROW($A$2:$A$1048576))))</f>
        <v/>
      </c>
      <c r="V106" s="42" t="n"/>
      <c r="W106" s="42" t="n"/>
      <c r="X106" s="42">
        <f>AVERAGE(X2:INDEX($X:$X,LOOKUP(2,1/(ISNUMBER($A$2:$A$1048576)),ROW($A$2:$A$1048576))))</f>
        <v/>
      </c>
      <c r="Y106" s="42">
        <f>AVERAGE(Y2:INDEX($Y:$Y,LOOKUP(2,1/(ISNUMBER($A$2:$A$1048576)),ROW($A$2:$A$1048576))))</f>
        <v/>
      </c>
      <c r="Z106" s="42" t="n"/>
      <c r="AA106" s="42" t="n"/>
      <c r="AB106" s="42">
        <f>AVERAGE(AB2:INDEX($AB:$AB,LOOKUP(2,1/(ISNUMBER($A$2:$A$1048576)),ROW($A$2:$A$1048576))))</f>
        <v/>
      </c>
      <c r="AC106" s="42" t="n"/>
      <c r="AD106" s="42" t="n"/>
      <c r="AE106" s="42">
        <f>AVERAGE(AE2:INDEX($AE:$AE,LOOKUP(2,1/(ISNUMBER($A$2:$A$1048576)),ROW($A$2:$A$1048576))))</f>
        <v/>
      </c>
      <c r="AF106" s="42" t="n"/>
      <c r="AG106" s="42" t="n"/>
      <c r="AH106" s="42">
        <f>AVERAGE(AH2:INDEX($AH:$AH,LOOKUP(2,1/(ISNUMBER($A$2:$A$1048576)),ROW($A$2:$A$1048576))))</f>
        <v/>
      </c>
      <c r="AI106" s="42">
        <f>AVERAGE(AI2:INDEX($AI:$AI,LOOKUP(2,1/(ISNUMBER($A$2:$A$1048576)),ROW($A$2:$A$1048576))))</f>
        <v/>
      </c>
      <c r="AJ106" s="42">
        <f>AVERAGE(AJ2:INDEX($AJ:$AJ,LOOKUP(2,1/(ISNUMBER($A$2:$A$1048576)),ROW($A$2:$A$1048576))))</f>
        <v/>
      </c>
      <c r="AK106" s="42">
        <f>AVERAGE(AK2:INDEX($AK:$AK,LOOKUP(2,1/(ISNUMBER($A$2:$A$1048576)),ROW($A$2:$A$1048576))))</f>
        <v/>
      </c>
      <c r="AL106" s="42">
        <f>AVERAGE(AL2:INDEX($AL:$AL,LOOKUP(2,1/(ISNUMBER($A$2:$A$1048576)),ROW($A$2:$A$1048576))))</f>
        <v/>
      </c>
      <c r="AM106" s="42">
        <f>AVERAGE(AM2:INDEX($AM:$AM,LOOKUP(2,1/(ISNUMBER($A$2:$A$1048576)),ROW($A$2:$A$1048576))))</f>
        <v/>
      </c>
      <c r="AN106" s="42">
        <f>AVERAGE(AN2:INDEX($AN:$AN,LOOKUP(2,1/(ISNUMBER($A$2:$A$1048576)),ROW($A$2:$A$1048576))))</f>
        <v/>
      </c>
      <c r="AO106" s="42">
        <f>AVERAGE(AO2:INDEX($AO:$AO,LOOKUP(2,1/(ISNUMBER($A$2:$A$1048576)),ROW($A$2:$A$1048576))))</f>
        <v/>
      </c>
      <c r="AP106" s="42">
        <f>AVERAGE(AP2:INDEX($AP:$AP,LOOKUP(2,1/(ISNUMBER($A$2:$A$1048576)),ROW($A$2:$A$1048576))))</f>
        <v/>
      </c>
      <c r="AQ106" s="42">
        <f>AVERAGE(AQ2:INDEX($AQ:$AQ,LOOKUP(2,1/(ISNUMBER($A$2:$A$1048576)),ROW($A$2:$A$1048576))))</f>
        <v/>
      </c>
      <c r="AR106" s="42">
        <f>AVERAGE(AR2:INDEX($AR:$AR,LOOKUP(2,1/(ISNUMBER($A$2:$A$1048576)),ROW($A$2:$A$1048576))))</f>
        <v/>
      </c>
      <c r="AS106" s="42">
        <f>AVERAGE(AS2:INDEX($AS:$AS,LOOKUP(2,1/(ISNUMBER($A$2:$A$1048576)),ROW($A$2:$A$1048576))))</f>
        <v/>
      </c>
      <c r="AT106" s="42" t="n"/>
      <c r="AU106" s="42" t="n"/>
      <c r="AV106" s="42">
        <f>AVERAGE(AV2:INDEX($AV:$AV,LOOKUP(2,1/(ISNUMBER($A$2:$A$1048576)),ROW($A$2:$A$1048576))))</f>
        <v/>
      </c>
      <c r="AW106" s="42" t="n"/>
      <c r="AX106" s="42">
        <f>AVERAGE(AX2:INDEX($AX:$AX,LOOKUP(2,1/(ISNUMBER($A$2:$A$1048576)),ROW($A$2:$A$1048576))))</f>
        <v/>
      </c>
      <c r="AY106" s="42">
        <f>AVERAGE(AY2:INDEX($AY:$AY,LOOKUP(2,1/(ISNUMBER($A$2:$A$1048576)),ROW($A$2:$A$1048576))))</f>
        <v/>
      </c>
      <c r="AZ106" s="42">
        <f>AVERAGE(AZ2:INDEX($AZ:$AZ,LOOKUP(2,1/(ISNUMBER($A$2:$A$1048576)),ROW($A$2:$A$1048576))))</f>
        <v/>
      </c>
      <c r="BA106" s="42">
        <f>AVERAGE(BA2:INDEX($BA:$BA,LOOKUP(2,1/(ISNUMBER($A$2:$A$1048576)),ROW($A$2:$A$1048576))))</f>
        <v/>
      </c>
      <c r="BB106" s="42">
        <f>AVERAGE(BB2:INDEX($BB:$BB,LOOKUP(2,1/(ISNUMBER($A$2:$A$1048576)),ROW($A$2:$A$1048576))))</f>
        <v/>
      </c>
      <c r="BC106" s="42">
        <f>AVERAGE(BC2:INDEX($BC:$BC,LOOKUP(2,1/(ISNUMBER($A$2:$A$1048576)),ROW($A$2:$A$1048576))))</f>
        <v/>
      </c>
      <c r="BD106" s="42">
        <f>AVERAGE(BD2:INDEX($BD:$BD,LOOKUP(2,1/(ISNUMBER($A$2:$A$1048576)),ROW($A$2:$A$1048576))))</f>
        <v/>
      </c>
      <c r="BE106" s="42">
        <f>AVERAGE(BE2:INDEX($BE:$BE,LOOKUP(2,1/(ISNUMBER($A$2:$A$1048576)),ROW($A$2:$A$1048576))))</f>
        <v/>
      </c>
      <c r="BF106" s="42" t="n"/>
      <c r="BG106" s="42" t="n"/>
      <c r="BH106" s="42">
        <f>AVERAGE(BH2:INDEX($BH:$BH,LOOKUP(2,1/(ISNUMBER($A$2:$A$1048576)),ROW($A$2:$A$1048576))))</f>
        <v/>
      </c>
      <c r="BI106" s="42">
        <f>AVERAGE(BI2:INDEX($BI:$BI,LOOKUP(2,1/(ISNUMBER($A$2:$A$1048576)),ROW($A$2:$A$1048576))))</f>
        <v/>
      </c>
      <c r="BJ106" s="42">
        <f>AVERAGE(BJ2:INDEX($BJ:$BJ,LOOKUP(2,1/(ISNUMBER($A$2:$A$1048576)),ROW($A$2:$A$1048576))))</f>
        <v/>
      </c>
      <c r="BK106" s="42">
        <f>AVERAGE(BK2:INDEX($BK:$BK,LOOKUP(2,1/(ISNUMBER($A$2:$A$1048576)),ROW($A$2:$A$1048576))))</f>
        <v/>
      </c>
      <c r="BL106" s="42">
        <f>AVERAGE(BL2:INDEX($BL:$BL,LOOKUP(2,1/(ISNUMBER($A$2:$A$1048576)),ROW($A$2:$A$1048576))))</f>
        <v/>
      </c>
      <c r="BM106" s="42">
        <f>AVERAGE(BM2:INDEX($BM:$BM,LOOKUP(2,1/(ISNUMBER($A$2:$A$1048576)),ROW($A$2:$A$1048576))))</f>
        <v/>
      </c>
      <c r="BN106" s="42">
        <f>AVERAGE(BN2:INDEX($BN:$BN,LOOKUP(2,1/(ISNUMBER($A$2:$A$1048576)),ROW($A$2:$A$1048576))))</f>
        <v/>
      </c>
      <c r="BO106" s="42">
        <f>AVERAGE(BO2:INDEX($BO:$BO,LOOKUP(2,1/(ISNUMBER($A$2:$A$1048576)),ROW($A$2:$A$1048576))))</f>
        <v/>
      </c>
      <c r="BP106" s="42">
        <f>AVERAGE(BP2:INDEX($BP:$BP,LOOKUP(2,1/(ISNUMBER($A$2:$A$1048576)),ROW($A$2:$A$1048576))))</f>
        <v/>
      </c>
      <c r="BQ106" s="42">
        <f>AVERAGE(BQ2:INDEX($BQ:$BQ,LOOKUP(2,1/(ISNUMBER($A$2:$A$1048576)),ROW($A$2:$A$1048576))))</f>
        <v/>
      </c>
      <c r="BR106" s="42">
        <f>AVERAGE(BR2:INDEX($BR:$BR,LOOKUP(2,1/(ISNUMBER($A$2:$A$1048576)),ROW($A$2:$A$1048576))))</f>
        <v/>
      </c>
      <c r="BS106" s="42">
        <f>AVERAGE(BS2:INDEX($BS:$BS,LOOKUP(2,1/(ISNUMBER($A$2:$A$1048576)),ROW($A$2:$A$1048576))))</f>
        <v/>
      </c>
      <c r="BT106" s="42">
        <f>AVERAGE(BT2:INDEX($BT:$BT,LOOKUP(2,1/(ISNUMBER($A$2:$A$1048576)),ROW($A$2:$A$1048576))))</f>
        <v/>
      </c>
      <c r="BU106" s="42">
        <f>AVERAGE(BU2:INDEX($BU:$BU,LOOKUP(2,1/(ISNUMBER($A$2:$A$1048576)),ROW($A$2:$A$1048576))))</f>
        <v/>
      </c>
      <c r="BV106" s="42">
        <f>AVERAGE(BV2:INDEX($BV:$BV,LOOKUP(2,1/(ISNUMBER($A$2:$A$1048576)),ROW($A$2:$A$1048576))))</f>
        <v/>
      </c>
      <c r="BW106" s="42">
        <f>AVERAGE(BW2:INDEX($BW:$BW,LOOKUP(2,1/(ISNUMBER($A$2:$A$1048576)),ROW($A$2:$A$1048576))))</f>
        <v/>
      </c>
      <c r="BX106" s="42">
        <f>AVERAGE(BX2:INDEX($BX:$BX,LOOKUP(2,1/(ISNUMBER($A$2:$A$1048576)),ROW($A$2:$A$1048576))))</f>
        <v/>
      </c>
      <c r="BY106" s="42">
        <f>AVERAGE(BY2:INDEX($BY:$BY,LOOKUP(2,1/(ISNUMBER($A$2:$A$1048576)),ROW($A$2:$A$1048576))))</f>
        <v/>
      </c>
      <c r="BZ106" s="42">
        <f>AVERAGE(BZ2:INDEX($BZ:$BZ,LOOKUP(2,1/(ISNUMBER($A$2:$A$1048576)),ROW($A$2:$A$1048576))))</f>
        <v/>
      </c>
      <c r="CA106" s="42">
        <f>AVERAGE(CA2:INDEX($CA:$CA,LOOKUP(2,1/(ISNUMBER($A$2:$A$1048576)),ROW($A$2:$A$1048576))))</f>
        <v/>
      </c>
      <c r="CB106" s="42">
        <f>AVERAGE(CB2:INDEX($CB:$CB,LOOKUP(2,1/(ISNUMBER($A$2:$A$1048576)),ROW($A$2:$A$1048576))))</f>
        <v/>
      </c>
      <c r="CC106" s="42" t="n"/>
      <c r="CD106" s="42" t="n"/>
      <c r="CE106" s="42">
        <f>AVERAGE(CE2:INDEX($CE:$CE,LOOKUP(2,1/(ISNUMBER($A$2:$A$1048576)),ROW($A$2:$A$1048576))))</f>
        <v/>
      </c>
      <c r="CF106" s="42" t="n"/>
      <c r="CG106" s="42" t="n"/>
      <c r="CH106" s="42">
        <f>AVERAGE(CH2:INDEX($CH:$CH,LOOKUP(2,1/(ISNUMBER($A$2:$A$1048576)),ROW($A$2:$A$1048576))))</f>
        <v/>
      </c>
      <c r="CI106" s="42">
        <f>AVERAGE(CI2:INDEX($CI:$CI,LOOKUP(2,1/(ISNUMBER($A$2:$A$1048576)),ROW($A$2:$A$1048576))))</f>
        <v/>
      </c>
      <c r="CJ106" s="42">
        <f>AVERAGE(CJ2:INDEX($CJ:$CJ,LOOKUP(2,1/(ISNUMBER($A$2:$A$1048576)),ROW($A$2:$A$1048576))))</f>
        <v/>
      </c>
      <c r="CK106" s="42" t="n"/>
      <c r="CL106" s="42" t="n"/>
      <c r="CM106" s="42">
        <f>AVERAGE(CM2:INDEX($CM:$CM,LOOKUP(2,1/(ISNUMBER($A$2:$A$1048576)),ROW($A$2:$A$1048576))))</f>
        <v/>
      </c>
      <c r="CN106" s="42">
        <f>AVERAGE(CN2:INDEX($CN:$CN,LOOKUP(2,1/(ISNUMBER($A$2:$A$1048576)),ROW($A$2:$A$1048576))))</f>
        <v/>
      </c>
      <c r="CO106" s="42">
        <f>AVERAGE(CO2:INDEX($CO:$CO,LOOKUP(2,1/(ISNUMBER($A$2:$A$1048576)),ROW($A$2:$A$1048576))))</f>
        <v/>
      </c>
      <c r="CP106" s="42">
        <f>AVERAGE(CP2:INDEX($CP:$CP,LOOKUP(2,1/(ISNUMBER($A$2:$A$1048576)),ROW($A$2:$A$1048576))))</f>
        <v/>
      </c>
      <c r="CQ106" s="42">
        <f>AVERAGE(CQ2:INDEX($CQ:$CQ,LOOKUP(2,1/(ISNUMBER($A$2:$A$1048576)),ROW($A$2:$A$1048576))))</f>
        <v/>
      </c>
      <c r="CR106" s="42">
        <f>AVERAGE(CR2:INDEX($CR:$CR,LOOKUP(2,1/(ISNUMBER($A$2:$A$1048576)),ROW($A$2:$A$1048576))))</f>
        <v/>
      </c>
      <c r="CS106" s="42" t="n"/>
      <c r="CT106" s="42" t="n"/>
      <c r="CU106" s="42">
        <f>AVERAGE(CU2:INDEX($CU:$CU,LOOKUP(2,1/(ISNUMBER($A$2:$A$1048576)),ROW($A$2:$A$1048576))))</f>
        <v/>
      </c>
      <c r="CV106" s="42" t="n"/>
      <c r="CW106" s="42" t="n"/>
      <c r="CX106" s="42">
        <f>AVERAGE(CX2:INDEX($CX:$CX,LOOKUP(2,1/(ISNUMBER($A$2:$A$1048576)),ROW($A$2:$A$1048576))))</f>
        <v/>
      </c>
      <c r="CY106" s="42">
        <f>AVERAGE(CY2:INDEX($CY:$CY,LOOKUP(2,1/(ISNUMBER($A$2:$A$1048576)),ROW($A$2:$A$1048576))))</f>
        <v/>
      </c>
      <c r="CZ106" s="42">
        <f>AVERAGE(CZ2:INDEX($CZ:$CZ,LOOKUP(2,1/(ISNUMBER($A$2:$A$1048576)),ROW($A$2:$A$1048576))))</f>
        <v/>
      </c>
      <c r="DA106" s="42">
        <f>AVERAGE(DA2:INDEX($DA:$DA,LOOKUP(2,1/(ISNUMBER($A$2:$A$1048576)),ROW($A$2:$A$1048576))))</f>
        <v/>
      </c>
      <c r="DB106" s="42">
        <f>AVERAGE(DB2:INDEX($DB:$DB,LOOKUP(2,1/(ISNUMBER($A$2:$A$1048576)),ROW($A$2:$A$1048576))))</f>
        <v/>
      </c>
      <c r="DC106" s="42">
        <f>AVERAGE(DC2:INDEX($DC:$DC,LOOKUP(2,1/(ISNUMBER($A$2:$A$1048576)),ROW($A$2:$A$1048576))))</f>
        <v/>
      </c>
      <c r="DD106" s="42">
        <f>AVERAGE(DD2:INDEX($DD:$DD,LOOKUP(2,1/(ISNUMBER($A$2:$A$1048576)),ROW($A$2:$A$1048576))))</f>
        <v/>
      </c>
      <c r="DE106" s="42">
        <f>AVERAGE(DE2:INDEX($DE:$DE,LOOKUP(2,1/(ISNUMBER($A$2:$A$1048576)),ROW($A$2:$A$1048576))))</f>
        <v/>
      </c>
      <c r="DF106" s="42">
        <f>AVERAGE(DF2:INDEX($DF:$DF,LOOKUP(2,1/(ISNUMBER($A$2:$A$1048576)),ROW($A$2:$A$1048576))))</f>
        <v/>
      </c>
      <c r="DG106" s="42">
        <f>AVERAGE(DG2:INDEX($DG:$DG,LOOKUP(2,1/(ISNUMBER($A$2:$A$1048576)),ROW($A$2:$A$1048576))))</f>
        <v/>
      </c>
      <c r="DH106" s="42">
        <f>AVERAGE(DH2:INDEX($DH:$DH,LOOKUP(2,1/(ISNUMBER($A$2:$A$1048576)),ROW($A$2:$A$1048576))))</f>
        <v/>
      </c>
      <c r="DI106" s="42" t="n"/>
      <c r="DJ106" s="42" t="n"/>
      <c r="DK106" s="42">
        <f>AVERAGE(DK2:INDEX($DK:$DK,LOOKUP(2,1/(ISNUMBER($A$2:$A$1048576)),ROW($A$2:$A$1048576))))</f>
        <v/>
      </c>
      <c r="DL106" s="42">
        <f>AVERAGE(DL2:INDEX($DL:$DL,LOOKUP(2,1/(ISNUMBER($A$2:$A$1048576)),ROW($A$2:$A$1048576))))</f>
        <v/>
      </c>
      <c r="DM106" s="42">
        <f>AVERAGE(DM2:INDEX($DM:$DM,LOOKUP(2,1/(ISNUMBER($A$2:$A$1048576)),ROW($A$2:$A$1048576))))</f>
        <v/>
      </c>
      <c r="DN106" s="42">
        <f>AVERAGE(DN2:INDEX($DN:$DN,LOOKUP(2,1/(ISNUMBER($A$2:$A$1048576)),ROW($A$2:$A$1048576))))</f>
        <v/>
      </c>
      <c r="DO106" s="42">
        <f>AVERAGE(DO2:INDEX($DO:$DO,LOOKUP(2,1/(ISNUMBER($A$2:$A$1048576)),ROW($A$2:$A$1048576))))</f>
        <v/>
      </c>
      <c r="DP106" s="42">
        <f>AVERAGE(DP2:INDEX($DP:$DP,LOOKUP(2,1/(ISNUMBER($A$2:$A$1048576)),ROW($A$2:$A$1048576))))</f>
        <v/>
      </c>
      <c r="DQ106" s="42" t="n"/>
      <c r="DR106" s="42" t="n"/>
      <c r="DS106" s="42">
        <f>AVERAGE(DS2:INDEX($DS:$DS,LOOKUP(2,1/(ISNUMBER($A$2:$A$1048576)),ROW($A$2:$A$1048576))))</f>
        <v/>
      </c>
      <c r="DT106" s="42">
        <f>AVERAGE(DT2:INDEX($DT:$DT,LOOKUP(2,1/(ISNUMBER($A$2:$A$1048576)),ROW($A$2:$A$1048576))))</f>
        <v/>
      </c>
      <c r="DU106" s="42">
        <f>AVERAGE(DU2:INDEX($DU:$DU,LOOKUP(2,1/(ISNUMBER($A$2:$A$1048576)),ROW($A$2:$A$1048576))))</f>
        <v/>
      </c>
      <c r="DV106" s="42">
        <f>AVERAGE(DV2:INDEX($DV:$DV,LOOKUP(2,1/(ISNUMBER($A$2:$A$1048576)),ROW($A$2:$A$1048576))))</f>
        <v/>
      </c>
      <c r="DW106" s="42">
        <f>AVERAGE(DW2:INDEX($DW:$DW,LOOKUP(2,1/(ISNUMBER($A$2:$A$1048576)),ROW($A$2:$A$1048576))))</f>
        <v/>
      </c>
      <c r="DX106" s="42">
        <f>AVERAGE(DX2:INDEX($DX:$DX,LOOKUP(2,1/(ISNUMBER($A$2:$A$1048576)),ROW($A$2:$A$1048576))))</f>
        <v/>
      </c>
      <c r="DY106" s="42">
        <f>AVERAGE(DY2:INDEX($DY:$DY,LOOKUP(2,1/(ISNUMBER($A$2:$A$1048576)),ROW($A$2:$A$1048576))))</f>
        <v/>
      </c>
      <c r="DZ106" s="42">
        <f>AVERAGE(DZ2:INDEX($DZ:$DZ,LOOKUP(2,1/(ISNUMBER($A$2:$A$1048576)),ROW($A$2:$A$1048576))))</f>
        <v/>
      </c>
      <c r="EA106" s="42">
        <f>AVERAGE(EA2:INDEX($EA:$EA,LOOKUP(2,1/(ISNUMBER($A$2:$A$1048576)),ROW($A$2:$A$1048576))))</f>
        <v/>
      </c>
      <c r="EB106" s="42">
        <f>AVERAGE(EB2:INDEX($EB:$EB,LOOKUP(2,1/(ISNUMBER($A$2:$A$1048576)),ROW($A$2:$A$1048576))))</f>
        <v/>
      </c>
      <c r="EC106" s="42">
        <f>AVERAGE(EC2:INDEX($EC:$EC,LOOKUP(2,1/(ISNUMBER($A$2:$A$1048576)),ROW($A$2:$A$1048576))))</f>
        <v/>
      </c>
      <c r="ED106" s="42">
        <f>AVERAGE(ED2:INDEX($ED:$ED,LOOKUP(2,1/(ISNUMBER($A$2:$A$1048576)),ROW($A$2:$A$1048576))))</f>
        <v/>
      </c>
      <c r="EE106" s="42" t="n"/>
      <c r="EF106" s="42" t="n"/>
      <c r="EG106" s="42">
        <f>AVERAGE(EG2:INDEX($EG:$EG,LOOKUP(2,1/(ISNUMBER($A$2:$A$1048576)),ROW($A$2:$A$1048576))))</f>
        <v/>
      </c>
      <c r="EH106" s="42">
        <f>AVERAGE(EH2:INDEX($EH:$EH,LOOKUP(2,1/(ISNUMBER($A$2:$A$1048576)),ROW($A$2:$A$1048576))))</f>
        <v/>
      </c>
      <c r="EI106" s="42">
        <f>AVERAGE(EI2:INDEX($EI:$EI,LOOKUP(2,1/(ISNUMBER($A$2:$A$1048576)),ROW($A$2:$A$1048576))))</f>
        <v/>
      </c>
      <c r="EJ106" s="42" t="n"/>
      <c r="EK106" s="42" t="n"/>
      <c r="EL106" s="42">
        <f>AVERAGE(EL2:INDEX($EL:$EL,LOOKUP(2,1/(ISNUMBER($A$2:$A$1048576)),ROW($A$2:$A$1048576))))</f>
        <v/>
      </c>
      <c r="EM106" s="42">
        <f>AVERAGE(EM2:INDEX($EM:$EM,LOOKUP(2,1/(ISNUMBER($A$2:$A$1048576)),ROW($A$2:$A$1048576))))</f>
        <v/>
      </c>
      <c r="EN106" s="42">
        <f>AVERAGE(EN2:INDEX($EN:$EN,LOOKUP(2,1/(ISNUMBER($A$2:$A$1048576)),ROW($A$2:$A$1048576))))</f>
        <v/>
      </c>
      <c r="EO106" s="42">
        <f>AVERAGE(EO2:INDEX($EO:$EO,LOOKUP(2,1/(ISNUMBER($A$2:$A$1048576)),ROW($A$2:$A$1048576))))</f>
        <v/>
      </c>
      <c r="EP106" s="42">
        <f>AVERAGE(EP2:INDEX($EP:$EP,LOOKUP(2,1/(ISNUMBER($A$2:$A$1048576)),ROW($A$2:$A$1048576))))</f>
        <v/>
      </c>
      <c r="EQ106" s="42">
        <f>AVERAGE(EQ2:INDEX($EQ:$EQ,LOOKUP(2,1/(ISNUMBER($A$2:$A$1048576)),ROW($A$2:$A$1048576))))</f>
        <v/>
      </c>
      <c r="ER106" s="42">
        <f>AVERAGE(ER2:INDEX($ER:$ER,LOOKUP(2,1/(ISNUMBER($A$2:$A$1048576)),ROW($A$2:$A$1048576))))</f>
        <v/>
      </c>
      <c r="ES106" s="42">
        <f>AVERAGE(ES2:INDEX($ES:$ES,LOOKUP(2,1/(ISNUMBER($A$2:$A$1048576)),ROW($A$2:$A$1048576))))</f>
        <v/>
      </c>
      <c r="ET106" s="42">
        <f>AVERAGE(ET2:INDEX($ET:$ET,LOOKUP(2,1/(ISNUMBER($A$2:$A$1048576)),ROW($A$2:$A$1048576))))</f>
        <v/>
      </c>
      <c r="EU106" s="42">
        <f>AVERAGE(EU2:INDEX($EU:$EU,LOOKUP(2,1/(ISNUMBER($A$2:$A$1048576)),ROW($A$2:$A$1048576))))</f>
        <v/>
      </c>
      <c r="EV106" s="42">
        <f>AVERAGE(EV2:INDEX($EV:$EV,LOOKUP(2,1/(ISNUMBER($A$2:$A$1048576)),ROW($A$2:$A$1048576))))</f>
        <v/>
      </c>
      <c r="EW106" s="42">
        <f>AVERAGE(EW2:INDEX($EW:$EW,LOOKUP(2,1/(ISNUMBER($A$2:$A$1048576)),ROW($A$2:$A$1048576))))</f>
        <v/>
      </c>
      <c r="EX106" s="42" t="n"/>
      <c r="EY106" s="42" t="n"/>
      <c r="EZ106" s="42">
        <f>AVERAGE(EZ2:INDEX($EZ:$EZ,LOOKUP(2,1/(ISNUMBER($A$2:$A$1048576)),ROW($A$2:$A$1048576))))</f>
        <v/>
      </c>
      <c r="FA106" s="42">
        <f>AVERAGE(FA2:INDEX($FA:$FA,LOOKUP(2,1/(ISNUMBER($A$2:$A$1048576)),ROW($A$2:$A$1048576))))</f>
        <v/>
      </c>
      <c r="FB106" s="42" t="n"/>
      <c r="FC106" s="42" t="n"/>
      <c r="FD106" s="42">
        <f>AVERAGE(FD2:INDEX($FD:$FD,LOOKUP(2,1/(ISNUMBER($A$2:$A$1048576)),ROW($A$2:$A$1048576))))</f>
        <v/>
      </c>
      <c r="FE106" s="42">
        <f>AVERAGE(FE2:INDEX($FE:$FE,LOOKUP(2,1/(ISNUMBER($A$2:$A$1048576)),ROW($A$2:$A$1048576))))</f>
        <v/>
      </c>
      <c r="FF106" s="42" t="n"/>
      <c r="FG106" s="42" t="n"/>
      <c r="FH106" s="42">
        <f>AVERAGE(FH2:INDEX($FH:$FH,LOOKUP(2,1/(ISNUMBER($A$2:$A$1048576)),ROW($A$2:$A$1048576))))</f>
        <v/>
      </c>
      <c r="FI106" s="42">
        <f>AVERAGE(FI2:INDEX($FI:$FI,LOOKUP(2,1/(ISNUMBER($A$2:$A$1048576)),ROW($A$2:$A$1048576))))</f>
        <v/>
      </c>
      <c r="FJ106" s="42">
        <f>AVERAGE(FJ2:INDEX($FJ:$FJ,LOOKUP(2,1/(ISNUMBER($A$2:$A$1048576)),ROW($A$2:$A$1048576))))</f>
        <v/>
      </c>
      <c r="FK106" s="42">
        <f>AVERAGE(FK2:INDEX($FK:$FK,LOOKUP(2,1/(ISNUMBER($A$2:$A$1048576)),ROW($A$2:$A$1048576))))</f>
        <v/>
      </c>
      <c r="FL106" s="42" t="n"/>
      <c r="FM106" s="42" t="n"/>
      <c r="FN106" s="42">
        <f>AVERAGE(FN2:INDEX($FN:$FN,LOOKUP(2,1/(ISNUMBER($A$2:$A$1048576)),ROW($A$2:$A$1048576))))</f>
        <v/>
      </c>
      <c r="FO106" s="42">
        <f>AVERAGE(FO2:INDEX($FO:$FO,LOOKUP(2,1/(ISNUMBER($A$2:$A$1048576)),ROW($A$2:$A$1048576))))</f>
        <v/>
      </c>
      <c r="FP106" s="42">
        <f>AVERAGE(FP2:INDEX($FP:$FP,LOOKUP(2,1/(ISNUMBER($A$2:$A$1048576)),ROW($A$2:$A$1048576))))</f>
        <v/>
      </c>
      <c r="FQ106" s="42">
        <f>AVERAGE(FQ2:INDEX($FQ:$FQ,LOOKUP(2,1/(ISNUMBER($A$2:$A$1048576)),ROW($A$2:$A$1048576))))</f>
        <v/>
      </c>
      <c r="FR106" s="42">
        <f>AVERAGE(FR2:INDEX($FR:$FR,LOOKUP(2,1/(ISNUMBER($A$2:$A$1048576)),ROW($A$2:$A$1048576))))</f>
        <v/>
      </c>
      <c r="FS106" s="42">
        <f>AVERAGE(FS2:INDEX($FS:$FS,LOOKUP(2,1/(ISNUMBER($A$2:$A$1048576)),ROW($A$2:$A$1048576))))</f>
        <v/>
      </c>
      <c r="FT106" s="42">
        <f>AVERAGE(FT2:INDEX($FT:$FT,LOOKUP(2,1/(ISNUMBER($A$2:$A$1048576)),ROW($A$2:$A$1048576))))</f>
        <v/>
      </c>
      <c r="FU106" s="42">
        <f>AVERAGE(FU2:INDEX($FU:$FU,LOOKUP(2,1/(ISNUMBER($A$2:$A$1048576)),ROW($A$2:$A$1048576))))</f>
        <v/>
      </c>
      <c r="FV106" s="42">
        <f>AVERAGE(FV2:INDEX($FV:$FV,LOOKUP(2,1/(ISNUMBER($A$2:$A$1048576)),ROW($A$2:$A$1048576))))</f>
        <v/>
      </c>
      <c r="FW106" s="42">
        <f>AVERAGE(FW2:INDEX($FW:$FW,LOOKUP(2,1/(ISNUMBER($A$2:$A$1048576)),ROW($A$2:$A$1048576))))</f>
        <v/>
      </c>
      <c r="FX106" s="42">
        <f>AVERAGE(FX2:INDEX($FX:$FX,LOOKUP(2,1/(ISNUMBER($A$2:$A$1048576)),ROW($A$2:$A$1048576))))</f>
        <v/>
      </c>
      <c r="FY106" s="42">
        <f>AVERAGE(FY2:INDEX($FY:$FY,LOOKUP(2,1/(ISNUMBER($A$2:$A$1048576)),ROW($A$2:$A$1048576))))</f>
        <v/>
      </c>
      <c r="FZ106" s="42">
        <f>AVERAGE(FZ2:INDEX($FZ:$FZ,LOOKUP(2,1/(ISNUMBER($A$2:$A$1048576)),ROW($A$2:$A$1048576))))</f>
        <v/>
      </c>
      <c r="GA106" s="42">
        <f>AVERAGE(GA2:INDEX($GA:$GA,LOOKUP(2,1/(ISNUMBER($A$2:$A$1048576)),ROW($A$2:$A$1048576))))</f>
        <v/>
      </c>
      <c r="GB106" s="42">
        <f>AVERAGE(GB2:INDEX($GB:$GB,LOOKUP(2,1/(ISNUMBER($A$2:$A$1048576)),ROW($A$2:$A$1048576))))</f>
        <v/>
      </c>
      <c r="GC106" s="42">
        <f>AVERAGE(GC2:INDEX($GC:$GC,LOOKUP(2,1/(ISNUMBER($A$2:$A$1048576)),ROW($A$2:$A$1048576))))</f>
        <v/>
      </c>
      <c r="GD106" s="42">
        <f>AVERAGE(GD2:INDEX($GD:$GD,LOOKUP(2,1/(ISNUMBER($A$2:$A$1048576)),ROW($A$2:$A$1048576))))</f>
        <v/>
      </c>
      <c r="GE106" s="42">
        <f>AVERAGE(GE2:INDEX($GE:$GE,LOOKUP(2,1/(ISNUMBER($A$2:$A$1048576)),ROW($A$2:$A$1048576))))</f>
        <v/>
      </c>
      <c r="GF106" s="42">
        <f>AVERAGE(GF2:INDEX($GF:$GF,LOOKUP(2,1/(ISNUMBER($A$2:$A$1048576)),ROW($A$2:$A$1048576))))</f>
        <v/>
      </c>
      <c r="GG106" s="42">
        <f>AVERAGE(GG2:INDEX($GG:$GG,LOOKUP(2,1/(ISNUMBER($A$2:$A$1048576)),ROW($A$2:$A$1048576))))</f>
        <v/>
      </c>
      <c r="GH106" s="42">
        <f>AVERAGE(GH2:INDEX($GH:$GH,LOOKUP(2,1/(ISNUMBER($A$2:$A$1048576)),ROW($A$2:$A$1048576))))</f>
        <v/>
      </c>
      <c r="GI106" s="42">
        <f>AVERAGE(GI2:INDEX($GI:$GI,LOOKUP(2,1/(ISNUMBER($A$2:$A$1048576)),ROW($A$2:$A$1048576))))</f>
        <v/>
      </c>
      <c r="GJ106" s="42">
        <f>AVERAGE(GJ2:INDEX($GJ:$GJ,LOOKUP(2,1/(ISNUMBER($A$2:$A$1048576)),ROW($A$2:$A$1048576))))</f>
        <v/>
      </c>
      <c r="GK106" s="42">
        <f>AVERAGE(GK2:INDEX($GK:$GK,LOOKUP(2,1/(ISNUMBER($A$2:$A$1048576)),ROW($A$2:$A$1048576))))</f>
        <v/>
      </c>
      <c r="GL106" s="42">
        <f>AVERAGE(GL2:INDEX($GL:$GL,LOOKUP(2,1/(ISNUMBER($A$2:$A$1048576)),ROW($A$2:$A$1048576))))</f>
        <v/>
      </c>
      <c r="GM106" s="42">
        <f>AVERAGE(GM2:INDEX($GM:$GM,LOOKUP(2,1/(ISNUMBER($A$2:$A$1048576)),ROW($A$2:$A$1048576))))</f>
        <v/>
      </c>
      <c r="GN106" s="42">
        <f>AVERAGE(GN2:INDEX($GN:$GN,LOOKUP(2,1/(ISNUMBER($A$2:$A$1048576)),ROW($A$2:$A$1048576))))</f>
        <v/>
      </c>
      <c r="GO106" s="42">
        <f>AVERAGE(GO2:INDEX($GO:$GO,LOOKUP(2,1/(ISNUMBER($A$2:$A$1048576)),ROW($A$2:$A$1048576))))</f>
        <v/>
      </c>
      <c r="GP106" s="42">
        <f>AVERAGE(GP2:INDEX($GP:$GP,LOOKUP(2,1/(ISNUMBER($A$2:$A$1048576)),ROW($A$2:$A$1048576))))</f>
        <v/>
      </c>
      <c r="GQ106" s="42">
        <f>AVERAGE(GQ2:INDEX($GQ:$GQ,LOOKUP(2,1/(ISNUMBER($A$2:$A$1048576)),ROW($A$2:$A$1048576))))</f>
        <v/>
      </c>
      <c r="GR106" s="42">
        <f>AVERAGE(GR2:INDEX($GR:$GR,LOOKUP(2,1/(ISNUMBER($A$2:$A$1048576)),ROW($A$2:$A$1048576))))</f>
        <v/>
      </c>
      <c r="GS106" s="42">
        <f>AVERAGE(GS2:INDEX($GS:$GS,LOOKUP(2,1/(ISNUMBER($A$2:$A$1048576)),ROW($A$2:$A$1048576))))</f>
        <v/>
      </c>
      <c r="GT106" s="42">
        <f>AVERAGE(GT2:INDEX($GT:$GT,LOOKUP(2,1/(ISNUMBER($A$2:$A$1048576)),ROW($A$2:$A$1048576))))</f>
        <v/>
      </c>
      <c r="GU106" s="42">
        <f>AVERAGE(GU2:INDEX($GU:$GU,LOOKUP(2,1/(ISNUMBER($A$2:$A$1048576)),ROW($A$2:$A$1048576))))</f>
        <v/>
      </c>
      <c r="GV106" s="42">
        <f>AVERAGE(GV2:INDEX($GV:$GV,LOOKUP(2,1/(ISNUMBER($A$2:$A$1048576)),ROW($A$2:$A$1048576))))</f>
        <v/>
      </c>
      <c r="GW106" s="42">
        <f>AVERAGE(GW2:INDEX($GW:$GW,LOOKUP(2,1/(ISNUMBER($A$2:$A$1048576)),ROW($A$2:$A$1048576))))</f>
        <v/>
      </c>
      <c r="GX106" s="42">
        <f>AVERAGE(GX2:INDEX($GX:$GX,LOOKUP(2,1/(ISNUMBER($A$2:$A$1048576)),ROW($A$2:$A$1048576))))</f>
        <v/>
      </c>
      <c r="GY106" s="42">
        <f>AVERAGE(GY2:INDEX($GY:$GY,LOOKUP(2,1/(ISNUMBER($A$2:$A$1048576)),ROW($A$2:$A$1048576))))</f>
        <v/>
      </c>
      <c r="GZ106" s="42">
        <f>AVERAGE(GZ2:INDEX($GZ:$GZ,LOOKUP(2,1/(ISNUMBER($A$2:$A$1048576)),ROW($A$2:$A$1048576))))</f>
        <v/>
      </c>
      <c r="HA106" s="42">
        <f>AVERAGE(HA2:INDEX($HA:$HA,LOOKUP(2,1/(ISNUMBER($A$2:$A$1048576)),ROW($A$2:$A$1048576))))</f>
        <v/>
      </c>
      <c r="HB106" s="42">
        <f>AVERAGE(HB2:INDEX($HB:$HB,LOOKUP(2,1/(ISNUMBER($A$2:$A$1048576)),ROW($A$2:$A$1048576))))</f>
        <v/>
      </c>
      <c r="HC106" s="42">
        <f>AVERAGE(HC2:INDEX($HC:$HC,LOOKUP(2,1/(ISNUMBER($A$2:$A$1048576)),ROW($A$2:$A$1048576))))</f>
        <v/>
      </c>
      <c r="HD106" s="42">
        <f>AVERAGE(HD2:INDEX($HD:$HD,LOOKUP(2,1/(ISNUMBER($A$2:$A$1048576)),ROW($A$2:$A$1048576))))</f>
        <v/>
      </c>
      <c r="HE106" s="42">
        <f>AVERAGE(HE2:INDEX($HE:$HE,LOOKUP(2,1/(ISNUMBER($A$2:$A$1048576)),ROW($A$2:$A$1048576))))</f>
        <v/>
      </c>
      <c r="HF106" s="42">
        <f>AVERAGE(HF2:INDEX($HF:$HF,LOOKUP(2,1/(ISNUMBER($A$2:$A$1048576)),ROW($A$2:$A$1048576))))</f>
        <v/>
      </c>
      <c r="HG106" s="42">
        <f>AVERAGE(HG2:INDEX($HG:$HG,LOOKUP(2,1/(ISNUMBER($A$2:$A$1048576)),ROW($A$2:$A$1048576))))</f>
        <v/>
      </c>
      <c r="HH106" s="42">
        <f>AVERAGE(HH2:INDEX($HH:$HH,LOOKUP(2,1/(ISNUMBER($A$2:$A$1048576)),ROW($A$2:$A$1048576))))</f>
        <v/>
      </c>
      <c r="HI106" s="42">
        <f>AVERAGE(HI2:INDEX($HI:$HI,LOOKUP(2,1/(ISNUMBER($A$2:$A$1048576)),ROW($A$2:$A$1048576))))</f>
        <v/>
      </c>
      <c r="HJ106" s="42">
        <f>AVERAGE(HJ2:INDEX($HJ:$HJ,LOOKUP(2,1/(ISNUMBER($A$2:$A$1048576)),ROW($A$2:$A$1048576))))</f>
        <v/>
      </c>
      <c r="HK106" s="42">
        <f>AVERAGE(HK2:INDEX($HK:$HK,LOOKUP(2,1/(ISNUMBER($A$2:$A$1048576)),ROW($A$2:$A$1048576))))</f>
        <v/>
      </c>
      <c r="HL106" s="42">
        <f>AVERAGE(HL2:INDEX($HL:$HL,LOOKUP(2,1/(ISNUMBER($A$2:$A$1048576)),ROW($A$2:$A$1048576))))</f>
        <v/>
      </c>
      <c r="HM106" s="42">
        <f>AVERAGE(HM2:INDEX($HM:$HM,LOOKUP(2,1/(ISNUMBER($A$2:$A$1048576)),ROW($A$2:$A$1048576))))</f>
        <v/>
      </c>
      <c r="HN106" s="42">
        <f>AVERAGE(HN2:INDEX($HN:$HN,LOOKUP(2,1/(ISNUMBER($A$2:$A$1048576)),ROW($A$2:$A$1048576))))</f>
        <v/>
      </c>
      <c r="HO106" s="42">
        <f>AVERAGE(HO2:INDEX($HO:$HO,LOOKUP(2,1/(ISNUMBER($A$2:$A$1048576)),ROW($A$2:$A$1048576))))</f>
        <v/>
      </c>
      <c r="HP106" s="42">
        <f>AVERAGE(HP2:INDEX($HP:$HP,LOOKUP(2,1/(ISNUMBER($A$2:$A$1048576)),ROW($A$2:$A$1048576))))</f>
        <v/>
      </c>
      <c r="HQ106" s="42">
        <f>AVERAGE(HQ2:INDEX($HQ:$HQ,LOOKUP(2,1/(ISNUMBER($A$2:$A$1048576)),ROW($A$2:$A$1048576))))</f>
        <v/>
      </c>
      <c r="HR106" s="42">
        <f>AVERAGE(HR2:INDEX($HR:$HR,LOOKUP(2,1/(ISNUMBER($A$2:$A$1048576)),ROW($A$2:$A$1048576))))</f>
        <v/>
      </c>
      <c r="HS106" s="42">
        <f>AVERAGE(HS2:INDEX($HS:$HS,LOOKUP(2,1/(ISNUMBER($A$2:$A$1048576)),ROW($A$2:$A$1048576))))</f>
        <v/>
      </c>
      <c r="HT106" s="42">
        <f>AVERAGE(HT2:INDEX($HT:$HT,LOOKUP(2,1/(ISNUMBER($A$2:$A$1048576)),ROW($A$2:$A$1048576))))</f>
        <v/>
      </c>
      <c r="HU106" s="42">
        <f>AVERAGE(HU2:INDEX($HU:$HU,LOOKUP(2,1/(ISNUMBER($A$2:$A$1048576)),ROW($A$2:$A$1048576))))</f>
        <v/>
      </c>
      <c r="HV106" s="42">
        <f>AVERAGE(HV2:INDEX($HV:$HV,LOOKUP(2,1/(ISNUMBER($A$2:$A$1048576)),ROW($A$2:$A$1048576))))</f>
        <v/>
      </c>
      <c r="HW106" s="42">
        <f>AVERAGE(HW2:INDEX($HW:$HW,LOOKUP(2,1/(ISNUMBER($A$2:$A$1048576)),ROW($A$2:$A$1048576))))</f>
        <v/>
      </c>
      <c r="HX106" s="42">
        <f>AVERAGE(HX2:INDEX($HX:$HX,LOOKUP(2,1/(ISNUMBER($A$2:$A$1048576)),ROW($A$2:$A$1048576))))</f>
        <v/>
      </c>
      <c r="HY106" s="42">
        <f>AVERAGE(HY2:INDEX($HY:$HY,LOOKUP(2,1/(ISNUMBER($A$2:$A$1048576)),ROW($A$2:$A$1048576))))</f>
        <v/>
      </c>
      <c r="HZ106" s="42">
        <f>AVERAGE(HZ2:INDEX($HZ:$HZ,LOOKUP(2,1/(ISNUMBER($A$2:$A$1048576)),ROW($A$2:$A$1048576))))</f>
        <v/>
      </c>
      <c r="IA106" s="42">
        <f>AVERAGE(IA2:INDEX($IA:$IA,LOOKUP(2,1/(ISNUMBER($A$2:$A$1048576)),ROW($A$2:$A$1048576))))</f>
        <v/>
      </c>
      <c r="IB106" s="42">
        <f>AVERAGE(IB2:INDEX($IB:$IB,LOOKUP(2,1/(ISNUMBER($A$2:$A$1048576)),ROW($A$2:$A$1048576))))</f>
        <v/>
      </c>
      <c r="IC106" s="42">
        <f>AVERAGE(IC2:INDEX($IC:$IC,LOOKUP(2,1/(ISNUMBER($A$2:$A$1048576)),ROW($A$2:$A$1048576))))</f>
        <v/>
      </c>
      <c r="ID106" s="42">
        <f>AVERAGE(ID2:INDEX($ID:$ID,LOOKUP(2,1/(ISNUMBER($A$2:$A$1048576)),ROW($A$2:$A$1048576))))</f>
        <v/>
      </c>
      <c r="IE106" s="42">
        <f>AVERAGE(IE2:INDEX($IE:$IE,LOOKUP(2,1/(ISNUMBER($A$2:$A$1048576)),ROW($A$2:$A$1048576))))</f>
        <v/>
      </c>
      <c r="IF106" s="42">
        <f>AVERAGE(IF2:INDEX($IF:$IF,LOOKUP(2,1/(ISNUMBER($A$2:$A$1048576)),ROW($A$2:$A$1048576))))</f>
        <v/>
      </c>
      <c r="IG106" s="42">
        <f>AVERAGE(IG2:INDEX($IG:$IG,LOOKUP(2,1/(ISNUMBER($A$2:$A$1048576)),ROW($A$2:$A$1048576))))</f>
        <v/>
      </c>
      <c r="IH106" s="42">
        <f>AVERAGE(IH2:INDEX($IH:$IH,LOOKUP(2,1/(ISNUMBER($A$2:$A$1048576)),ROW($A$2:$A$1048576))))</f>
        <v/>
      </c>
      <c r="II106" s="42">
        <f>AVERAGE(II2:INDEX($II:$II,LOOKUP(2,1/(ISNUMBER($A$2:$A$1048576)),ROW($A$2:$A$1048576))))</f>
        <v/>
      </c>
      <c r="IJ106" s="42">
        <f>AVERAGE(IJ2:INDEX($IJ:$IJ,LOOKUP(2,1/(ISNUMBER($A$2:$A$1048576)),ROW($A$2:$A$1048576))))</f>
        <v/>
      </c>
      <c r="IK106" s="42">
        <f>AVERAGE(IK2:INDEX($IK:$IK,LOOKUP(2,1/(ISNUMBER($A$2:$A$1048576)),ROW($A$2:$A$1048576))))</f>
        <v/>
      </c>
      <c r="IL106" s="42">
        <f>AVERAGE(IL2:INDEX($IL:$IL,LOOKUP(2,1/(ISNUMBER($A$2:$A$1048576)),ROW($A$2:$A$1048576))))</f>
        <v/>
      </c>
      <c r="IM106" s="42">
        <f>AVERAGE(IM2:INDEX($IM:$IM,LOOKUP(2,1/(ISNUMBER($A$2:$A$1048576)),ROW($A$2:$A$1048576))))</f>
        <v/>
      </c>
      <c r="IN106" s="42">
        <f>AVERAGE(IN2:INDEX($IN:$IN,LOOKUP(2,1/(ISNUMBER($A$2:$A$1048576)),ROW($A$2:$A$1048576))))</f>
        <v/>
      </c>
      <c r="IO106" s="42">
        <f>AVERAGE(IO2:INDEX($IO:$IO,LOOKUP(2,1/(ISNUMBER($A$2:$A$1048576)),ROW($A$2:$A$1048576))))</f>
        <v/>
      </c>
      <c r="IP106" s="42">
        <f>AVERAGE(IP2:INDEX($IP:$IP,LOOKUP(2,1/(ISNUMBER($A$2:$A$1048576)),ROW($A$2:$A$1048576))))</f>
        <v/>
      </c>
      <c r="IQ106" s="42">
        <f>AVERAGE(IQ2:INDEX($IQ:$IQ,LOOKUP(2,1/(ISNUMBER($A$2:$A$1048576)),ROW($A$2:$A$1048576))))</f>
        <v/>
      </c>
      <c r="IR106" s="42">
        <f>AVERAGE(IR2:INDEX($IR:$IR,LOOKUP(2,1/(ISNUMBER($A$2:$A$1048576)),ROW($A$2:$A$1048576))))</f>
        <v/>
      </c>
      <c r="IS106" s="42">
        <f>AVERAGE(IS2:INDEX($IS:$IS,LOOKUP(2,1/(ISNUMBER($A$2:$A$1048576)),ROW($A$2:$A$1048576))))</f>
        <v/>
      </c>
      <c r="IT106" s="42" t="n"/>
      <c r="IU106" s="42" t="n"/>
      <c r="IV106" s="42">
        <f>AVERAGE(IV2:INDEX($IV:$IV,LOOKUP(2,1/(ISNUMBER($A$2:$A$1048576)),ROW($A$2:$A$1048576))))</f>
        <v/>
      </c>
      <c r="IW106" s="42">
        <f>AVERAGE(IW2:INDEX($IW:$IW,LOOKUP(2,1/(ISNUMBER($A$2:$A$1048576)),ROW($A$2:$A$1048576))))</f>
        <v/>
      </c>
      <c r="IX106" s="42">
        <f>AVERAGE(IX2:INDEX($IX:$IX,LOOKUP(2,1/(ISNUMBER($A$2:$A$1048576)),ROW($A$2:$A$1048576))))</f>
        <v/>
      </c>
      <c r="IY106" s="42">
        <f>AVERAGE(IY2:INDEX($IY:$IY,LOOKUP(2,1/(ISNUMBER($A$2:$A$1048576)),ROW($A$2:$A$1048576))))</f>
        <v/>
      </c>
      <c r="IZ106" s="42">
        <f>AVERAGE(IZ2:INDEX($IZ:$IZ,LOOKUP(2,1/(ISNUMBER($A$2:$A$1048576)),ROW($A$2:$A$1048576))))</f>
        <v/>
      </c>
      <c r="JA106" s="42">
        <f>AVERAGE(JA2:INDEX($JA:$JA,LOOKUP(2,1/(ISNUMBER($A$2:$A$1048576)),ROW($A$2:$A$1048576))))</f>
        <v/>
      </c>
      <c r="JB106" s="42">
        <f>AVERAGE(JB2:INDEX($JB:$JB,LOOKUP(2,1/(ISNUMBER($A$2:$A$1048576)),ROW($A$2:$A$1048576))))</f>
        <v/>
      </c>
      <c r="JC106" s="42">
        <f>AVERAGE(JC2:INDEX($JC:$JC,LOOKUP(2,1/(ISNUMBER($A$2:$A$1048576)),ROW($A$2:$A$1048576))))</f>
        <v/>
      </c>
      <c r="JD106" s="42">
        <f>AVERAGE(JD2:INDEX($JD:$JD,LOOKUP(2,1/(ISNUMBER($A$2:$A$1048576)),ROW($A$2:$A$1048576))))</f>
        <v/>
      </c>
      <c r="JE106" s="42">
        <f>AVERAGE(JE2:INDEX($JE:$JE,LOOKUP(2,1/(ISNUMBER($A$2:$A$1048576)),ROW($A$2:$A$1048576))))</f>
        <v/>
      </c>
      <c r="JF106" s="42">
        <f>AVERAGE(JF2:INDEX($JF:$JF,LOOKUP(2,1/(ISNUMBER($A$2:$A$1048576)),ROW($A$2:$A$1048576))))</f>
        <v/>
      </c>
      <c r="JG106" s="42">
        <f>AVERAGE(JG2:INDEX($JG:$JG,LOOKUP(2,1/(ISNUMBER($A$2:$A$1048576)),ROW($A$2:$A$1048576))))</f>
        <v/>
      </c>
      <c r="JH106" s="42">
        <f>AVERAGE(JH2:INDEX($JH:$JH,LOOKUP(2,1/(ISNUMBER($A$2:$A$1048576)),ROW($A$2:$A$1048576))))</f>
        <v/>
      </c>
    </row>
    <row r="107">
      <c r="A107" s="13" t="inlineStr">
        <is>
          <t>STDEV</t>
        </is>
      </c>
      <c r="B107" s="41" t="n"/>
      <c r="C107" s="12" t="n"/>
      <c r="D107" s="12" t="n"/>
      <c r="E107" s="12" t="n"/>
      <c r="F107" s="12" t="n"/>
      <c r="G107" s="12" t="n"/>
      <c r="H107" s="12" t="n"/>
      <c r="I107" s="12" t="n"/>
      <c r="J107" s="18">
        <f>STDEV(J2:INDEX($J:$J,LOOKUP(2,1/(ISNUMBER($A$2:$A$1048576)),ROW($A$2:$A$1048576))))</f>
        <v/>
      </c>
      <c r="K107" s="18" t="n"/>
      <c r="L107" s="18">
        <f>STDEV(L2:INDEX($L:$L,LOOKUP(2,1/(ISNUMBER($A$2:$A$1048576)),ROW($A$2:$A$1048576))))</f>
        <v/>
      </c>
      <c r="M107" s="18" t="n"/>
      <c r="N107" s="18">
        <f>STDEV(N2:INDEX($N:$N,LOOKUP(2,1/(ISNUMBER($A$2:$A$1048576)),ROW($A$2:$A$1048576))))</f>
        <v/>
      </c>
      <c r="O107" s="18" t="n"/>
      <c r="P107" s="18">
        <f>STDEV(P2:INDEX($P:$P,LOOKUP(2,1/(ISNUMBER($A$2:$A$1048576)),ROW($A$2:$A$1048576))))</f>
        <v/>
      </c>
      <c r="Q107" s="18" t="n"/>
      <c r="R107" s="18">
        <f>STDEV(R2:INDEX($R:$R,LOOKUP(2,1/(ISNUMBER($A$2:$A$1048576)),ROW($A$2:$A$1048576))))</f>
        <v/>
      </c>
      <c r="S107" s="18" t="n"/>
      <c r="T107" s="18" t="n"/>
      <c r="U107" s="18">
        <f>STDEV(U2:INDEX($U:$U,LOOKUP(2,1/(ISNUMBER($A$2:$A$1048576)),ROW($A$2:$A$1048576))))</f>
        <v/>
      </c>
      <c r="V107" s="18" t="n"/>
      <c r="W107" s="18" t="n"/>
      <c r="X107" s="18">
        <f>STDEV(X2:INDEX($X:$X,LOOKUP(2,1/(ISNUMBER($A$2:$A$1048576)),ROW($A$2:$A$1048576))))</f>
        <v/>
      </c>
      <c r="Y107" s="18">
        <f>STDEV(Y2:INDEX($Y:$Y,LOOKUP(2,1/(ISNUMBER($A$2:$A$1048576)),ROW($A$2:$A$1048576))))</f>
        <v/>
      </c>
      <c r="Z107" s="18" t="n"/>
      <c r="AA107" s="18" t="n"/>
      <c r="AB107" s="18">
        <f>STDEV(AB2:INDEX($AB:$AB,LOOKUP(2,1/(ISNUMBER($A$2:$A$1048576)),ROW($A$2:$A$1048576))))</f>
        <v/>
      </c>
      <c r="AC107" s="18" t="n"/>
      <c r="AD107" s="18" t="n"/>
      <c r="AE107" s="18">
        <f>STDEV(AE2:INDEX($AE:$AE,LOOKUP(2,1/(ISNUMBER($A$2:$A$1048576)),ROW($A$2:$A$1048576))))</f>
        <v/>
      </c>
      <c r="AF107" s="18" t="n"/>
      <c r="AG107" s="18" t="n"/>
      <c r="AH107" s="18">
        <f>STDEV(AH2:INDEX($AH:$AH,LOOKUP(2,1/(ISNUMBER($A$2:$A$1048576)),ROW($A$2:$A$1048576))))</f>
        <v/>
      </c>
      <c r="AI107" s="18">
        <f>STDEV(AI2:INDEX($AI:$AI,LOOKUP(2,1/(ISNUMBER($A$2:$A$1048576)),ROW($A$2:$A$1048576))))</f>
        <v/>
      </c>
      <c r="AJ107" s="18">
        <f>STDEV(AJ2:INDEX($AJ:$AJ,LOOKUP(2,1/(ISNUMBER($A$2:$A$1048576)),ROW($A$2:$A$1048576))))</f>
        <v/>
      </c>
      <c r="AK107" s="18">
        <f>STDEV(AK2:INDEX($AK:$AK,LOOKUP(2,1/(ISNUMBER($A$2:$A$1048576)),ROW($A$2:$A$1048576))))</f>
        <v/>
      </c>
      <c r="AL107" s="18">
        <f>STDEV(AL2:INDEX($AL:$AL,LOOKUP(2,1/(ISNUMBER($A$2:$A$1048576)),ROW($A$2:$A$1048576))))</f>
        <v/>
      </c>
      <c r="AM107" s="18">
        <f>STDEV(AM2:INDEX($AM:$AM,LOOKUP(2,1/(ISNUMBER($A$2:$A$1048576)),ROW($A$2:$A$1048576))))</f>
        <v/>
      </c>
      <c r="AN107" s="18">
        <f>STDEV(AN2:INDEX($AN:$AN,LOOKUP(2,1/(ISNUMBER($A$2:$A$1048576)),ROW($A$2:$A$1048576))))</f>
        <v/>
      </c>
      <c r="AO107" s="18">
        <f>STDEV(AO2:INDEX($AO:$AO,LOOKUP(2,1/(ISNUMBER($A$2:$A$1048576)),ROW($A$2:$A$1048576))))</f>
        <v/>
      </c>
      <c r="AP107" s="18">
        <f>STDEV(AP2:INDEX($AP:$AP,LOOKUP(2,1/(ISNUMBER($A$2:$A$1048576)),ROW($A$2:$A$1048576))))</f>
        <v/>
      </c>
      <c r="AQ107" s="18">
        <f>STDEV(AQ2:INDEX($AQ:$AQ,LOOKUP(2,1/(ISNUMBER($A$2:$A$1048576)),ROW($A$2:$A$1048576))))</f>
        <v/>
      </c>
      <c r="AR107" s="18">
        <f>STDEV(AR2:INDEX($AR:$AR,LOOKUP(2,1/(ISNUMBER($A$2:$A$1048576)),ROW($A$2:$A$1048576))))</f>
        <v/>
      </c>
      <c r="AS107" s="18">
        <f>STDEV(AS2:INDEX($AS:$AS,LOOKUP(2,1/(ISNUMBER($A$2:$A$1048576)),ROW($A$2:$A$1048576))))</f>
        <v/>
      </c>
      <c r="AT107" s="18" t="n"/>
      <c r="AU107" s="18" t="n"/>
      <c r="AV107" s="18">
        <f>STDEV(AV2:INDEX($AV:$AV,LOOKUP(2,1/(ISNUMBER($A$2:$A$1048576)),ROW($A$2:$A$1048576))))</f>
        <v/>
      </c>
      <c r="AW107" s="18" t="n"/>
      <c r="AX107" s="18">
        <f>STDEV(AX2:INDEX($AX:$AX,LOOKUP(2,1/(ISNUMBER($A$2:$A$1048576)),ROW($A$2:$A$1048576))))</f>
        <v/>
      </c>
      <c r="AY107" s="18">
        <f>STDEV(AY2:INDEX($AY:$AY,LOOKUP(2,1/(ISNUMBER($A$2:$A$1048576)),ROW($A$2:$A$1048576))))</f>
        <v/>
      </c>
      <c r="AZ107" s="18">
        <f>STDEV(AZ2:INDEX($AZ:$AZ,LOOKUP(2,1/(ISNUMBER($A$2:$A$1048576)),ROW($A$2:$A$1048576))))</f>
        <v/>
      </c>
      <c r="BA107" s="18">
        <f>STDEV(BA2:INDEX($BA:$BA,LOOKUP(2,1/(ISNUMBER($A$2:$A$1048576)),ROW($A$2:$A$1048576))))</f>
        <v/>
      </c>
      <c r="BB107" s="18">
        <f>STDEV(BB2:INDEX($BB:$BB,LOOKUP(2,1/(ISNUMBER($A$2:$A$1048576)),ROW($A$2:$A$1048576))))</f>
        <v/>
      </c>
      <c r="BC107" s="18">
        <f>STDEV(BC2:INDEX($BC:$BC,LOOKUP(2,1/(ISNUMBER($A$2:$A$1048576)),ROW($A$2:$A$1048576))))</f>
        <v/>
      </c>
      <c r="BD107" s="18">
        <f>STDEV(BD2:INDEX($BD:$BD,LOOKUP(2,1/(ISNUMBER($A$2:$A$1048576)),ROW($A$2:$A$1048576))))</f>
        <v/>
      </c>
      <c r="BE107" s="18">
        <f>STDEV(BE2:INDEX($BE:$BE,LOOKUP(2,1/(ISNUMBER($A$2:$A$1048576)),ROW($A$2:$A$1048576))))</f>
        <v/>
      </c>
      <c r="BF107" s="18" t="n"/>
      <c r="BG107" s="18" t="n"/>
      <c r="BH107" s="18">
        <f>STDEV(BH2:INDEX($BH:$BH,LOOKUP(2,1/(ISNUMBER($A$2:$A$1048576)),ROW($A$2:$A$1048576))))</f>
        <v/>
      </c>
      <c r="BI107" s="18">
        <f>STDEV(BI2:INDEX($BI:$BI,LOOKUP(2,1/(ISNUMBER($A$2:$A$1048576)),ROW($A$2:$A$1048576))))</f>
        <v/>
      </c>
      <c r="BJ107" s="18">
        <f>STDEV(BJ2:INDEX($BJ:$BJ,LOOKUP(2,1/(ISNUMBER($A$2:$A$1048576)),ROW($A$2:$A$1048576))))</f>
        <v/>
      </c>
      <c r="BK107" s="18">
        <f>STDEV(BK2:INDEX($BK:$BK,LOOKUP(2,1/(ISNUMBER($A$2:$A$1048576)),ROW($A$2:$A$1048576))))</f>
        <v/>
      </c>
      <c r="BL107" s="18">
        <f>STDEV(BL2:INDEX($BL:$BL,LOOKUP(2,1/(ISNUMBER($A$2:$A$1048576)),ROW($A$2:$A$1048576))))</f>
        <v/>
      </c>
      <c r="BM107" s="18">
        <f>STDEV(BM2:INDEX($BM:$BM,LOOKUP(2,1/(ISNUMBER($A$2:$A$1048576)),ROW($A$2:$A$1048576))))</f>
        <v/>
      </c>
      <c r="BN107" s="18">
        <f>STDEV(BN2:INDEX($BN:$BN,LOOKUP(2,1/(ISNUMBER($A$2:$A$1048576)),ROW($A$2:$A$1048576))))</f>
        <v/>
      </c>
      <c r="BO107" s="18">
        <f>STDEV(BO2:INDEX($BO:$BO,LOOKUP(2,1/(ISNUMBER($A$2:$A$1048576)),ROW($A$2:$A$1048576))))</f>
        <v/>
      </c>
      <c r="BP107" s="18">
        <f>STDEV(BP2:INDEX($BP:$BP,LOOKUP(2,1/(ISNUMBER($A$2:$A$1048576)),ROW($A$2:$A$1048576))))</f>
        <v/>
      </c>
      <c r="BQ107" s="18">
        <f>STDEV(BQ2:INDEX($BQ:$BQ,LOOKUP(2,1/(ISNUMBER($A$2:$A$1048576)),ROW($A$2:$A$1048576))))</f>
        <v/>
      </c>
      <c r="BR107" s="18">
        <f>STDEV(BR2:INDEX($BR:$BR,LOOKUP(2,1/(ISNUMBER($A$2:$A$1048576)),ROW($A$2:$A$1048576))))</f>
        <v/>
      </c>
      <c r="BS107" s="18">
        <f>STDEV(BS2:INDEX($BS:$BS,LOOKUP(2,1/(ISNUMBER($A$2:$A$1048576)),ROW($A$2:$A$1048576))))</f>
        <v/>
      </c>
      <c r="BT107" s="18">
        <f>STDEV(BT2:INDEX($BT:$BT,LOOKUP(2,1/(ISNUMBER($A$2:$A$1048576)),ROW($A$2:$A$1048576))))</f>
        <v/>
      </c>
      <c r="BU107" s="18">
        <f>STDEV(BU2:INDEX($BU:$BU,LOOKUP(2,1/(ISNUMBER($A$2:$A$1048576)),ROW($A$2:$A$1048576))))</f>
        <v/>
      </c>
      <c r="BV107" s="18">
        <f>STDEV(BV2:INDEX($BV:$BV,LOOKUP(2,1/(ISNUMBER($A$2:$A$1048576)),ROW($A$2:$A$1048576))))</f>
        <v/>
      </c>
      <c r="BW107" s="18">
        <f>STDEV(BW2:INDEX($BW:$BW,LOOKUP(2,1/(ISNUMBER($A$2:$A$1048576)),ROW($A$2:$A$1048576))))</f>
        <v/>
      </c>
      <c r="BX107" s="18">
        <f>STDEV(BX2:INDEX($BX:$BX,LOOKUP(2,1/(ISNUMBER($A$2:$A$1048576)),ROW($A$2:$A$1048576))))</f>
        <v/>
      </c>
      <c r="BY107" s="18">
        <f>STDEV(BY2:INDEX($BY:$BY,LOOKUP(2,1/(ISNUMBER($A$2:$A$1048576)),ROW($A$2:$A$1048576))))</f>
        <v/>
      </c>
      <c r="BZ107" s="18">
        <f>STDEV(BZ2:INDEX($BZ:$BZ,LOOKUP(2,1/(ISNUMBER($A$2:$A$1048576)),ROW($A$2:$A$1048576))))</f>
        <v/>
      </c>
      <c r="CA107" s="18">
        <f>STDEV(CA2:INDEX($CA:$CA,LOOKUP(2,1/(ISNUMBER($A$2:$A$1048576)),ROW($A$2:$A$1048576))))</f>
        <v/>
      </c>
      <c r="CB107" s="18">
        <f>STDEV(CB2:INDEX($CB:$CB,LOOKUP(2,1/(ISNUMBER($A$2:$A$1048576)),ROW($A$2:$A$1048576))))</f>
        <v/>
      </c>
      <c r="CC107" s="18" t="n"/>
      <c r="CD107" s="18" t="n"/>
      <c r="CE107" s="18">
        <f>STDEV(CE2:INDEX($CE:$CE,LOOKUP(2,1/(ISNUMBER($A$2:$A$1048576)),ROW($A$2:$A$1048576))))</f>
        <v/>
      </c>
      <c r="CF107" s="18" t="n"/>
      <c r="CG107" s="18" t="n"/>
      <c r="CH107" s="18">
        <f>STDEV(CH2:INDEX($CH:$CH,LOOKUP(2,1/(ISNUMBER($A$2:$A$1048576)),ROW($A$2:$A$1048576))))</f>
        <v/>
      </c>
      <c r="CI107" s="18">
        <f>STDEV(CI2:INDEX($CI:$CI,LOOKUP(2,1/(ISNUMBER($A$2:$A$1048576)),ROW($A$2:$A$1048576))))</f>
        <v/>
      </c>
      <c r="CJ107" s="18">
        <f>STDEV(CJ2:INDEX($CJ:$CJ,LOOKUP(2,1/(ISNUMBER($A$2:$A$1048576)),ROW($A$2:$A$1048576))))</f>
        <v/>
      </c>
      <c r="CK107" s="18" t="n"/>
      <c r="CL107" s="18" t="n"/>
      <c r="CM107" s="18">
        <f>STDEV(CM2:INDEX($CM:$CM,LOOKUP(2,1/(ISNUMBER($A$2:$A$1048576)),ROW($A$2:$A$1048576))))</f>
        <v/>
      </c>
      <c r="CN107" s="18">
        <f>STDEV(CN2:INDEX($CN:$CN,LOOKUP(2,1/(ISNUMBER($A$2:$A$1048576)),ROW($A$2:$A$1048576))))</f>
        <v/>
      </c>
      <c r="CO107" s="18">
        <f>STDEV(CO2:INDEX($CO:$CO,LOOKUP(2,1/(ISNUMBER($A$2:$A$1048576)),ROW($A$2:$A$1048576))))</f>
        <v/>
      </c>
      <c r="CP107" s="18">
        <f>STDEV(CP2:INDEX($CP:$CP,LOOKUP(2,1/(ISNUMBER($A$2:$A$1048576)),ROW($A$2:$A$1048576))))</f>
        <v/>
      </c>
      <c r="CQ107" s="18">
        <f>STDEV(CQ2:INDEX($CQ:$CQ,LOOKUP(2,1/(ISNUMBER($A$2:$A$1048576)),ROW($A$2:$A$1048576))))</f>
        <v/>
      </c>
      <c r="CR107" s="18">
        <f>STDEV(CR2:INDEX($CR:$CR,LOOKUP(2,1/(ISNUMBER($A$2:$A$1048576)),ROW($A$2:$A$1048576))))</f>
        <v/>
      </c>
      <c r="CS107" s="18" t="n"/>
      <c r="CT107" s="18" t="n"/>
      <c r="CU107" s="18">
        <f>STDEV(CU2:INDEX($CU:$CU,LOOKUP(2,1/(ISNUMBER($A$2:$A$1048576)),ROW($A$2:$A$1048576))))</f>
        <v/>
      </c>
      <c r="CV107" s="18" t="n"/>
      <c r="CW107" s="18" t="n"/>
      <c r="CX107" s="18">
        <f>STDEV(CX2:INDEX($CX:$CX,LOOKUP(2,1/(ISNUMBER($A$2:$A$1048576)),ROW($A$2:$A$1048576))))</f>
        <v/>
      </c>
      <c r="CY107" s="18">
        <f>STDEV(CY2:INDEX($CY:$CY,LOOKUP(2,1/(ISNUMBER($A$2:$A$1048576)),ROW($A$2:$A$1048576))))</f>
        <v/>
      </c>
      <c r="CZ107" s="18">
        <f>STDEV(CZ2:INDEX($CZ:$CZ,LOOKUP(2,1/(ISNUMBER($A$2:$A$1048576)),ROW($A$2:$A$1048576))))</f>
        <v/>
      </c>
      <c r="DA107" s="18">
        <f>STDEV(DA2:INDEX($DA:$DA,LOOKUP(2,1/(ISNUMBER($A$2:$A$1048576)),ROW($A$2:$A$1048576))))</f>
        <v/>
      </c>
      <c r="DB107" s="18">
        <f>STDEV(DB2:INDEX($DB:$DB,LOOKUP(2,1/(ISNUMBER($A$2:$A$1048576)),ROW($A$2:$A$1048576))))</f>
        <v/>
      </c>
      <c r="DC107" s="18">
        <f>STDEV(DC2:INDEX($DC:$DC,LOOKUP(2,1/(ISNUMBER($A$2:$A$1048576)),ROW($A$2:$A$1048576))))</f>
        <v/>
      </c>
      <c r="DD107" s="18">
        <f>STDEV(DD2:INDEX($DD:$DD,LOOKUP(2,1/(ISNUMBER($A$2:$A$1048576)),ROW($A$2:$A$1048576))))</f>
        <v/>
      </c>
      <c r="DE107" s="18">
        <f>STDEV(DE2:INDEX($DE:$DE,LOOKUP(2,1/(ISNUMBER($A$2:$A$1048576)),ROW($A$2:$A$1048576))))</f>
        <v/>
      </c>
      <c r="DF107" s="18">
        <f>STDEV(DF2:INDEX($DF:$DF,LOOKUP(2,1/(ISNUMBER($A$2:$A$1048576)),ROW($A$2:$A$1048576))))</f>
        <v/>
      </c>
      <c r="DG107" s="18">
        <f>STDEV(DG2:INDEX($DG:$DG,LOOKUP(2,1/(ISNUMBER($A$2:$A$1048576)),ROW($A$2:$A$1048576))))</f>
        <v/>
      </c>
      <c r="DH107" s="18">
        <f>STDEV(DH2:INDEX($DH:$DH,LOOKUP(2,1/(ISNUMBER($A$2:$A$1048576)),ROW($A$2:$A$1048576))))</f>
        <v/>
      </c>
      <c r="DI107" s="18" t="n"/>
      <c r="DJ107" s="18" t="n"/>
      <c r="DK107" s="18">
        <f>STDEV(DK2:INDEX($DK:$DK,LOOKUP(2,1/(ISNUMBER($A$2:$A$1048576)),ROW($A$2:$A$1048576))))</f>
        <v/>
      </c>
      <c r="DL107" s="18">
        <f>STDEV(DL2:INDEX($DL:$DL,LOOKUP(2,1/(ISNUMBER($A$2:$A$1048576)),ROW($A$2:$A$1048576))))</f>
        <v/>
      </c>
      <c r="DM107" s="18">
        <f>STDEV(DM2:INDEX($DM:$DM,LOOKUP(2,1/(ISNUMBER($A$2:$A$1048576)),ROW($A$2:$A$1048576))))</f>
        <v/>
      </c>
      <c r="DN107" s="18">
        <f>STDEV(DN2:INDEX($DN:$DN,LOOKUP(2,1/(ISNUMBER($A$2:$A$1048576)),ROW($A$2:$A$1048576))))</f>
        <v/>
      </c>
      <c r="DO107" s="18">
        <f>STDEV(DO2:INDEX($DO:$DO,LOOKUP(2,1/(ISNUMBER($A$2:$A$1048576)),ROW($A$2:$A$1048576))))</f>
        <v/>
      </c>
      <c r="DP107" s="18">
        <f>STDEV(DP2:INDEX($DP:$DP,LOOKUP(2,1/(ISNUMBER($A$2:$A$1048576)),ROW($A$2:$A$1048576))))</f>
        <v/>
      </c>
      <c r="DQ107" s="18" t="n"/>
      <c r="DR107" s="18" t="n"/>
      <c r="DS107" s="18">
        <f>STDEV(DS2:INDEX($DS:$DS,LOOKUP(2,1/(ISNUMBER($A$2:$A$1048576)),ROW($A$2:$A$1048576))))</f>
        <v/>
      </c>
      <c r="DT107" s="18">
        <f>STDEV(DT2:INDEX($DT:$DT,LOOKUP(2,1/(ISNUMBER($A$2:$A$1048576)),ROW($A$2:$A$1048576))))</f>
        <v/>
      </c>
      <c r="DU107" s="18">
        <f>STDEV(DU2:INDEX($DU:$DU,LOOKUP(2,1/(ISNUMBER($A$2:$A$1048576)),ROW($A$2:$A$1048576))))</f>
        <v/>
      </c>
      <c r="DV107" s="18">
        <f>STDEV(DV2:INDEX($DV:$DV,LOOKUP(2,1/(ISNUMBER($A$2:$A$1048576)),ROW($A$2:$A$1048576))))</f>
        <v/>
      </c>
      <c r="DW107" s="18">
        <f>STDEV(DW2:INDEX($DW:$DW,LOOKUP(2,1/(ISNUMBER($A$2:$A$1048576)),ROW($A$2:$A$1048576))))</f>
        <v/>
      </c>
      <c r="DX107" s="18">
        <f>STDEV(DX2:INDEX($DX:$DX,LOOKUP(2,1/(ISNUMBER($A$2:$A$1048576)),ROW($A$2:$A$1048576))))</f>
        <v/>
      </c>
      <c r="DY107" s="18">
        <f>STDEV(DY2:INDEX($DY:$DY,LOOKUP(2,1/(ISNUMBER($A$2:$A$1048576)),ROW($A$2:$A$1048576))))</f>
        <v/>
      </c>
      <c r="DZ107" s="18">
        <f>STDEV(DZ2:INDEX($DZ:$DZ,LOOKUP(2,1/(ISNUMBER($A$2:$A$1048576)),ROW($A$2:$A$1048576))))</f>
        <v/>
      </c>
      <c r="EA107" s="18">
        <f>STDEV(EA2:INDEX($EA:$EA,LOOKUP(2,1/(ISNUMBER($A$2:$A$1048576)),ROW($A$2:$A$1048576))))</f>
        <v/>
      </c>
      <c r="EB107" s="18">
        <f>STDEV(EB2:INDEX($EB:$EB,LOOKUP(2,1/(ISNUMBER($A$2:$A$1048576)),ROW($A$2:$A$1048576))))</f>
        <v/>
      </c>
      <c r="EC107" s="18">
        <f>STDEV(EC2:INDEX($EC:$EC,LOOKUP(2,1/(ISNUMBER($A$2:$A$1048576)),ROW($A$2:$A$1048576))))</f>
        <v/>
      </c>
      <c r="ED107" s="18">
        <f>STDEV(ED2:INDEX($ED:$ED,LOOKUP(2,1/(ISNUMBER($A$2:$A$1048576)),ROW($A$2:$A$1048576))))</f>
        <v/>
      </c>
      <c r="EE107" s="18" t="n"/>
      <c r="EF107" s="18" t="n"/>
      <c r="EG107" s="18">
        <f>STDEV(EG2:INDEX($EG:$EG,LOOKUP(2,1/(ISNUMBER($A$2:$A$1048576)),ROW($A$2:$A$1048576))))</f>
        <v/>
      </c>
      <c r="EH107" s="18">
        <f>STDEV(EH2:INDEX($EH:$EH,LOOKUP(2,1/(ISNUMBER($A$2:$A$1048576)),ROW($A$2:$A$1048576))))</f>
        <v/>
      </c>
      <c r="EI107" s="18">
        <f>STDEV(EI2:INDEX($EI:$EI,LOOKUP(2,1/(ISNUMBER($A$2:$A$1048576)),ROW($A$2:$A$1048576))))</f>
        <v/>
      </c>
      <c r="EJ107" s="18" t="n"/>
      <c r="EK107" s="18" t="n"/>
      <c r="EL107" s="18">
        <f>STDEV(EL2:INDEX($EL:$EL,LOOKUP(2,1/(ISNUMBER($A$2:$A$1048576)),ROW($A$2:$A$1048576))))</f>
        <v/>
      </c>
      <c r="EM107" s="18">
        <f>STDEV(EM2:INDEX($EM:$EM,LOOKUP(2,1/(ISNUMBER($A$2:$A$1048576)),ROW($A$2:$A$1048576))))</f>
        <v/>
      </c>
      <c r="EN107" s="18">
        <f>STDEV(EN2:INDEX($EN:$EN,LOOKUP(2,1/(ISNUMBER($A$2:$A$1048576)),ROW($A$2:$A$1048576))))</f>
        <v/>
      </c>
      <c r="EO107" s="18">
        <f>STDEV(EO2:INDEX($EO:$EO,LOOKUP(2,1/(ISNUMBER($A$2:$A$1048576)),ROW($A$2:$A$1048576))))</f>
        <v/>
      </c>
      <c r="EP107" s="18">
        <f>STDEV(EP2:INDEX($EP:$EP,LOOKUP(2,1/(ISNUMBER($A$2:$A$1048576)),ROW($A$2:$A$1048576))))</f>
        <v/>
      </c>
      <c r="EQ107" s="18">
        <f>STDEV(EQ2:INDEX($EQ:$EQ,LOOKUP(2,1/(ISNUMBER($A$2:$A$1048576)),ROW($A$2:$A$1048576))))</f>
        <v/>
      </c>
      <c r="ER107" s="18">
        <f>STDEV(ER2:INDEX($ER:$ER,LOOKUP(2,1/(ISNUMBER($A$2:$A$1048576)),ROW($A$2:$A$1048576))))</f>
        <v/>
      </c>
      <c r="ES107" s="18">
        <f>STDEV(ES2:INDEX($ES:$ES,LOOKUP(2,1/(ISNUMBER($A$2:$A$1048576)),ROW($A$2:$A$1048576))))</f>
        <v/>
      </c>
      <c r="ET107" s="18">
        <f>STDEV(ET2:INDEX($ET:$ET,LOOKUP(2,1/(ISNUMBER($A$2:$A$1048576)),ROW($A$2:$A$1048576))))</f>
        <v/>
      </c>
      <c r="EU107" s="18">
        <f>STDEV(EU2:INDEX($EU:$EU,LOOKUP(2,1/(ISNUMBER($A$2:$A$1048576)),ROW($A$2:$A$1048576))))</f>
        <v/>
      </c>
      <c r="EV107" s="18">
        <f>STDEV(EV2:INDEX($EV:$EV,LOOKUP(2,1/(ISNUMBER($A$2:$A$1048576)),ROW($A$2:$A$1048576))))</f>
        <v/>
      </c>
      <c r="EW107" s="18">
        <f>STDEV(EW2:INDEX($EW:$EW,LOOKUP(2,1/(ISNUMBER($A$2:$A$1048576)),ROW($A$2:$A$1048576))))</f>
        <v/>
      </c>
      <c r="EX107" s="18" t="n"/>
      <c r="EY107" s="18" t="n"/>
      <c r="EZ107" s="18">
        <f>STDEV(EZ2:INDEX($EZ:$EZ,LOOKUP(2,1/(ISNUMBER($A$2:$A$1048576)),ROW($A$2:$A$1048576))))</f>
        <v/>
      </c>
      <c r="FA107" s="18">
        <f>STDEV(FA2:INDEX($FA:$FA,LOOKUP(2,1/(ISNUMBER($A$2:$A$1048576)),ROW($A$2:$A$1048576))))</f>
        <v/>
      </c>
      <c r="FB107" s="18" t="n"/>
      <c r="FC107" s="18" t="n"/>
      <c r="FD107" s="18">
        <f>STDEV(FD2:INDEX($FD:$FD,LOOKUP(2,1/(ISNUMBER($A$2:$A$1048576)),ROW($A$2:$A$1048576))))</f>
        <v/>
      </c>
      <c r="FE107" s="18">
        <f>STDEV(FE2:INDEX($FE:$FE,LOOKUP(2,1/(ISNUMBER($A$2:$A$1048576)),ROW($A$2:$A$1048576))))</f>
        <v/>
      </c>
      <c r="FF107" s="18" t="n"/>
      <c r="FG107" s="18" t="n"/>
      <c r="FH107" s="18">
        <f>STDEV(FH2:INDEX($FH:$FH,LOOKUP(2,1/(ISNUMBER($A$2:$A$1048576)),ROW($A$2:$A$1048576))))</f>
        <v/>
      </c>
      <c r="FI107" s="18">
        <f>STDEV(FI2:INDEX($FI:$FI,LOOKUP(2,1/(ISNUMBER($A$2:$A$1048576)),ROW($A$2:$A$1048576))))</f>
        <v/>
      </c>
      <c r="FJ107" s="18">
        <f>STDEV(FJ2:INDEX($FJ:$FJ,LOOKUP(2,1/(ISNUMBER($A$2:$A$1048576)),ROW($A$2:$A$1048576))))</f>
        <v/>
      </c>
      <c r="FK107" s="18">
        <f>STDEV(FK2:INDEX($FK:$FK,LOOKUP(2,1/(ISNUMBER($A$2:$A$1048576)),ROW($A$2:$A$1048576))))</f>
        <v/>
      </c>
      <c r="FL107" s="18" t="n"/>
      <c r="FM107" s="18" t="n"/>
      <c r="FN107" s="18">
        <f>STDEV(FN2:INDEX($FN:$FN,LOOKUP(2,1/(ISNUMBER($A$2:$A$1048576)),ROW($A$2:$A$1048576))))</f>
        <v/>
      </c>
      <c r="FO107" s="18">
        <f>STDEV(FO2:INDEX($FO:$FO,LOOKUP(2,1/(ISNUMBER($A$2:$A$1048576)),ROW($A$2:$A$1048576))))</f>
        <v/>
      </c>
      <c r="FP107" s="18">
        <f>STDEV(FP2:INDEX($FP:$FP,LOOKUP(2,1/(ISNUMBER($A$2:$A$1048576)),ROW($A$2:$A$1048576))))</f>
        <v/>
      </c>
      <c r="FQ107" s="18">
        <f>STDEV(FQ2:INDEX($FQ:$FQ,LOOKUP(2,1/(ISNUMBER($A$2:$A$1048576)),ROW($A$2:$A$1048576))))</f>
        <v/>
      </c>
      <c r="FR107" s="18">
        <f>STDEV(FR2:INDEX($FR:$FR,LOOKUP(2,1/(ISNUMBER($A$2:$A$1048576)),ROW($A$2:$A$1048576))))</f>
        <v/>
      </c>
      <c r="FS107" s="18">
        <f>STDEV(FS2:INDEX($FS:$FS,LOOKUP(2,1/(ISNUMBER($A$2:$A$1048576)),ROW($A$2:$A$1048576))))</f>
        <v/>
      </c>
      <c r="FT107" s="18">
        <f>STDEV(FT2:INDEX($FT:$FT,LOOKUP(2,1/(ISNUMBER($A$2:$A$1048576)),ROW($A$2:$A$1048576))))</f>
        <v/>
      </c>
      <c r="FU107" s="18">
        <f>STDEV(FU2:INDEX($FU:$FU,LOOKUP(2,1/(ISNUMBER($A$2:$A$1048576)),ROW($A$2:$A$1048576))))</f>
        <v/>
      </c>
      <c r="FV107" s="18">
        <f>STDEV(FV2:INDEX($FV:$FV,LOOKUP(2,1/(ISNUMBER($A$2:$A$1048576)),ROW($A$2:$A$1048576))))</f>
        <v/>
      </c>
      <c r="FW107" s="18">
        <f>STDEV(FW2:INDEX($FW:$FW,LOOKUP(2,1/(ISNUMBER($A$2:$A$1048576)),ROW($A$2:$A$1048576))))</f>
        <v/>
      </c>
      <c r="FX107" s="18">
        <f>STDEV(FX2:INDEX($FX:$FX,LOOKUP(2,1/(ISNUMBER($A$2:$A$1048576)),ROW($A$2:$A$1048576))))</f>
        <v/>
      </c>
      <c r="FY107" s="18">
        <f>STDEV(FY2:INDEX($FY:$FY,LOOKUP(2,1/(ISNUMBER($A$2:$A$1048576)),ROW($A$2:$A$1048576))))</f>
        <v/>
      </c>
      <c r="FZ107" s="18">
        <f>STDEV(FZ2:INDEX($FZ:$FZ,LOOKUP(2,1/(ISNUMBER($A$2:$A$1048576)),ROW($A$2:$A$1048576))))</f>
        <v/>
      </c>
      <c r="GA107" s="18">
        <f>STDEV(GA2:INDEX($GA:$GA,LOOKUP(2,1/(ISNUMBER($A$2:$A$1048576)),ROW($A$2:$A$1048576))))</f>
        <v/>
      </c>
      <c r="GB107" s="18">
        <f>STDEV(GB2:INDEX($GB:$GB,LOOKUP(2,1/(ISNUMBER($A$2:$A$1048576)),ROW($A$2:$A$1048576))))</f>
        <v/>
      </c>
      <c r="GC107" s="18">
        <f>STDEV(GC2:INDEX($GC:$GC,LOOKUP(2,1/(ISNUMBER($A$2:$A$1048576)),ROW($A$2:$A$1048576))))</f>
        <v/>
      </c>
      <c r="GD107" s="18">
        <f>STDEV(GD2:INDEX($GD:$GD,LOOKUP(2,1/(ISNUMBER($A$2:$A$1048576)),ROW($A$2:$A$1048576))))</f>
        <v/>
      </c>
      <c r="GE107" s="18">
        <f>STDEV(GE2:INDEX($GE:$GE,LOOKUP(2,1/(ISNUMBER($A$2:$A$1048576)),ROW($A$2:$A$1048576))))</f>
        <v/>
      </c>
      <c r="GF107" s="18">
        <f>STDEV(GF2:INDEX($GF:$GF,LOOKUP(2,1/(ISNUMBER($A$2:$A$1048576)),ROW($A$2:$A$1048576))))</f>
        <v/>
      </c>
      <c r="GG107" s="18">
        <f>STDEV(GG2:INDEX($GG:$GG,LOOKUP(2,1/(ISNUMBER($A$2:$A$1048576)),ROW($A$2:$A$1048576))))</f>
        <v/>
      </c>
      <c r="GH107" s="18">
        <f>STDEV(GH2:INDEX($GH:$GH,LOOKUP(2,1/(ISNUMBER($A$2:$A$1048576)),ROW($A$2:$A$1048576))))</f>
        <v/>
      </c>
      <c r="GI107" s="18">
        <f>STDEV(GI2:INDEX($GI:$GI,LOOKUP(2,1/(ISNUMBER($A$2:$A$1048576)),ROW($A$2:$A$1048576))))</f>
        <v/>
      </c>
      <c r="GJ107" s="18">
        <f>STDEV(GJ2:INDEX($GJ:$GJ,LOOKUP(2,1/(ISNUMBER($A$2:$A$1048576)),ROW($A$2:$A$1048576))))</f>
        <v/>
      </c>
      <c r="GK107" s="18">
        <f>STDEV(GK2:INDEX($GK:$GK,LOOKUP(2,1/(ISNUMBER($A$2:$A$1048576)),ROW($A$2:$A$1048576))))</f>
        <v/>
      </c>
      <c r="GL107" s="18">
        <f>STDEV(GL2:INDEX($GL:$GL,LOOKUP(2,1/(ISNUMBER($A$2:$A$1048576)),ROW($A$2:$A$1048576))))</f>
        <v/>
      </c>
      <c r="GM107" s="18">
        <f>STDEV(GM2:INDEX($GM:$GM,LOOKUP(2,1/(ISNUMBER($A$2:$A$1048576)),ROW($A$2:$A$1048576))))</f>
        <v/>
      </c>
      <c r="GN107" s="18">
        <f>STDEV(GN2:INDEX($GN:$GN,LOOKUP(2,1/(ISNUMBER($A$2:$A$1048576)),ROW($A$2:$A$1048576))))</f>
        <v/>
      </c>
      <c r="GO107" s="18">
        <f>STDEV(GO2:INDEX($GO:$GO,LOOKUP(2,1/(ISNUMBER($A$2:$A$1048576)),ROW($A$2:$A$1048576))))</f>
        <v/>
      </c>
      <c r="GP107" s="18">
        <f>STDEV(GP2:INDEX($GP:$GP,LOOKUP(2,1/(ISNUMBER($A$2:$A$1048576)),ROW($A$2:$A$1048576))))</f>
        <v/>
      </c>
      <c r="GQ107" s="18">
        <f>STDEV(GQ2:INDEX($GQ:$GQ,LOOKUP(2,1/(ISNUMBER($A$2:$A$1048576)),ROW($A$2:$A$1048576))))</f>
        <v/>
      </c>
      <c r="GR107" s="18">
        <f>STDEV(GR2:INDEX($GR:$GR,LOOKUP(2,1/(ISNUMBER($A$2:$A$1048576)),ROW($A$2:$A$1048576))))</f>
        <v/>
      </c>
      <c r="GS107" s="18">
        <f>STDEV(GS2:INDEX($GS:$GS,LOOKUP(2,1/(ISNUMBER($A$2:$A$1048576)),ROW($A$2:$A$1048576))))</f>
        <v/>
      </c>
      <c r="GT107" s="18">
        <f>STDEV(GT2:INDEX($GT:$GT,LOOKUP(2,1/(ISNUMBER($A$2:$A$1048576)),ROW($A$2:$A$1048576))))</f>
        <v/>
      </c>
      <c r="GU107" s="18">
        <f>STDEV(GU2:INDEX($GU:$GU,LOOKUP(2,1/(ISNUMBER($A$2:$A$1048576)),ROW($A$2:$A$1048576))))</f>
        <v/>
      </c>
      <c r="GV107" s="18">
        <f>STDEV(GV2:INDEX($GV:$GV,LOOKUP(2,1/(ISNUMBER($A$2:$A$1048576)),ROW($A$2:$A$1048576))))</f>
        <v/>
      </c>
      <c r="GW107" s="18">
        <f>STDEV(GW2:INDEX($GW:$GW,LOOKUP(2,1/(ISNUMBER($A$2:$A$1048576)),ROW($A$2:$A$1048576))))</f>
        <v/>
      </c>
      <c r="GX107" s="18">
        <f>STDEV(GX2:INDEX($GX:$GX,LOOKUP(2,1/(ISNUMBER($A$2:$A$1048576)),ROW($A$2:$A$1048576))))</f>
        <v/>
      </c>
      <c r="GY107" s="18">
        <f>STDEV(GY2:INDEX($GY:$GY,LOOKUP(2,1/(ISNUMBER($A$2:$A$1048576)),ROW($A$2:$A$1048576))))</f>
        <v/>
      </c>
      <c r="GZ107" s="18">
        <f>STDEV(GZ2:INDEX($GZ:$GZ,LOOKUP(2,1/(ISNUMBER($A$2:$A$1048576)),ROW($A$2:$A$1048576))))</f>
        <v/>
      </c>
      <c r="HA107" s="18">
        <f>STDEV(HA2:INDEX($HA:$HA,LOOKUP(2,1/(ISNUMBER($A$2:$A$1048576)),ROW($A$2:$A$1048576))))</f>
        <v/>
      </c>
      <c r="HB107" s="18">
        <f>STDEV(HB2:INDEX($HB:$HB,LOOKUP(2,1/(ISNUMBER($A$2:$A$1048576)),ROW($A$2:$A$1048576))))</f>
        <v/>
      </c>
      <c r="HC107" s="18">
        <f>STDEV(HC2:INDEX($HC:$HC,LOOKUP(2,1/(ISNUMBER($A$2:$A$1048576)),ROW($A$2:$A$1048576))))</f>
        <v/>
      </c>
      <c r="HD107" s="18">
        <f>STDEV(HD2:INDEX($HD:$HD,LOOKUP(2,1/(ISNUMBER($A$2:$A$1048576)),ROW($A$2:$A$1048576))))</f>
        <v/>
      </c>
      <c r="HE107" s="18">
        <f>STDEV(HE2:INDEX($HE:$HE,LOOKUP(2,1/(ISNUMBER($A$2:$A$1048576)),ROW($A$2:$A$1048576))))</f>
        <v/>
      </c>
      <c r="HF107" s="18">
        <f>STDEV(HF2:INDEX($HF:$HF,LOOKUP(2,1/(ISNUMBER($A$2:$A$1048576)),ROW($A$2:$A$1048576))))</f>
        <v/>
      </c>
      <c r="HG107" s="18">
        <f>STDEV(HG2:INDEX($HG:$HG,LOOKUP(2,1/(ISNUMBER($A$2:$A$1048576)),ROW($A$2:$A$1048576))))</f>
        <v/>
      </c>
      <c r="HH107" s="18">
        <f>STDEV(HH2:INDEX($HH:$HH,LOOKUP(2,1/(ISNUMBER($A$2:$A$1048576)),ROW($A$2:$A$1048576))))</f>
        <v/>
      </c>
      <c r="HI107" s="18">
        <f>STDEV(HI2:INDEX($HI:$HI,LOOKUP(2,1/(ISNUMBER($A$2:$A$1048576)),ROW($A$2:$A$1048576))))</f>
        <v/>
      </c>
      <c r="HJ107" s="18">
        <f>STDEV(HJ2:INDEX($HJ:$HJ,LOOKUP(2,1/(ISNUMBER($A$2:$A$1048576)),ROW($A$2:$A$1048576))))</f>
        <v/>
      </c>
      <c r="HK107" s="18">
        <f>STDEV(HK2:INDEX($HK:$HK,LOOKUP(2,1/(ISNUMBER($A$2:$A$1048576)),ROW($A$2:$A$1048576))))</f>
        <v/>
      </c>
      <c r="HL107" s="18">
        <f>STDEV(HL2:INDEX($HL:$HL,LOOKUP(2,1/(ISNUMBER($A$2:$A$1048576)),ROW($A$2:$A$1048576))))</f>
        <v/>
      </c>
      <c r="HM107" s="18">
        <f>STDEV(HM2:INDEX($HM:$HM,LOOKUP(2,1/(ISNUMBER($A$2:$A$1048576)),ROW($A$2:$A$1048576))))</f>
        <v/>
      </c>
      <c r="HN107" s="18">
        <f>STDEV(HN2:INDEX($HN:$HN,LOOKUP(2,1/(ISNUMBER($A$2:$A$1048576)),ROW($A$2:$A$1048576))))</f>
        <v/>
      </c>
      <c r="HO107" s="18">
        <f>STDEV(HO2:INDEX($HO:$HO,LOOKUP(2,1/(ISNUMBER($A$2:$A$1048576)),ROW($A$2:$A$1048576))))</f>
        <v/>
      </c>
      <c r="HP107" s="18">
        <f>STDEV(HP2:INDEX($HP:$HP,LOOKUP(2,1/(ISNUMBER($A$2:$A$1048576)),ROW($A$2:$A$1048576))))</f>
        <v/>
      </c>
      <c r="HQ107" s="18">
        <f>STDEV(HQ2:INDEX($HQ:$HQ,LOOKUP(2,1/(ISNUMBER($A$2:$A$1048576)),ROW($A$2:$A$1048576))))</f>
        <v/>
      </c>
      <c r="HR107" s="18">
        <f>STDEV(HR2:INDEX($HR:$HR,LOOKUP(2,1/(ISNUMBER($A$2:$A$1048576)),ROW($A$2:$A$1048576))))</f>
        <v/>
      </c>
      <c r="HS107" s="18">
        <f>STDEV(HS2:INDEX($HS:$HS,LOOKUP(2,1/(ISNUMBER($A$2:$A$1048576)),ROW($A$2:$A$1048576))))</f>
        <v/>
      </c>
      <c r="HT107" s="18">
        <f>STDEV(HT2:INDEX($HT:$HT,LOOKUP(2,1/(ISNUMBER($A$2:$A$1048576)),ROW($A$2:$A$1048576))))</f>
        <v/>
      </c>
      <c r="HU107" s="18">
        <f>STDEV(HU2:INDEX($HU:$HU,LOOKUP(2,1/(ISNUMBER($A$2:$A$1048576)),ROW($A$2:$A$1048576))))</f>
        <v/>
      </c>
      <c r="HV107" s="18">
        <f>STDEV(HV2:INDEX($HV:$HV,LOOKUP(2,1/(ISNUMBER($A$2:$A$1048576)),ROW($A$2:$A$1048576))))</f>
        <v/>
      </c>
      <c r="HW107" s="18">
        <f>STDEV(HW2:INDEX($HW:$HW,LOOKUP(2,1/(ISNUMBER($A$2:$A$1048576)),ROW($A$2:$A$1048576))))</f>
        <v/>
      </c>
      <c r="HX107" s="18">
        <f>STDEV(HX2:INDEX($HX:$HX,LOOKUP(2,1/(ISNUMBER($A$2:$A$1048576)),ROW($A$2:$A$1048576))))</f>
        <v/>
      </c>
      <c r="HY107" s="18">
        <f>STDEV(HY2:INDEX($HY:$HY,LOOKUP(2,1/(ISNUMBER($A$2:$A$1048576)),ROW($A$2:$A$1048576))))</f>
        <v/>
      </c>
      <c r="HZ107" s="18">
        <f>STDEV(HZ2:INDEX($HZ:$HZ,LOOKUP(2,1/(ISNUMBER($A$2:$A$1048576)),ROW($A$2:$A$1048576))))</f>
        <v/>
      </c>
      <c r="IA107" s="18">
        <f>STDEV(IA2:INDEX($IA:$IA,LOOKUP(2,1/(ISNUMBER($A$2:$A$1048576)),ROW($A$2:$A$1048576))))</f>
        <v/>
      </c>
      <c r="IB107" s="18">
        <f>STDEV(IB2:INDEX($IB:$IB,LOOKUP(2,1/(ISNUMBER($A$2:$A$1048576)),ROW($A$2:$A$1048576))))</f>
        <v/>
      </c>
      <c r="IC107" s="18">
        <f>STDEV(IC2:INDEX($IC:$IC,LOOKUP(2,1/(ISNUMBER($A$2:$A$1048576)),ROW($A$2:$A$1048576))))</f>
        <v/>
      </c>
      <c r="ID107" s="18">
        <f>STDEV(ID2:INDEX($ID:$ID,LOOKUP(2,1/(ISNUMBER($A$2:$A$1048576)),ROW($A$2:$A$1048576))))</f>
        <v/>
      </c>
      <c r="IE107" s="18">
        <f>STDEV(IE2:INDEX($IE:$IE,LOOKUP(2,1/(ISNUMBER($A$2:$A$1048576)),ROW($A$2:$A$1048576))))</f>
        <v/>
      </c>
      <c r="IF107" s="18">
        <f>STDEV(IF2:INDEX($IF:$IF,LOOKUP(2,1/(ISNUMBER($A$2:$A$1048576)),ROW($A$2:$A$1048576))))</f>
        <v/>
      </c>
      <c r="IG107" s="18">
        <f>STDEV(IG2:INDEX($IG:$IG,LOOKUP(2,1/(ISNUMBER($A$2:$A$1048576)),ROW($A$2:$A$1048576))))</f>
        <v/>
      </c>
      <c r="IH107" s="18">
        <f>STDEV(IH2:INDEX($IH:$IH,LOOKUP(2,1/(ISNUMBER($A$2:$A$1048576)),ROW($A$2:$A$1048576))))</f>
        <v/>
      </c>
      <c r="II107" s="18">
        <f>STDEV(II2:INDEX($II:$II,LOOKUP(2,1/(ISNUMBER($A$2:$A$1048576)),ROW($A$2:$A$1048576))))</f>
        <v/>
      </c>
      <c r="IJ107" s="18">
        <f>STDEV(IJ2:INDEX($IJ:$IJ,LOOKUP(2,1/(ISNUMBER($A$2:$A$1048576)),ROW($A$2:$A$1048576))))</f>
        <v/>
      </c>
      <c r="IK107" s="18">
        <f>STDEV(IK2:INDEX($IK:$IK,LOOKUP(2,1/(ISNUMBER($A$2:$A$1048576)),ROW($A$2:$A$1048576))))</f>
        <v/>
      </c>
      <c r="IL107" s="18">
        <f>STDEV(IL2:INDEX($IL:$IL,LOOKUP(2,1/(ISNUMBER($A$2:$A$1048576)),ROW($A$2:$A$1048576))))</f>
        <v/>
      </c>
      <c r="IM107" s="18">
        <f>STDEV(IM2:INDEX($IM:$IM,LOOKUP(2,1/(ISNUMBER($A$2:$A$1048576)),ROW($A$2:$A$1048576))))</f>
        <v/>
      </c>
      <c r="IN107" s="18">
        <f>STDEV(IN2:INDEX($IN:$IN,LOOKUP(2,1/(ISNUMBER($A$2:$A$1048576)),ROW($A$2:$A$1048576))))</f>
        <v/>
      </c>
      <c r="IO107" s="18">
        <f>STDEV(IO2:INDEX($IO:$IO,LOOKUP(2,1/(ISNUMBER($A$2:$A$1048576)),ROW($A$2:$A$1048576))))</f>
        <v/>
      </c>
      <c r="IP107" s="18">
        <f>STDEV(IP2:INDEX($IP:$IP,LOOKUP(2,1/(ISNUMBER($A$2:$A$1048576)),ROW($A$2:$A$1048576))))</f>
        <v/>
      </c>
      <c r="IQ107" s="18">
        <f>STDEV(IQ2:INDEX($IQ:$IQ,LOOKUP(2,1/(ISNUMBER($A$2:$A$1048576)),ROW($A$2:$A$1048576))))</f>
        <v/>
      </c>
      <c r="IR107" s="18">
        <f>STDEV(IR2:INDEX($IR:$IR,LOOKUP(2,1/(ISNUMBER($A$2:$A$1048576)),ROW($A$2:$A$1048576))))</f>
        <v/>
      </c>
      <c r="IS107" s="18">
        <f>STDEV(IS2:INDEX($IS:$IS,LOOKUP(2,1/(ISNUMBER($A$2:$A$1048576)),ROW($A$2:$A$1048576))))</f>
        <v/>
      </c>
      <c r="IT107" s="18" t="n"/>
      <c r="IU107" s="18" t="n"/>
      <c r="IV107" s="18">
        <f>STDEV(IV2:INDEX($IV:$IV,LOOKUP(2,1/(ISNUMBER($A$2:$A$1048576)),ROW($A$2:$A$1048576))))</f>
        <v/>
      </c>
      <c r="IW107" s="18">
        <f>STDEV(IW2:INDEX($IW:$IW,LOOKUP(2,1/(ISNUMBER($A$2:$A$1048576)),ROW($A$2:$A$1048576))))</f>
        <v/>
      </c>
      <c r="IX107" s="18">
        <f>STDEV(IX2:INDEX($IX:$IX,LOOKUP(2,1/(ISNUMBER($A$2:$A$1048576)),ROW($A$2:$A$1048576))))</f>
        <v/>
      </c>
      <c r="IY107" s="18">
        <f>STDEV(IY2:INDEX($IY:$IY,LOOKUP(2,1/(ISNUMBER($A$2:$A$1048576)),ROW($A$2:$A$1048576))))</f>
        <v/>
      </c>
      <c r="IZ107" s="18">
        <f>STDEV(IZ2:INDEX($IZ:$IZ,LOOKUP(2,1/(ISNUMBER($A$2:$A$1048576)),ROW($A$2:$A$1048576))))</f>
        <v/>
      </c>
      <c r="JA107" s="18">
        <f>STDEV(JA2:INDEX($JA:$JA,LOOKUP(2,1/(ISNUMBER($A$2:$A$1048576)),ROW($A$2:$A$1048576))))</f>
        <v/>
      </c>
      <c r="JB107" s="18">
        <f>STDEV(JB2:INDEX($JB:$JB,LOOKUP(2,1/(ISNUMBER($A$2:$A$1048576)),ROW($A$2:$A$1048576))))</f>
        <v/>
      </c>
      <c r="JC107" s="18">
        <f>STDEV(JC2:INDEX($JC:$JC,LOOKUP(2,1/(ISNUMBER($A$2:$A$1048576)),ROW($A$2:$A$1048576))))</f>
        <v/>
      </c>
      <c r="JD107" s="18">
        <f>STDEV(JD2:INDEX($JD:$JD,LOOKUP(2,1/(ISNUMBER($A$2:$A$1048576)),ROW($A$2:$A$1048576))))</f>
        <v/>
      </c>
      <c r="JE107" s="18">
        <f>STDEV(JE2:INDEX($JE:$JE,LOOKUP(2,1/(ISNUMBER($A$2:$A$1048576)),ROW($A$2:$A$1048576))))</f>
        <v/>
      </c>
      <c r="JF107" s="18">
        <f>STDEV(JF2:INDEX($JF:$JF,LOOKUP(2,1/(ISNUMBER($A$2:$A$1048576)),ROW($A$2:$A$1048576))))</f>
        <v/>
      </c>
      <c r="JG107" s="18">
        <f>STDEV(JG2:INDEX($JG:$JG,LOOKUP(2,1/(ISNUMBER($A$2:$A$1048576)),ROW($A$2:$A$1048576))))</f>
        <v/>
      </c>
      <c r="JH107" s="18">
        <f>STDEV(JH2:INDEX($JH:$JH,LOOKUP(2,1/(ISNUMBER($A$2:$A$1048576)),ROW($A$2:$A$1048576))))</f>
        <v/>
      </c>
    </row>
    <row r="108">
      <c r="A108" s="13" t="inlineStr">
        <is>
          <t>Range</t>
        </is>
      </c>
      <c r="B108" s="41" t="n"/>
      <c r="C108" s="12" t="n"/>
      <c r="D108" s="12" t="n"/>
      <c r="E108" s="12" t="n"/>
      <c r="F108" s="12" t="n"/>
      <c r="G108" s="12" t="n"/>
      <c r="H108" s="12" t="n"/>
      <c r="I108" s="12" t="n"/>
      <c r="J108" s="19">
        <f>SUM(MAX(J2:INDEX($J:$J,LOOKUP(2,1/(ISNUMBER($A$2:$A$1048576)),ROW($A$2:$A$1048576))))-MIN(J2:INDEX($J:$J,LOOKUP(2,1/(ISNUMBER($A$2:$A$1048576)),ROW($A$2:$A$1048576)))))</f>
        <v/>
      </c>
      <c r="K108" s="19" t="n"/>
      <c r="L108" s="19">
        <f>SUM(MAX(L2:INDEX($L:$L,LOOKUP(2,1/(ISNUMBER($A$2:$A$1048576)),ROW($A$2:$A$1048576))))-MIN(L2:INDEX($L:$L,LOOKUP(2,1/(ISNUMBER($A$2:$A$1048576)),ROW($A$2:$A$1048576)))))</f>
        <v/>
      </c>
      <c r="M108" s="19" t="n"/>
      <c r="N108" s="19">
        <f>SUM(MAX(N2:INDEX($N:$N,LOOKUP(2,1/(ISNUMBER($A$2:$A$1048576)),ROW($A$2:$A$1048576))))-MIN(N2:INDEX($N:$N,LOOKUP(2,1/(ISNUMBER($A$2:$A$1048576)),ROW($A$2:$A$1048576)))))</f>
        <v/>
      </c>
      <c r="O108" s="19" t="n"/>
      <c r="P108" s="19">
        <f>SUM(MAX(P2:INDEX($P:$P,LOOKUP(2,1/(ISNUMBER($A$2:$A$1048576)),ROW($A$2:$A$1048576))))-MIN(P2:INDEX($P:$P,LOOKUP(2,1/(ISNUMBER($A$2:$A$1048576)),ROW($A$2:$A$1048576)))))</f>
        <v/>
      </c>
      <c r="Q108" s="19" t="n"/>
      <c r="R108" s="19">
        <f>SUM(MAX(R2:INDEX($R:$R,LOOKUP(2,1/(ISNUMBER($A$2:$A$1048576)),ROW($A$2:$A$1048576))))-MIN(R2:INDEX($R:$R,LOOKUP(2,1/(ISNUMBER($A$2:$A$1048576)),ROW($A$2:$A$1048576)))))</f>
        <v/>
      </c>
      <c r="S108" s="19" t="n"/>
      <c r="T108" s="19" t="n"/>
      <c r="U108" s="42">
        <f>SUM(MAX(U2:INDEX($U:$U,LOOKUP(2,1/(ISNUMBER($A$2:$A$1048576)),ROW($A$2:$A$1048576))))-MIN(U2:INDEX($U:$U,LOOKUP(2,1/(ISNUMBER($A$2:$A$1048576)),ROW($A$2:$A$1048576)))))</f>
        <v/>
      </c>
      <c r="V108" s="19" t="n"/>
      <c r="W108" s="19" t="n"/>
      <c r="X108" s="19">
        <f>SUM(MAX(X2:INDEX($X:$X,LOOKUP(2,1/(ISNUMBER($A$2:$A$1048576)),ROW($A$2:$A$1048576))))-MIN(X2:INDEX($X:$X,LOOKUP(2,1/(ISNUMBER($A$2:$A$1048576)),ROW($A$2:$A$1048576)))))</f>
        <v/>
      </c>
      <c r="Y108" s="19">
        <f>SUM(MAX(Y2:INDEX($Y:$Y,LOOKUP(2,1/(ISNUMBER($A$2:$A$1048576)),ROW($A$2:$A$1048576))))-MIN(Y2:INDEX($Y:$Y,LOOKUP(2,1/(ISNUMBER($A$2:$A$1048576)),ROW($A$2:$A$1048576)))))</f>
        <v/>
      </c>
      <c r="Z108" s="19" t="n"/>
      <c r="AA108" s="19" t="n"/>
      <c r="AB108" s="19">
        <f>SUM(MAX(AB2:INDEX($AB:$AB,LOOKUP(2,1/(ISNUMBER($A$2:$A$1048576)),ROW($A$2:$A$1048576))))-MIN(AB2:INDEX($AB:$AB,LOOKUP(2,1/(ISNUMBER($A$2:$A$1048576)),ROW($A$2:$A$1048576)))))</f>
        <v/>
      </c>
      <c r="AC108" s="19" t="n"/>
      <c r="AD108" s="19" t="n"/>
      <c r="AE108" s="19">
        <f>SUM(MAX(AE2:INDEX($AE:$AE,LOOKUP(2,1/(ISNUMBER($A$2:$A$1048576)),ROW($A$2:$A$1048576))))-MIN(AE2:INDEX($AE:$AE,LOOKUP(2,1/(ISNUMBER($A$2:$A$1048576)),ROW($A$2:$A$1048576)))))</f>
        <v/>
      </c>
      <c r="AF108" s="19" t="n"/>
      <c r="AG108" s="19" t="n"/>
      <c r="AH108" s="19">
        <f>SUM(MAX(AH2:INDEX($AH:$AH,LOOKUP(2,1/(ISNUMBER($A$2:$A$1048576)),ROW($A$2:$A$1048576))))-MIN(AH2:INDEX($AH:$AH,LOOKUP(2,1/(ISNUMBER($A$2:$A$1048576)),ROW($A$2:$A$1048576)))))</f>
        <v/>
      </c>
      <c r="AI108" s="19">
        <f>SUM(MAX(AI2:INDEX($AI:$AI,LOOKUP(2,1/(ISNUMBER($A$2:$A$1048576)),ROW($A$2:$A$1048576))))-MIN(AI2:INDEX($AI:$AI,LOOKUP(2,1/(ISNUMBER($A$2:$A$1048576)),ROW($A$2:$A$1048576)))))</f>
        <v/>
      </c>
      <c r="AJ108" s="19">
        <f>SUM(MAX(AJ2:INDEX($AJ:$AJ,LOOKUP(2,1/(ISNUMBER($A$2:$A$1048576)),ROW($A$2:$A$1048576))))-MIN(AJ2:INDEX($AJ:$AJ,LOOKUP(2,1/(ISNUMBER($A$2:$A$1048576)),ROW($A$2:$A$1048576)))))</f>
        <v/>
      </c>
      <c r="AK108" s="19">
        <f>SUM(MAX(AK2:INDEX($AK:$AK,LOOKUP(2,1/(ISNUMBER($A$2:$A$1048576)),ROW($A$2:$A$1048576))))-MIN(AK2:INDEX($AK:$AK,LOOKUP(2,1/(ISNUMBER($A$2:$A$1048576)),ROW($A$2:$A$1048576)))))</f>
        <v/>
      </c>
      <c r="AL108" s="19">
        <f>SUM(MAX(AL2:INDEX($AL:$AL,LOOKUP(2,1/(ISNUMBER($A$2:$A$1048576)),ROW($A$2:$A$1048576))))-MIN(AL2:INDEX($AL:$AL,LOOKUP(2,1/(ISNUMBER($A$2:$A$1048576)),ROW($A$2:$A$1048576)))))</f>
        <v/>
      </c>
      <c r="AM108" s="19">
        <f>SUM(MAX(AM2:INDEX($AM:$AM,LOOKUP(2,1/(ISNUMBER($A$2:$A$1048576)),ROW($A$2:$A$1048576))))-MIN(AM2:INDEX($AM:$AM,LOOKUP(2,1/(ISNUMBER($A$2:$A$1048576)),ROW($A$2:$A$1048576)))))</f>
        <v/>
      </c>
      <c r="AN108" s="19">
        <f>SUM(MAX(AN2:INDEX($AN:$AN,LOOKUP(2,1/(ISNUMBER($A$2:$A$1048576)),ROW($A$2:$A$1048576))))-MIN(AN2:INDEX($AN:$AN,LOOKUP(2,1/(ISNUMBER($A$2:$A$1048576)),ROW($A$2:$A$1048576)))))</f>
        <v/>
      </c>
      <c r="AO108" s="19">
        <f>SUM(MAX(AO2:INDEX($AO:$AO,LOOKUP(2,1/(ISNUMBER($A$2:$A$1048576)),ROW($A$2:$A$1048576))))-MIN(AO2:INDEX($AO:$AO,LOOKUP(2,1/(ISNUMBER($A$2:$A$1048576)),ROW($A$2:$A$1048576)))))</f>
        <v/>
      </c>
      <c r="AP108" s="19">
        <f>SUM(MAX(AP2:INDEX($AP:$AP,LOOKUP(2,1/(ISNUMBER($A$2:$A$1048576)),ROW($A$2:$A$1048576))))-MIN(AP2:INDEX($AP:$AP,LOOKUP(2,1/(ISNUMBER($A$2:$A$1048576)),ROW($A$2:$A$1048576)))))</f>
        <v/>
      </c>
      <c r="AQ108" s="19">
        <f>SUM(MAX(AQ2:INDEX($AQ:$AQ,LOOKUP(2,1/(ISNUMBER($A$2:$A$1048576)),ROW($A$2:$A$1048576))))-MIN(AQ2:INDEX($AQ:$AQ,LOOKUP(2,1/(ISNUMBER($A$2:$A$1048576)),ROW($A$2:$A$1048576)))))</f>
        <v/>
      </c>
      <c r="AR108" s="19">
        <f>SUM(MAX(AR2:INDEX($AR:$AR,LOOKUP(2,1/(ISNUMBER($A$2:$A$1048576)),ROW($A$2:$A$1048576))))-MIN(AR2:INDEX($AR:$AR,LOOKUP(2,1/(ISNUMBER($A$2:$A$1048576)),ROW($A$2:$A$1048576)))))</f>
        <v/>
      </c>
      <c r="AS108" s="19">
        <f>SUM(MAX(AS2:INDEX($AS:$AS,LOOKUP(2,1/(ISNUMBER($A$2:$A$1048576)),ROW($A$2:$A$1048576))))-MIN(AS2:INDEX($AS:$AS,LOOKUP(2,1/(ISNUMBER($A$2:$A$1048576)),ROW($A$2:$A$1048576)))))</f>
        <v/>
      </c>
      <c r="AT108" s="19" t="n"/>
      <c r="AU108" s="19" t="n"/>
      <c r="AV108" s="19">
        <f>SUM(MAX(AV2:INDEX($AV:$AV,LOOKUP(2,1/(ISNUMBER($A$2:$A$1048576)),ROW($A$2:$A$1048576))))-MIN(AV2:INDEX($AV:$AV,LOOKUP(2,1/(ISNUMBER($A$2:$A$1048576)),ROW($A$2:$A$1048576)))))</f>
        <v/>
      </c>
      <c r="AW108" s="19" t="n"/>
      <c r="AX108" s="19">
        <f>SUM(MAX(AX2:INDEX($AX:$AX,LOOKUP(2,1/(ISNUMBER($A$2:$A$1048576)),ROW($A$2:$A$1048576))))-MIN(AX2:INDEX($AX:$AX,LOOKUP(2,1/(ISNUMBER($A$2:$A$1048576)),ROW($A$2:$A$1048576)))))</f>
        <v/>
      </c>
      <c r="AY108" s="19">
        <f>SUM(MAX(AY2:INDEX($AY:$AY,LOOKUP(2,1/(ISNUMBER($A$2:$A$1048576)),ROW($A$2:$A$1048576))))-MIN(AY2:INDEX($AY:$AY,LOOKUP(2,1/(ISNUMBER($A$2:$A$1048576)),ROW($A$2:$A$1048576)))))</f>
        <v/>
      </c>
      <c r="AZ108" s="19">
        <f>SUM(MAX(AZ2:INDEX($AZ:$AZ,LOOKUP(2,1/(ISNUMBER($A$2:$A$1048576)),ROW($A$2:$A$1048576))))-MIN(AZ2:INDEX($AZ:$AZ,LOOKUP(2,1/(ISNUMBER($A$2:$A$1048576)),ROW($A$2:$A$1048576)))))</f>
        <v/>
      </c>
      <c r="BA108" s="19">
        <f>SUM(MAX(BA2:INDEX($BA:$BA,LOOKUP(2,1/(ISNUMBER($A$2:$A$1048576)),ROW($A$2:$A$1048576))))-MIN(BA2:INDEX($BA:$BA,LOOKUP(2,1/(ISNUMBER($A$2:$A$1048576)),ROW($A$2:$A$1048576)))))</f>
        <v/>
      </c>
      <c r="BB108" s="19">
        <f>SUM(MAX(BB2:INDEX($BB:$BB,LOOKUP(2,1/(ISNUMBER($A$2:$A$1048576)),ROW($A$2:$A$1048576))))-MIN(BB2:INDEX($BB:$BB,LOOKUP(2,1/(ISNUMBER($A$2:$A$1048576)),ROW($A$2:$A$1048576)))))</f>
        <v/>
      </c>
      <c r="BC108" s="19">
        <f>SUM(MAX(BC2:INDEX($BC:$BC,LOOKUP(2,1/(ISNUMBER($A$2:$A$1048576)),ROW($A$2:$A$1048576))))-MIN(BC2:INDEX($BC:$BC,LOOKUP(2,1/(ISNUMBER($A$2:$A$1048576)),ROW($A$2:$A$1048576)))))</f>
        <v/>
      </c>
      <c r="BD108" s="19">
        <f>SUM(MAX(BD2:INDEX($BD:$BD,LOOKUP(2,1/(ISNUMBER($A$2:$A$1048576)),ROW($A$2:$A$1048576))))-MIN(BD2:INDEX($BD:$BD,LOOKUP(2,1/(ISNUMBER($A$2:$A$1048576)),ROW($A$2:$A$1048576)))))</f>
        <v/>
      </c>
      <c r="BE108" s="19">
        <f>SUM(MAX(BE2:INDEX($BE:$BE,LOOKUP(2,1/(ISNUMBER($A$2:$A$1048576)),ROW($A$2:$A$1048576))))-MIN(BE2:INDEX($BE:$BE,LOOKUP(2,1/(ISNUMBER($A$2:$A$1048576)),ROW($A$2:$A$1048576)))))</f>
        <v/>
      </c>
      <c r="BF108" s="19" t="n"/>
      <c r="BG108" s="19" t="n"/>
      <c r="BH108" s="19">
        <f>SUM(MAX(BH2:INDEX($BH:$BH,LOOKUP(2,1/(ISNUMBER($A$2:$A$1048576)),ROW($A$2:$A$1048576))))-MIN(BH2:INDEX($BH:$BH,LOOKUP(2,1/(ISNUMBER($A$2:$A$1048576)),ROW($A$2:$A$1048576)))))</f>
        <v/>
      </c>
      <c r="BI108" s="19">
        <f>SUM(MAX(BI2:INDEX($BI:$BI,LOOKUP(2,1/(ISNUMBER($A$2:$A$1048576)),ROW($A$2:$A$1048576))))-MIN(BI2:INDEX($BI:$BI,LOOKUP(2,1/(ISNUMBER($A$2:$A$1048576)),ROW($A$2:$A$1048576)))))</f>
        <v/>
      </c>
      <c r="BJ108" s="19">
        <f>SUM(MAX(BJ2:INDEX($BJ:$BJ,LOOKUP(2,1/(ISNUMBER($A$2:$A$1048576)),ROW($A$2:$A$1048576))))-MIN(BJ2:INDEX($BJ:$BJ,LOOKUP(2,1/(ISNUMBER($A$2:$A$1048576)),ROW($A$2:$A$1048576)))))</f>
        <v/>
      </c>
      <c r="BK108" s="19">
        <f>SUM(MAX(BK2:INDEX($BK:$BK,LOOKUP(2,1/(ISNUMBER($A$2:$A$1048576)),ROW($A$2:$A$1048576))))-MIN(BK2:INDEX($BK:$BK,LOOKUP(2,1/(ISNUMBER($A$2:$A$1048576)),ROW($A$2:$A$1048576)))))</f>
        <v/>
      </c>
      <c r="BL108" s="19">
        <f>SUM(MAX(BL2:INDEX($BL:$BL,LOOKUP(2,1/(ISNUMBER($A$2:$A$1048576)),ROW($A$2:$A$1048576))))-MIN(BL2:INDEX($BL:$BL,LOOKUP(2,1/(ISNUMBER($A$2:$A$1048576)),ROW($A$2:$A$1048576)))))</f>
        <v/>
      </c>
      <c r="BM108" s="19">
        <f>SUM(MAX(BM2:INDEX($BM:$BM,LOOKUP(2,1/(ISNUMBER($A$2:$A$1048576)),ROW($A$2:$A$1048576))))-MIN(BM2:INDEX($BM:$BM,LOOKUP(2,1/(ISNUMBER($A$2:$A$1048576)),ROW($A$2:$A$1048576)))))</f>
        <v/>
      </c>
      <c r="BN108" s="19">
        <f>SUM(MAX(BN2:INDEX($BN:$BN,LOOKUP(2,1/(ISNUMBER($A$2:$A$1048576)),ROW($A$2:$A$1048576))))-MIN(BN2:INDEX($BN:$BN,LOOKUP(2,1/(ISNUMBER($A$2:$A$1048576)),ROW($A$2:$A$1048576)))))</f>
        <v/>
      </c>
      <c r="BO108" s="19">
        <f>SUM(MAX(BO2:INDEX($BO:$BO,LOOKUP(2,1/(ISNUMBER($A$2:$A$1048576)),ROW($A$2:$A$1048576))))-MIN(BO2:INDEX($BO:$BO,LOOKUP(2,1/(ISNUMBER($A$2:$A$1048576)),ROW($A$2:$A$1048576)))))</f>
        <v/>
      </c>
      <c r="BP108" s="19">
        <f>SUM(MAX(BP2:INDEX($BP:$BP,LOOKUP(2,1/(ISNUMBER($A$2:$A$1048576)),ROW($A$2:$A$1048576))))-MIN(BP2:INDEX($BP:$BP,LOOKUP(2,1/(ISNUMBER($A$2:$A$1048576)),ROW($A$2:$A$1048576)))))</f>
        <v/>
      </c>
      <c r="BQ108" s="19">
        <f>SUM(MAX(BQ2:INDEX($BQ:$BQ,LOOKUP(2,1/(ISNUMBER($A$2:$A$1048576)),ROW($A$2:$A$1048576))))-MIN(BQ2:INDEX($BQ:$BQ,LOOKUP(2,1/(ISNUMBER($A$2:$A$1048576)),ROW($A$2:$A$1048576)))))</f>
        <v/>
      </c>
      <c r="BR108" s="19">
        <f>SUM(MAX(BR2:INDEX($BR:$BR,LOOKUP(2,1/(ISNUMBER($A$2:$A$1048576)),ROW($A$2:$A$1048576))))-MIN(BR2:INDEX($BR:$BR,LOOKUP(2,1/(ISNUMBER($A$2:$A$1048576)),ROW($A$2:$A$1048576)))))</f>
        <v/>
      </c>
      <c r="BS108" s="19">
        <f>SUM(MAX(BS2:INDEX($BS:$BS,LOOKUP(2,1/(ISNUMBER($A$2:$A$1048576)),ROW($A$2:$A$1048576))))-MIN(BS2:INDEX($BS:$BS,LOOKUP(2,1/(ISNUMBER($A$2:$A$1048576)),ROW($A$2:$A$1048576)))))</f>
        <v/>
      </c>
      <c r="BT108" s="19">
        <f>SUM(MAX(BT2:INDEX($BT:$BT,LOOKUP(2,1/(ISNUMBER($A$2:$A$1048576)),ROW($A$2:$A$1048576))))-MIN(BT2:INDEX($BT:$BT,LOOKUP(2,1/(ISNUMBER($A$2:$A$1048576)),ROW($A$2:$A$1048576)))))</f>
        <v/>
      </c>
      <c r="BU108" s="19">
        <f>SUM(MAX(BU2:INDEX($BU:$BU,LOOKUP(2,1/(ISNUMBER($A$2:$A$1048576)),ROW($A$2:$A$1048576))))-MIN(BU2:INDEX($BU:$BU,LOOKUP(2,1/(ISNUMBER($A$2:$A$1048576)),ROW($A$2:$A$1048576)))))</f>
        <v/>
      </c>
      <c r="BV108" s="19">
        <f>SUM(MAX(BV2:INDEX($BV:$BV,LOOKUP(2,1/(ISNUMBER($A$2:$A$1048576)),ROW($A$2:$A$1048576))))-MIN(BV2:INDEX($BV:$BV,LOOKUP(2,1/(ISNUMBER($A$2:$A$1048576)),ROW($A$2:$A$1048576)))))</f>
        <v/>
      </c>
      <c r="BW108" s="19">
        <f>SUM(MAX(BW2:INDEX($BW:$BW,LOOKUP(2,1/(ISNUMBER($A$2:$A$1048576)),ROW($A$2:$A$1048576))))-MIN(BW2:INDEX($BW:$BW,LOOKUP(2,1/(ISNUMBER($A$2:$A$1048576)),ROW($A$2:$A$1048576)))))</f>
        <v/>
      </c>
      <c r="BX108" s="19">
        <f>SUM(MAX(BX2:INDEX($BX:$BX,LOOKUP(2,1/(ISNUMBER($A$2:$A$1048576)),ROW($A$2:$A$1048576))))-MIN(BX2:INDEX($BX:$BX,LOOKUP(2,1/(ISNUMBER($A$2:$A$1048576)),ROW($A$2:$A$1048576)))))</f>
        <v/>
      </c>
      <c r="BY108" s="19">
        <f>SUM(MAX(BY2:INDEX($BY:$BY,LOOKUP(2,1/(ISNUMBER($A$2:$A$1048576)),ROW($A$2:$A$1048576))))-MIN(BY2:INDEX($BY:$BY,LOOKUP(2,1/(ISNUMBER($A$2:$A$1048576)),ROW($A$2:$A$1048576)))))</f>
        <v/>
      </c>
      <c r="BZ108" s="19">
        <f>SUM(MAX(BZ2:INDEX($BZ:$BZ,LOOKUP(2,1/(ISNUMBER($A$2:$A$1048576)),ROW($A$2:$A$1048576))))-MIN(BZ2:INDEX($BZ:$BZ,LOOKUP(2,1/(ISNUMBER($A$2:$A$1048576)),ROW($A$2:$A$1048576)))))</f>
        <v/>
      </c>
      <c r="CA108" s="19">
        <f>SUM(MAX(CA2:INDEX($CA:$CA,LOOKUP(2,1/(ISNUMBER($A$2:$A$1048576)),ROW($A$2:$A$1048576))))-MIN(CA2:INDEX($CA:$CA,LOOKUP(2,1/(ISNUMBER($A$2:$A$1048576)),ROW($A$2:$A$1048576)))))</f>
        <v/>
      </c>
      <c r="CB108" s="19">
        <f>SUM(MAX(CB2:INDEX($CB:$CB,LOOKUP(2,1/(ISNUMBER($A$2:$A$1048576)),ROW($A$2:$A$1048576))))-MIN(CB2:INDEX($CB:$CB,LOOKUP(2,1/(ISNUMBER($A$2:$A$1048576)),ROW($A$2:$A$1048576)))))</f>
        <v/>
      </c>
      <c r="CC108" s="19" t="n"/>
      <c r="CD108" s="19" t="n"/>
      <c r="CE108" s="19">
        <f>SUM(MAX(CE2:INDEX($CE:$CE,LOOKUP(2,1/(ISNUMBER($A$2:$A$1048576)),ROW($A$2:$A$1048576))))-MIN(CE2:INDEX($CE:$CE,LOOKUP(2,1/(ISNUMBER($A$2:$A$1048576)),ROW($A$2:$A$1048576)))))</f>
        <v/>
      </c>
      <c r="CF108" s="19" t="n"/>
      <c r="CG108" s="19" t="n"/>
      <c r="CH108" s="19">
        <f>SUM(MAX(CH2:INDEX($CH:$CH,LOOKUP(2,1/(ISNUMBER($A$2:$A$1048576)),ROW($A$2:$A$1048576))))-MIN(CH2:INDEX($CH:$CH,LOOKUP(2,1/(ISNUMBER($A$2:$A$1048576)),ROW($A$2:$A$1048576)))))</f>
        <v/>
      </c>
      <c r="CI108" s="19">
        <f>SUM(MAX(CI2:INDEX($CI:$CI,LOOKUP(2,1/(ISNUMBER($A$2:$A$1048576)),ROW($A$2:$A$1048576))))-MIN(CI2:INDEX($CI:$CI,LOOKUP(2,1/(ISNUMBER($A$2:$A$1048576)),ROW($A$2:$A$1048576)))))</f>
        <v/>
      </c>
      <c r="CJ108" s="19">
        <f>SUM(MAX(CJ2:INDEX($CJ:$CJ,LOOKUP(2,1/(ISNUMBER($A$2:$A$1048576)),ROW($A$2:$A$1048576))))-MIN(CJ2:INDEX($CJ:$CJ,LOOKUP(2,1/(ISNUMBER($A$2:$A$1048576)),ROW($A$2:$A$1048576)))))</f>
        <v/>
      </c>
      <c r="CK108" s="19" t="n"/>
      <c r="CL108" s="19" t="n"/>
      <c r="CM108" s="19">
        <f>SUM(MAX(CM2:INDEX($CM:$CM,LOOKUP(2,1/(ISNUMBER($A$2:$A$1048576)),ROW($A$2:$A$1048576))))-MIN(CM2:INDEX($CM:$CM,LOOKUP(2,1/(ISNUMBER($A$2:$A$1048576)),ROW($A$2:$A$1048576)))))</f>
        <v/>
      </c>
      <c r="CN108" s="19">
        <f>SUM(MAX(CN2:INDEX($CN:$CN,LOOKUP(2,1/(ISNUMBER($A$2:$A$1048576)),ROW($A$2:$A$1048576))))-MIN(CN2:INDEX($CN:$CN,LOOKUP(2,1/(ISNUMBER($A$2:$A$1048576)),ROW($A$2:$A$1048576)))))</f>
        <v/>
      </c>
      <c r="CO108" s="19">
        <f>SUM(MAX(CO2:INDEX($CO:$CO,LOOKUP(2,1/(ISNUMBER($A$2:$A$1048576)),ROW($A$2:$A$1048576))))-MIN(CO2:INDEX($CO:$CO,LOOKUP(2,1/(ISNUMBER($A$2:$A$1048576)),ROW($A$2:$A$1048576)))))</f>
        <v/>
      </c>
      <c r="CP108" s="19">
        <f>SUM(MAX(CP2:INDEX($CP:$CP,LOOKUP(2,1/(ISNUMBER($A$2:$A$1048576)),ROW($A$2:$A$1048576))))-MIN(CP2:INDEX($CP:$CP,LOOKUP(2,1/(ISNUMBER($A$2:$A$1048576)),ROW($A$2:$A$1048576)))))</f>
        <v/>
      </c>
      <c r="CQ108" s="19">
        <f>SUM(MAX(CQ2:INDEX($CQ:$CQ,LOOKUP(2,1/(ISNUMBER($A$2:$A$1048576)),ROW($A$2:$A$1048576))))-MIN(CQ2:INDEX($CQ:$CQ,LOOKUP(2,1/(ISNUMBER($A$2:$A$1048576)),ROW($A$2:$A$1048576)))))</f>
        <v/>
      </c>
      <c r="CR108" s="19">
        <f>SUM(MAX(CR2:INDEX($CR:$CR,LOOKUP(2,1/(ISNUMBER($A$2:$A$1048576)),ROW($A$2:$A$1048576))))-MIN(CR2:INDEX($CR:$CR,LOOKUP(2,1/(ISNUMBER($A$2:$A$1048576)),ROW($A$2:$A$1048576)))))</f>
        <v/>
      </c>
      <c r="CS108" s="19" t="n"/>
      <c r="CT108" s="19" t="n"/>
      <c r="CU108" s="19">
        <f>SUM(MAX(CU2:INDEX($CU:$CU,LOOKUP(2,1/(ISNUMBER($A$2:$A$1048576)),ROW($A$2:$A$1048576))))-MIN(CU2:INDEX($CU:$CU,LOOKUP(2,1/(ISNUMBER($A$2:$A$1048576)),ROW($A$2:$A$1048576)))))</f>
        <v/>
      </c>
      <c r="CV108" s="19" t="n"/>
      <c r="CW108" s="19" t="n"/>
      <c r="CX108" s="19">
        <f>SUM(MAX(CX2:INDEX($CX:$CX,LOOKUP(2,1/(ISNUMBER($A$2:$A$1048576)),ROW($A$2:$A$1048576))))-MIN(CX2:INDEX($CX:$CX,LOOKUP(2,1/(ISNUMBER($A$2:$A$1048576)),ROW($A$2:$A$1048576)))))</f>
        <v/>
      </c>
      <c r="CY108" s="19">
        <f>SUM(MAX(CY2:INDEX($CY:$CY,LOOKUP(2,1/(ISNUMBER($A$2:$A$1048576)),ROW($A$2:$A$1048576))))-MIN(CY2:INDEX($CY:$CY,LOOKUP(2,1/(ISNUMBER($A$2:$A$1048576)),ROW($A$2:$A$1048576)))))</f>
        <v/>
      </c>
      <c r="CZ108" s="19">
        <f>SUM(MAX(CZ2:INDEX($CZ:$CZ,LOOKUP(2,1/(ISNUMBER($A$2:$A$1048576)),ROW($A$2:$A$1048576))))-MIN(CZ2:INDEX($CZ:$CZ,LOOKUP(2,1/(ISNUMBER($A$2:$A$1048576)),ROW($A$2:$A$1048576)))))</f>
        <v/>
      </c>
      <c r="DA108" s="19">
        <f>SUM(MAX(DA2:INDEX($DA:$DA,LOOKUP(2,1/(ISNUMBER($A$2:$A$1048576)),ROW($A$2:$A$1048576))))-MIN(DA2:INDEX($DA:$DA,LOOKUP(2,1/(ISNUMBER($A$2:$A$1048576)),ROW($A$2:$A$1048576)))))</f>
        <v/>
      </c>
      <c r="DB108" s="19">
        <f>SUM(MAX(DB2:INDEX($DB:$DB,LOOKUP(2,1/(ISNUMBER($A$2:$A$1048576)),ROW($A$2:$A$1048576))))-MIN(DB2:INDEX($DB:$DB,LOOKUP(2,1/(ISNUMBER($A$2:$A$1048576)),ROW($A$2:$A$1048576)))))</f>
        <v/>
      </c>
      <c r="DC108" s="19">
        <f>SUM(MAX(DC2:INDEX($DC:$DC,LOOKUP(2,1/(ISNUMBER($A$2:$A$1048576)),ROW($A$2:$A$1048576))))-MIN(DC2:INDEX($DC:$DC,LOOKUP(2,1/(ISNUMBER($A$2:$A$1048576)),ROW($A$2:$A$1048576)))))</f>
        <v/>
      </c>
      <c r="DD108" s="19">
        <f>SUM(MAX(DD2:INDEX($DD:$DD,LOOKUP(2,1/(ISNUMBER($A$2:$A$1048576)),ROW($A$2:$A$1048576))))-MIN(DD2:INDEX($DD:$DD,LOOKUP(2,1/(ISNUMBER($A$2:$A$1048576)),ROW($A$2:$A$1048576)))))</f>
        <v/>
      </c>
      <c r="DE108" s="19">
        <f>SUM(MAX(DE2:INDEX($DE:$DE,LOOKUP(2,1/(ISNUMBER($A$2:$A$1048576)),ROW($A$2:$A$1048576))))-MIN(DE2:INDEX($DE:$DE,LOOKUP(2,1/(ISNUMBER($A$2:$A$1048576)),ROW($A$2:$A$1048576)))))</f>
        <v/>
      </c>
      <c r="DF108" s="19">
        <f>SUM(MAX(DF2:INDEX($DF:$DF,LOOKUP(2,1/(ISNUMBER($A$2:$A$1048576)),ROW($A$2:$A$1048576))))-MIN(DF2:INDEX($DF:$DF,LOOKUP(2,1/(ISNUMBER($A$2:$A$1048576)),ROW($A$2:$A$1048576)))))</f>
        <v/>
      </c>
      <c r="DG108" s="19">
        <f>SUM(MAX(DG2:INDEX($DG:$DG,LOOKUP(2,1/(ISNUMBER($A$2:$A$1048576)),ROW($A$2:$A$1048576))))-MIN(DG2:INDEX($DG:$DG,LOOKUP(2,1/(ISNUMBER($A$2:$A$1048576)),ROW($A$2:$A$1048576)))))</f>
        <v/>
      </c>
      <c r="DH108" s="19">
        <f>SUM(MAX(DH2:INDEX($DH:$DH,LOOKUP(2,1/(ISNUMBER($A$2:$A$1048576)),ROW($A$2:$A$1048576))))-MIN(DH2:INDEX($DH:$DH,LOOKUP(2,1/(ISNUMBER($A$2:$A$1048576)),ROW($A$2:$A$1048576)))))</f>
        <v/>
      </c>
      <c r="DI108" s="19" t="n"/>
      <c r="DJ108" s="19" t="n"/>
      <c r="DK108" s="19">
        <f>SUM(MAX(DK2:INDEX($DK:$DK,LOOKUP(2,1/(ISNUMBER($A$2:$A$1048576)),ROW($A$2:$A$1048576))))-MIN(DK2:INDEX($DK:$DK,LOOKUP(2,1/(ISNUMBER($A$2:$A$1048576)),ROW($A$2:$A$1048576)))))</f>
        <v/>
      </c>
      <c r="DL108" s="19">
        <f>SUM(MAX(DL2:INDEX($DL:$DL,LOOKUP(2,1/(ISNUMBER($A$2:$A$1048576)),ROW($A$2:$A$1048576))))-MIN(DL2:INDEX($DL:$DL,LOOKUP(2,1/(ISNUMBER($A$2:$A$1048576)),ROW($A$2:$A$1048576)))))</f>
        <v/>
      </c>
      <c r="DM108" s="19">
        <f>SUM(MAX(DM2:INDEX($DM:$DM,LOOKUP(2,1/(ISNUMBER($A$2:$A$1048576)),ROW($A$2:$A$1048576))))-MIN(DM2:INDEX($DM:$DM,LOOKUP(2,1/(ISNUMBER($A$2:$A$1048576)),ROW($A$2:$A$1048576)))))</f>
        <v/>
      </c>
      <c r="DN108" s="19">
        <f>SUM(MAX(DN2:INDEX($DN:$DN,LOOKUP(2,1/(ISNUMBER($A$2:$A$1048576)),ROW($A$2:$A$1048576))))-MIN(DN2:INDEX($DN:$DN,LOOKUP(2,1/(ISNUMBER($A$2:$A$1048576)),ROW($A$2:$A$1048576)))))</f>
        <v/>
      </c>
      <c r="DO108" s="19">
        <f>SUM(MAX(DO2:INDEX($DO:$DO,LOOKUP(2,1/(ISNUMBER($A$2:$A$1048576)),ROW($A$2:$A$1048576))))-MIN(DO2:INDEX($DO:$DO,LOOKUP(2,1/(ISNUMBER($A$2:$A$1048576)),ROW($A$2:$A$1048576)))))</f>
        <v/>
      </c>
      <c r="DP108" s="19">
        <f>SUM(MAX(DP2:INDEX($DP:$DP,LOOKUP(2,1/(ISNUMBER($A$2:$A$1048576)),ROW($A$2:$A$1048576))))-MIN(DP2:INDEX($DP:$DP,LOOKUP(2,1/(ISNUMBER($A$2:$A$1048576)),ROW($A$2:$A$1048576)))))</f>
        <v/>
      </c>
      <c r="DQ108" s="19" t="n"/>
      <c r="DR108" s="19" t="n"/>
      <c r="DS108" s="19">
        <f>SUM(MAX(DS2:INDEX($DS:$DS,LOOKUP(2,1/(ISNUMBER($A$2:$A$1048576)),ROW($A$2:$A$1048576))))-MIN(DS2:INDEX($DS:$DS,LOOKUP(2,1/(ISNUMBER($A$2:$A$1048576)),ROW($A$2:$A$1048576)))))</f>
        <v/>
      </c>
      <c r="DT108" s="19">
        <f>SUM(MAX(DT2:INDEX($DT:$DT,LOOKUP(2,1/(ISNUMBER($A$2:$A$1048576)),ROW($A$2:$A$1048576))))-MIN(DT2:INDEX($DT:$DT,LOOKUP(2,1/(ISNUMBER($A$2:$A$1048576)),ROW($A$2:$A$1048576)))))</f>
        <v/>
      </c>
      <c r="DU108" s="19">
        <f>SUM(MAX(DU2:INDEX($DU:$DU,LOOKUP(2,1/(ISNUMBER($A$2:$A$1048576)),ROW($A$2:$A$1048576))))-MIN(DU2:INDEX($DU:$DU,LOOKUP(2,1/(ISNUMBER($A$2:$A$1048576)),ROW($A$2:$A$1048576)))))</f>
        <v/>
      </c>
      <c r="DV108" s="19">
        <f>SUM(MAX(DV2:INDEX($DV:$DV,LOOKUP(2,1/(ISNUMBER($A$2:$A$1048576)),ROW($A$2:$A$1048576))))-MIN(DV2:INDEX($DV:$DV,LOOKUP(2,1/(ISNUMBER($A$2:$A$1048576)),ROW($A$2:$A$1048576)))))</f>
        <v/>
      </c>
      <c r="DW108" s="19">
        <f>SUM(MAX(DW2:INDEX($DW:$DW,LOOKUP(2,1/(ISNUMBER($A$2:$A$1048576)),ROW($A$2:$A$1048576))))-MIN(DW2:INDEX($DW:$DW,LOOKUP(2,1/(ISNUMBER($A$2:$A$1048576)),ROW($A$2:$A$1048576)))))</f>
        <v/>
      </c>
      <c r="DX108" s="19">
        <f>SUM(MAX(DX2:INDEX($DX:$DX,LOOKUP(2,1/(ISNUMBER($A$2:$A$1048576)),ROW($A$2:$A$1048576))))-MIN(DX2:INDEX($DX:$DX,LOOKUP(2,1/(ISNUMBER($A$2:$A$1048576)),ROW($A$2:$A$1048576)))))</f>
        <v/>
      </c>
      <c r="DY108" s="19">
        <f>SUM(MAX(DY2:INDEX($DY:$DY,LOOKUP(2,1/(ISNUMBER($A$2:$A$1048576)),ROW($A$2:$A$1048576))))-MIN(DY2:INDEX($DY:$DY,LOOKUP(2,1/(ISNUMBER($A$2:$A$1048576)),ROW($A$2:$A$1048576)))))</f>
        <v/>
      </c>
      <c r="DZ108" s="19">
        <f>SUM(MAX(DZ2:INDEX($DZ:$DZ,LOOKUP(2,1/(ISNUMBER($A$2:$A$1048576)),ROW($A$2:$A$1048576))))-MIN(DZ2:INDEX($DZ:$DZ,LOOKUP(2,1/(ISNUMBER($A$2:$A$1048576)),ROW($A$2:$A$1048576)))))</f>
        <v/>
      </c>
      <c r="EA108" s="19">
        <f>SUM(MAX(EA2:INDEX($EA:$EA,LOOKUP(2,1/(ISNUMBER($A$2:$A$1048576)),ROW($A$2:$A$1048576))))-MIN(EA2:INDEX($EA:$EA,LOOKUP(2,1/(ISNUMBER($A$2:$A$1048576)),ROW($A$2:$A$1048576)))))</f>
        <v/>
      </c>
      <c r="EB108" s="19">
        <f>SUM(MAX(EB2:INDEX($EB:$EB,LOOKUP(2,1/(ISNUMBER($A$2:$A$1048576)),ROW($A$2:$A$1048576))))-MIN(EB2:INDEX($EB:$EB,LOOKUP(2,1/(ISNUMBER($A$2:$A$1048576)),ROW($A$2:$A$1048576)))))</f>
        <v/>
      </c>
      <c r="EC108" s="19">
        <f>SUM(MAX(EC2:INDEX($EC:$EC,LOOKUP(2,1/(ISNUMBER($A$2:$A$1048576)),ROW($A$2:$A$1048576))))-MIN(EC2:INDEX($EC:$EC,LOOKUP(2,1/(ISNUMBER($A$2:$A$1048576)),ROW($A$2:$A$1048576)))))</f>
        <v/>
      </c>
      <c r="ED108" s="19">
        <f>SUM(MAX(ED2:INDEX($ED:$ED,LOOKUP(2,1/(ISNUMBER($A$2:$A$1048576)),ROW($A$2:$A$1048576))))-MIN(ED2:INDEX($ED:$ED,LOOKUP(2,1/(ISNUMBER($A$2:$A$1048576)),ROW($A$2:$A$1048576)))))</f>
        <v/>
      </c>
      <c r="EE108" s="19" t="n"/>
      <c r="EF108" s="19" t="n"/>
      <c r="EG108" s="19">
        <f>SUM(MAX(EG2:INDEX($EG:$EG,LOOKUP(2,1/(ISNUMBER($A$2:$A$1048576)),ROW($A$2:$A$1048576))))-MIN(EG2:INDEX($EG:$EG,LOOKUP(2,1/(ISNUMBER($A$2:$A$1048576)),ROW($A$2:$A$1048576)))))</f>
        <v/>
      </c>
      <c r="EH108" s="19">
        <f>SUM(MAX(EH2:INDEX($EH:$EH,LOOKUP(2,1/(ISNUMBER($A$2:$A$1048576)),ROW($A$2:$A$1048576))))-MIN(EH2:INDEX($EH:$EH,LOOKUP(2,1/(ISNUMBER($A$2:$A$1048576)),ROW($A$2:$A$1048576)))))</f>
        <v/>
      </c>
      <c r="EI108" s="19">
        <f>SUM(MAX(EI2:INDEX($EI:$EI,LOOKUP(2,1/(ISNUMBER($A$2:$A$1048576)),ROW($A$2:$A$1048576))))-MIN(EI2:INDEX($EI:$EI,LOOKUP(2,1/(ISNUMBER($A$2:$A$1048576)),ROW($A$2:$A$1048576)))))</f>
        <v/>
      </c>
      <c r="EJ108" s="19" t="n"/>
      <c r="EK108" s="19" t="n"/>
      <c r="EL108" s="19">
        <f>SUM(MAX(EL2:INDEX($EL:$EL,LOOKUP(2,1/(ISNUMBER($A$2:$A$1048576)),ROW($A$2:$A$1048576))))-MIN(EL2:INDEX($EL:$EL,LOOKUP(2,1/(ISNUMBER($A$2:$A$1048576)),ROW($A$2:$A$1048576)))))</f>
        <v/>
      </c>
      <c r="EM108" s="19">
        <f>SUM(MAX(EM2:INDEX($EM:$EM,LOOKUP(2,1/(ISNUMBER($A$2:$A$1048576)),ROW($A$2:$A$1048576))))-MIN(EM2:INDEX($EM:$EM,LOOKUP(2,1/(ISNUMBER($A$2:$A$1048576)),ROW($A$2:$A$1048576)))))</f>
        <v/>
      </c>
      <c r="EN108" s="19">
        <f>SUM(MAX(EN2:INDEX($EN:$EN,LOOKUP(2,1/(ISNUMBER($A$2:$A$1048576)),ROW($A$2:$A$1048576))))-MIN(EN2:INDEX($EN:$EN,LOOKUP(2,1/(ISNUMBER($A$2:$A$1048576)),ROW($A$2:$A$1048576)))))</f>
        <v/>
      </c>
      <c r="EO108" s="19">
        <f>SUM(MAX(EO2:INDEX($EO:$EO,LOOKUP(2,1/(ISNUMBER($A$2:$A$1048576)),ROW($A$2:$A$1048576))))-MIN(EO2:INDEX($EO:$EO,LOOKUP(2,1/(ISNUMBER($A$2:$A$1048576)),ROW($A$2:$A$1048576)))))</f>
        <v/>
      </c>
      <c r="EP108" s="19">
        <f>SUM(MAX(EP2:INDEX($EP:$EP,LOOKUP(2,1/(ISNUMBER($A$2:$A$1048576)),ROW($A$2:$A$1048576))))-MIN(EP2:INDEX($EP:$EP,LOOKUP(2,1/(ISNUMBER($A$2:$A$1048576)),ROW($A$2:$A$1048576)))))</f>
        <v/>
      </c>
      <c r="EQ108" s="19">
        <f>SUM(MAX(EQ2:INDEX($EQ:$EQ,LOOKUP(2,1/(ISNUMBER($A$2:$A$1048576)),ROW($A$2:$A$1048576))))-MIN(EQ2:INDEX($EQ:$EQ,LOOKUP(2,1/(ISNUMBER($A$2:$A$1048576)),ROW($A$2:$A$1048576)))))</f>
        <v/>
      </c>
      <c r="ER108" s="19">
        <f>SUM(MAX(ER2:INDEX($ER:$ER,LOOKUP(2,1/(ISNUMBER($A$2:$A$1048576)),ROW($A$2:$A$1048576))))-MIN(ER2:INDEX($ER:$ER,LOOKUP(2,1/(ISNUMBER($A$2:$A$1048576)),ROW($A$2:$A$1048576)))))</f>
        <v/>
      </c>
      <c r="ES108" s="19">
        <f>SUM(MAX(ES2:INDEX($ES:$ES,LOOKUP(2,1/(ISNUMBER($A$2:$A$1048576)),ROW($A$2:$A$1048576))))-MIN(ES2:INDEX($ES:$ES,LOOKUP(2,1/(ISNUMBER($A$2:$A$1048576)),ROW($A$2:$A$1048576)))))</f>
        <v/>
      </c>
      <c r="ET108" s="19">
        <f>SUM(MAX(ET2:INDEX($ET:$ET,LOOKUP(2,1/(ISNUMBER($A$2:$A$1048576)),ROW($A$2:$A$1048576))))-MIN(ET2:INDEX($ET:$ET,LOOKUP(2,1/(ISNUMBER($A$2:$A$1048576)),ROW($A$2:$A$1048576)))))</f>
        <v/>
      </c>
      <c r="EU108" s="19">
        <f>SUM(MAX(EU2:INDEX($EU:$EU,LOOKUP(2,1/(ISNUMBER($A$2:$A$1048576)),ROW($A$2:$A$1048576))))-MIN(EU2:INDEX($EU:$EU,LOOKUP(2,1/(ISNUMBER($A$2:$A$1048576)),ROW($A$2:$A$1048576)))))</f>
        <v/>
      </c>
      <c r="EV108" s="19">
        <f>SUM(MAX(EV2:INDEX($EV:$EV,LOOKUP(2,1/(ISNUMBER($A$2:$A$1048576)),ROW($A$2:$A$1048576))))-MIN(EV2:INDEX($EV:$EV,LOOKUP(2,1/(ISNUMBER($A$2:$A$1048576)),ROW($A$2:$A$1048576)))))</f>
        <v/>
      </c>
      <c r="EW108" s="19">
        <f>SUM(MAX(EW2:INDEX($EW:$EW,LOOKUP(2,1/(ISNUMBER($A$2:$A$1048576)),ROW($A$2:$A$1048576))))-MIN(EW2:INDEX($EW:$EW,LOOKUP(2,1/(ISNUMBER($A$2:$A$1048576)),ROW($A$2:$A$1048576)))))</f>
        <v/>
      </c>
      <c r="EX108" s="19" t="n"/>
      <c r="EY108" s="19" t="n"/>
      <c r="EZ108" s="19">
        <f>SUM(MAX(EZ2:INDEX($EZ:$EZ,LOOKUP(2,1/(ISNUMBER($A$2:$A$1048576)),ROW($A$2:$A$1048576))))-MIN(EZ2:INDEX($EZ:$EZ,LOOKUP(2,1/(ISNUMBER($A$2:$A$1048576)),ROW($A$2:$A$1048576)))))</f>
        <v/>
      </c>
      <c r="FA108" s="19">
        <f>SUM(MAX(FA2:INDEX($FA:$FA,LOOKUP(2,1/(ISNUMBER($A$2:$A$1048576)),ROW($A$2:$A$1048576))))-MIN(FA2:INDEX($FA:$FA,LOOKUP(2,1/(ISNUMBER($A$2:$A$1048576)),ROW($A$2:$A$1048576)))))</f>
        <v/>
      </c>
      <c r="FB108" s="19" t="n"/>
      <c r="FC108" s="19" t="n"/>
      <c r="FD108" s="19">
        <f>SUM(MAX(FD2:INDEX($FD:$FD,LOOKUP(2,1/(ISNUMBER($A$2:$A$1048576)),ROW($A$2:$A$1048576))))-MIN(FD2:INDEX($FD:$FD,LOOKUP(2,1/(ISNUMBER($A$2:$A$1048576)),ROW($A$2:$A$1048576)))))</f>
        <v/>
      </c>
      <c r="FE108" s="19">
        <f>SUM(MAX(FE2:INDEX($FE:$FE,LOOKUP(2,1/(ISNUMBER($A$2:$A$1048576)),ROW($A$2:$A$1048576))))-MIN(FE2:INDEX($FE:$FE,LOOKUP(2,1/(ISNUMBER($A$2:$A$1048576)),ROW($A$2:$A$1048576)))))</f>
        <v/>
      </c>
      <c r="FF108" s="19" t="n"/>
      <c r="FG108" s="19" t="n"/>
      <c r="FH108" s="19">
        <f>SUM(MAX(FH2:INDEX($FH:$FH,LOOKUP(2,1/(ISNUMBER($A$2:$A$1048576)),ROW($A$2:$A$1048576))))-MIN(FH2:INDEX($FH:$FH,LOOKUP(2,1/(ISNUMBER($A$2:$A$1048576)),ROW($A$2:$A$1048576)))))</f>
        <v/>
      </c>
      <c r="FI108" s="19">
        <f>SUM(MAX(FI2:INDEX($FI:$FI,LOOKUP(2,1/(ISNUMBER($A$2:$A$1048576)),ROW($A$2:$A$1048576))))-MIN(FI2:INDEX($FI:$FI,LOOKUP(2,1/(ISNUMBER($A$2:$A$1048576)),ROW($A$2:$A$1048576)))))</f>
        <v/>
      </c>
      <c r="FJ108" s="19">
        <f>SUM(MAX(FJ2:INDEX($FJ:$FJ,LOOKUP(2,1/(ISNUMBER($A$2:$A$1048576)),ROW($A$2:$A$1048576))))-MIN(FJ2:INDEX($FJ:$FJ,LOOKUP(2,1/(ISNUMBER($A$2:$A$1048576)),ROW($A$2:$A$1048576)))))</f>
        <v/>
      </c>
      <c r="FK108" s="19">
        <f>SUM(MAX(FK2:INDEX($FK:$FK,LOOKUP(2,1/(ISNUMBER($A$2:$A$1048576)),ROW($A$2:$A$1048576))))-MIN(FK2:INDEX($FK:$FK,LOOKUP(2,1/(ISNUMBER($A$2:$A$1048576)),ROW($A$2:$A$1048576)))))</f>
        <v/>
      </c>
      <c r="FL108" s="19" t="n"/>
      <c r="FM108" s="19" t="n"/>
      <c r="FN108" s="19">
        <f>SUM(MAX(FN2:INDEX($FN:$FN,LOOKUP(2,1/(ISNUMBER($A$2:$A$1048576)),ROW($A$2:$A$1048576))))-MIN(FN2:INDEX($FN:$FN,LOOKUP(2,1/(ISNUMBER($A$2:$A$1048576)),ROW($A$2:$A$1048576)))))</f>
        <v/>
      </c>
      <c r="FO108" s="19">
        <f>SUM(MAX(FO2:INDEX($FO:$FO,LOOKUP(2,1/(ISNUMBER($A$2:$A$1048576)),ROW($A$2:$A$1048576))))-MIN(FO2:INDEX($FO:$FO,LOOKUP(2,1/(ISNUMBER($A$2:$A$1048576)),ROW($A$2:$A$1048576)))))</f>
        <v/>
      </c>
      <c r="FP108" s="19">
        <f>SUM(MAX(FP2:INDEX($FP:$FP,LOOKUP(2,1/(ISNUMBER($A$2:$A$1048576)),ROW($A$2:$A$1048576))))-MIN(FP2:INDEX($FP:$FP,LOOKUP(2,1/(ISNUMBER($A$2:$A$1048576)),ROW($A$2:$A$1048576)))))</f>
        <v/>
      </c>
      <c r="FQ108" s="19">
        <f>SUM(MAX(FQ2:INDEX($FQ:$FQ,LOOKUP(2,1/(ISNUMBER($A$2:$A$1048576)),ROW($A$2:$A$1048576))))-MIN(FQ2:INDEX($FQ:$FQ,LOOKUP(2,1/(ISNUMBER($A$2:$A$1048576)),ROW($A$2:$A$1048576)))))</f>
        <v/>
      </c>
      <c r="FR108" s="19">
        <f>SUM(MAX(FR2:INDEX($FR:$FR,LOOKUP(2,1/(ISNUMBER($A$2:$A$1048576)),ROW($A$2:$A$1048576))))-MIN(FR2:INDEX($FR:$FR,LOOKUP(2,1/(ISNUMBER($A$2:$A$1048576)),ROW($A$2:$A$1048576)))))</f>
        <v/>
      </c>
      <c r="FS108" s="19">
        <f>SUM(MAX(FS2:INDEX($FS:$FS,LOOKUP(2,1/(ISNUMBER($A$2:$A$1048576)),ROW($A$2:$A$1048576))))-MIN(FS2:INDEX($FS:$FS,LOOKUP(2,1/(ISNUMBER($A$2:$A$1048576)),ROW($A$2:$A$1048576)))))</f>
        <v/>
      </c>
      <c r="FT108" s="19">
        <f>SUM(MAX(FT2:INDEX($FT:$FT,LOOKUP(2,1/(ISNUMBER($A$2:$A$1048576)),ROW($A$2:$A$1048576))))-MIN(FT2:INDEX($FT:$FT,LOOKUP(2,1/(ISNUMBER($A$2:$A$1048576)),ROW($A$2:$A$1048576)))))</f>
        <v/>
      </c>
      <c r="FU108" s="19">
        <f>SUM(MAX(FU2:INDEX($FU:$FU,LOOKUP(2,1/(ISNUMBER($A$2:$A$1048576)),ROW($A$2:$A$1048576))))-MIN(FU2:INDEX($FU:$FU,LOOKUP(2,1/(ISNUMBER($A$2:$A$1048576)),ROW($A$2:$A$1048576)))))</f>
        <v/>
      </c>
      <c r="FV108" s="19">
        <f>SUM(MAX(FV2:INDEX($FV:$FV,LOOKUP(2,1/(ISNUMBER($A$2:$A$1048576)),ROW($A$2:$A$1048576))))-MIN(FV2:INDEX($FV:$FV,LOOKUP(2,1/(ISNUMBER($A$2:$A$1048576)),ROW($A$2:$A$1048576)))))</f>
        <v/>
      </c>
      <c r="FW108" s="19">
        <f>SUM(MAX(FW2:INDEX($FW:$FW,LOOKUP(2,1/(ISNUMBER($A$2:$A$1048576)),ROW($A$2:$A$1048576))))-MIN(FW2:INDEX($FW:$FW,LOOKUP(2,1/(ISNUMBER($A$2:$A$1048576)),ROW($A$2:$A$1048576)))))</f>
        <v/>
      </c>
      <c r="FX108" s="19">
        <f>SUM(MAX(FX2:INDEX($FX:$FX,LOOKUP(2,1/(ISNUMBER($A$2:$A$1048576)),ROW($A$2:$A$1048576))))-MIN(FX2:INDEX($FX:$FX,LOOKUP(2,1/(ISNUMBER($A$2:$A$1048576)),ROW($A$2:$A$1048576)))))</f>
        <v/>
      </c>
      <c r="FY108" s="19">
        <f>SUM(MAX(FY2:INDEX($FY:$FY,LOOKUP(2,1/(ISNUMBER($A$2:$A$1048576)),ROW($A$2:$A$1048576))))-MIN(FY2:INDEX($FY:$FY,LOOKUP(2,1/(ISNUMBER($A$2:$A$1048576)),ROW($A$2:$A$1048576)))))</f>
        <v/>
      </c>
      <c r="FZ108" s="19">
        <f>SUM(MAX(FZ2:INDEX($FZ:$FZ,LOOKUP(2,1/(ISNUMBER($A$2:$A$1048576)),ROW($A$2:$A$1048576))))-MIN(FZ2:INDEX($FZ:$FZ,LOOKUP(2,1/(ISNUMBER($A$2:$A$1048576)),ROW($A$2:$A$1048576)))))</f>
        <v/>
      </c>
      <c r="GA108" s="19">
        <f>SUM(MAX(GA2:INDEX($GA:$GA,LOOKUP(2,1/(ISNUMBER($A$2:$A$1048576)),ROW($A$2:$A$1048576))))-MIN(GA2:INDEX($GA:$GA,LOOKUP(2,1/(ISNUMBER($A$2:$A$1048576)),ROW($A$2:$A$1048576)))))</f>
        <v/>
      </c>
      <c r="GB108" s="19">
        <f>SUM(MAX(GB2:INDEX($GB:$GB,LOOKUP(2,1/(ISNUMBER($A$2:$A$1048576)),ROW($A$2:$A$1048576))))-MIN(GB2:INDEX($GB:$GB,LOOKUP(2,1/(ISNUMBER($A$2:$A$1048576)),ROW($A$2:$A$1048576)))))</f>
        <v/>
      </c>
      <c r="GC108" s="19">
        <f>SUM(MAX(GC2:INDEX($GC:$GC,LOOKUP(2,1/(ISNUMBER($A$2:$A$1048576)),ROW($A$2:$A$1048576))))-MIN(GC2:INDEX($GC:$GC,LOOKUP(2,1/(ISNUMBER($A$2:$A$1048576)),ROW($A$2:$A$1048576)))))</f>
        <v/>
      </c>
      <c r="GD108" s="19">
        <f>SUM(MAX(GD2:INDEX($GD:$GD,LOOKUP(2,1/(ISNUMBER($A$2:$A$1048576)),ROW($A$2:$A$1048576))))-MIN(GD2:INDEX($GD:$GD,LOOKUP(2,1/(ISNUMBER($A$2:$A$1048576)),ROW($A$2:$A$1048576)))))</f>
        <v/>
      </c>
      <c r="GE108" s="19">
        <f>SUM(MAX(GE2:INDEX($GE:$GE,LOOKUP(2,1/(ISNUMBER($A$2:$A$1048576)),ROW($A$2:$A$1048576))))-MIN(GE2:INDEX($GE:$GE,LOOKUP(2,1/(ISNUMBER($A$2:$A$1048576)),ROW($A$2:$A$1048576)))))</f>
        <v/>
      </c>
      <c r="GF108" s="19">
        <f>SUM(MAX(GF2:INDEX($GF:$GF,LOOKUP(2,1/(ISNUMBER($A$2:$A$1048576)),ROW($A$2:$A$1048576))))-MIN(GF2:INDEX($GF:$GF,LOOKUP(2,1/(ISNUMBER($A$2:$A$1048576)),ROW($A$2:$A$1048576)))))</f>
        <v/>
      </c>
      <c r="GG108" s="19">
        <f>SUM(MAX(GG2:INDEX($GG:$GG,LOOKUP(2,1/(ISNUMBER($A$2:$A$1048576)),ROW($A$2:$A$1048576))))-MIN(GG2:INDEX($GG:$GG,LOOKUP(2,1/(ISNUMBER($A$2:$A$1048576)),ROW($A$2:$A$1048576)))))</f>
        <v/>
      </c>
      <c r="GH108" s="19">
        <f>SUM(MAX(GH2:INDEX($GH:$GH,LOOKUP(2,1/(ISNUMBER($A$2:$A$1048576)),ROW($A$2:$A$1048576))))-MIN(GH2:INDEX($GH:$GH,LOOKUP(2,1/(ISNUMBER($A$2:$A$1048576)),ROW($A$2:$A$1048576)))))</f>
        <v/>
      </c>
      <c r="GI108" s="19">
        <f>SUM(MAX(GI2:INDEX($GI:$GI,LOOKUP(2,1/(ISNUMBER($A$2:$A$1048576)),ROW($A$2:$A$1048576))))-MIN(GI2:INDEX($GI:$GI,LOOKUP(2,1/(ISNUMBER($A$2:$A$1048576)),ROW($A$2:$A$1048576)))))</f>
        <v/>
      </c>
      <c r="GJ108" s="19">
        <f>SUM(MAX(GJ2:INDEX($GJ:$GJ,LOOKUP(2,1/(ISNUMBER($A$2:$A$1048576)),ROW($A$2:$A$1048576))))-MIN(GJ2:INDEX($GJ:$GJ,LOOKUP(2,1/(ISNUMBER($A$2:$A$1048576)),ROW($A$2:$A$1048576)))))</f>
        <v/>
      </c>
      <c r="GK108" s="19">
        <f>SUM(MAX(GK2:INDEX($GK:$GK,LOOKUP(2,1/(ISNUMBER($A$2:$A$1048576)),ROW($A$2:$A$1048576))))-MIN(GK2:INDEX($GK:$GK,LOOKUP(2,1/(ISNUMBER($A$2:$A$1048576)),ROW($A$2:$A$1048576)))))</f>
        <v/>
      </c>
      <c r="GL108" s="19">
        <f>SUM(MAX(GL2:INDEX($GL:$GL,LOOKUP(2,1/(ISNUMBER($A$2:$A$1048576)),ROW($A$2:$A$1048576))))-MIN(GL2:INDEX($GL:$GL,LOOKUP(2,1/(ISNUMBER($A$2:$A$1048576)),ROW($A$2:$A$1048576)))))</f>
        <v/>
      </c>
      <c r="GM108" s="19">
        <f>SUM(MAX(GM2:INDEX($GM:$GM,LOOKUP(2,1/(ISNUMBER($A$2:$A$1048576)),ROW($A$2:$A$1048576))))-MIN(GM2:INDEX($GM:$GM,LOOKUP(2,1/(ISNUMBER($A$2:$A$1048576)),ROW($A$2:$A$1048576)))))</f>
        <v/>
      </c>
      <c r="GN108" s="19">
        <f>SUM(MAX(GN2:INDEX($GN:$GN,LOOKUP(2,1/(ISNUMBER($A$2:$A$1048576)),ROW($A$2:$A$1048576))))-MIN(GN2:INDEX($GN:$GN,LOOKUP(2,1/(ISNUMBER($A$2:$A$1048576)),ROW($A$2:$A$1048576)))))</f>
        <v/>
      </c>
      <c r="GO108" s="19">
        <f>SUM(MAX(GO2:INDEX($GO:$GO,LOOKUP(2,1/(ISNUMBER($A$2:$A$1048576)),ROW($A$2:$A$1048576))))-MIN(GO2:INDEX($GO:$GO,LOOKUP(2,1/(ISNUMBER($A$2:$A$1048576)),ROW($A$2:$A$1048576)))))</f>
        <v/>
      </c>
      <c r="GP108" s="19">
        <f>SUM(MAX(GP2:INDEX($GP:$GP,LOOKUP(2,1/(ISNUMBER($A$2:$A$1048576)),ROW($A$2:$A$1048576))))-MIN(GP2:INDEX($GP:$GP,LOOKUP(2,1/(ISNUMBER($A$2:$A$1048576)),ROW($A$2:$A$1048576)))))</f>
        <v/>
      </c>
      <c r="GQ108" s="19">
        <f>SUM(MAX(GQ2:INDEX($GQ:$GQ,LOOKUP(2,1/(ISNUMBER($A$2:$A$1048576)),ROW($A$2:$A$1048576))))-MIN(GQ2:INDEX($GQ:$GQ,LOOKUP(2,1/(ISNUMBER($A$2:$A$1048576)),ROW($A$2:$A$1048576)))))</f>
        <v/>
      </c>
      <c r="GR108" s="19">
        <f>SUM(MAX(GR2:INDEX($GR:$GR,LOOKUP(2,1/(ISNUMBER($A$2:$A$1048576)),ROW($A$2:$A$1048576))))-MIN(GR2:INDEX($GR:$GR,LOOKUP(2,1/(ISNUMBER($A$2:$A$1048576)),ROW($A$2:$A$1048576)))))</f>
        <v/>
      </c>
      <c r="GS108" s="19">
        <f>SUM(MAX(GS2:INDEX($GS:$GS,LOOKUP(2,1/(ISNUMBER($A$2:$A$1048576)),ROW($A$2:$A$1048576))))-MIN(GS2:INDEX($GS:$GS,LOOKUP(2,1/(ISNUMBER($A$2:$A$1048576)),ROW($A$2:$A$1048576)))))</f>
        <v/>
      </c>
      <c r="GT108" s="19">
        <f>SUM(MAX(GT2:INDEX($GT:$GT,LOOKUP(2,1/(ISNUMBER($A$2:$A$1048576)),ROW($A$2:$A$1048576))))-MIN(GT2:INDEX($GT:$GT,LOOKUP(2,1/(ISNUMBER($A$2:$A$1048576)),ROW($A$2:$A$1048576)))))</f>
        <v/>
      </c>
      <c r="GU108" s="19">
        <f>SUM(MAX(GU2:INDEX($GU:$GU,LOOKUP(2,1/(ISNUMBER($A$2:$A$1048576)),ROW($A$2:$A$1048576))))-MIN(GU2:INDEX($GU:$GU,LOOKUP(2,1/(ISNUMBER($A$2:$A$1048576)),ROW($A$2:$A$1048576)))))</f>
        <v/>
      </c>
      <c r="GV108" s="19">
        <f>SUM(MAX(GV2:INDEX($GV:$GV,LOOKUP(2,1/(ISNUMBER($A$2:$A$1048576)),ROW($A$2:$A$1048576))))-MIN(GV2:INDEX($GV:$GV,LOOKUP(2,1/(ISNUMBER($A$2:$A$1048576)),ROW($A$2:$A$1048576)))))</f>
        <v/>
      </c>
      <c r="GW108" s="19">
        <f>SUM(MAX(GW2:INDEX($GW:$GW,LOOKUP(2,1/(ISNUMBER($A$2:$A$1048576)),ROW($A$2:$A$1048576))))-MIN(GW2:INDEX($GW:$GW,LOOKUP(2,1/(ISNUMBER($A$2:$A$1048576)),ROW($A$2:$A$1048576)))))</f>
        <v/>
      </c>
      <c r="GX108" s="19">
        <f>SUM(MAX(GX2:INDEX($GX:$GX,LOOKUP(2,1/(ISNUMBER($A$2:$A$1048576)),ROW($A$2:$A$1048576))))-MIN(GX2:INDEX($GX:$GX,LOOKUP(2,1/(ISNUMBER($A$2:$A$1048576)),ROW($A$2:$A$1048576)))))</f>
        <v/>
      </c>
      <c r="GY108" s="19">
        <f>SUM(MAX(GY2:INDEX($GY:$GY,LOOKUP(2,1/(ISNUMBER($A$2:$A$1048576)),ROW($A$2:$A$1048576))))-MIN(GY2:INDEX($GY:$GY,LOOKUP(2,1/(ISNUMBER($A$2:$A$1048576)),ROW($A$2:$A$1048576)))))</f>
        <v/>
      </c>
      <c r="GZ108" s="19">
        <f>SUM(MAX(GZ2:INDEX($GZ:$GZ,LOOKUP(2,1/(ISNUMBER($A$2:$A$1048576)),ROW($A$2:$A$1048576))))-MIN(GZ2:INDEX($GZ:$GZ,LOOKUP(2,1/(ISNUMBER($A$2:$A$1048576)),ROW($A$2:$A$1048576)))))</f>
        <v/>
      </c>
      <c r="HA108" s="19">
        <f>SUM(MAX(HA2:INDEX($HA:$HA,LOOKUP(2,1/(ISNUMBER($A$2:$A$1048576)),ROW($A$2:$A$1048576))))-MIN(HA2:INDEX($HA:$HA,LOOKUP(2,1/(ISNUMBER($A$2:$A$1048576)),ROW($A$2:$A$1048576)))))</f>
        <v/>
      </c>
      <c r="HB108" s="19">
        <f>SUM(MAX(HB2:INDEX($HB:$HB,LOOKUP(2,1/(ISNUMBER($A$2:$A$1048576)),ROW($A$2:$A$1048576))))-MIN(HB2:INDEX($HB:$HB,LOOKUP(2,1/(ISNUMBER($A$2:$A$1048576)),ROW($A$2:$A$1048576)))))</f>
        <v/>
      </c>
      <c r="HC108" s="19">
        <f>SUM(MAX(HC2:INDEX($HC:$HC,LOOKUP(2,1/(ISNUMBER($A$2:$A$1048576)),ROW($A$2:$A$1048576))))-MIN(HC2:INDEX($HC:$HC,LOOKUP(2,1/(ISNUMBER($A$2:$A$1048576)),ROW($A$2:$A$1048576)))))</f>
        <v/>
      </c>
      <c r="HD108" s="19">
        <f>SUM(MAX(HD2:INDEX($HD:$HD,LOOKUP(2,1/(ISNUMBER($A$2:$A$1048576)),ROW($A$2:$A$1048576))))-MIN(HD2:INDEX($HD:$HD,LOOKUP(2,1/(ISNUMBER($A$2:$A$1048576)),ROW($A$2:$A$1048576)))))</f>
        <v/>
      </c>
      <c r="HE108" s="19">
        <f>SUM(MAX(HE2:INDEX($HE:$HE,LOOKUP(2,1/(ISNUMBER($A$2:$A$1048576)),ROW($A$2:$A$1048576))))-MIN(HE2:INDEX($HE:$HE,LOOKUP(2,1/(ISNUMBER($A$2:$A$1048576)),ROW($A$2:$A$1048576)))))</f>
        <v/>
      </c>
      <c r="HF108" s="19">
        <f>SUM(MAX(HF2:INDEX($HF:$HF,LOOKUP(2,1/(ISNUMBER($A$2:$A$1048576)),ROW($A$2:$A$1048576))))-MIN(HF2:INDEX($HF:$HF,LOOKUP(2,1/(ISNUMBER($A$2:$A$1048576)),ROW($A$2:$A$1048576)))))</f>
        <v/>
      </c>
      <c r="HG108" s="19">
        <f>SUM(MAX(HG2:INDEX($HG:$HG,LOOKUP(2,1/(ISNUMBER($A$2:$A$1048576)),ROW($A$2:$A$1048576))))-MIN(HG2:INDEX($HG:$HG,LOOKUP(2,1/(ISNUMBER($A$2:$A$1048576)),ROW($A$2:$A$1048576)))))</f>
        <v/>
      </c>
      <c r="HH108" s="19">
        <f>SUM(MAX(HH2:INDEX($HH:$HH,LOOKUP(2,1/(ISNUMBER($A$2:$A$1048576)),ROW($A$2:$A$1048576))))-MIN(HH2:INDEX($HH:$HH,LOOKUP(2,1/(ISNUMBER($A$2:$A$1048576)),ROW($A$2:$A$1048576)))))</f>
        <v/>
      </c>
      <c r="HI108" s="19">
        <f>SUM(MAX(HI2:INDEX($HI:$HI,LOOKUP(2,1/(ISNUMBER($A$2:$A$1048576)),ROW($A$2:$A$1048576))))-MIN(HI2:INDEX($HI:$HI,LOOKUP(2,1/(ISNUMBER($A$2:$A$1048576)),ROW($A$2:$A$1048576)))))</f>
        <v/>
      </c>
      <c r="HJ108" s="19">
        <f>SUM(MAX(HJ2:INDEX($HJ:$HJ,LOOKUP(2,1/(ISNUMBER($A$2:$A$1048576)),ROW($A$2:$A$1048576))))-MIN(HJ2:INDEX($HJ:$HJ,LOOKUP(2,1/(ISNUMBER($A$2:$A$1048576)),ROW($A$2:$A$1048576)))))</f>
        <v/>
      </c>
      <c r="HK108" s="19">
        <f>SUM(MAX(HK2:INDEX($HK:$HK,LOOKUP(2,1/(ISNUMBER($A$2:$A$1048576)),ROW($A$2:$A$1048576))))-MIN(HK2:INDEX($HK:$HK,LOOKUP(2,1/(ISNUMBER($A$2:$A$1048576)),ROW($A$2:$A$1048576)))))</f>
        <v/>
      </c>
      <c r="HL108" s="19">
        <f>SUM(MAX(HL2:INDEX($HL:$HL,LOOKUP(2,1/(ISNUMBER($A$2:$A$1048576)),ROW($A$2:$A$1048576))))-MIN(HL2:INDEX($HL:$HL,LOOKUP(2,1/(ISNUMBER($A$2:$A$1048576)),ROW($A$2:$A$1048576)))))</f>
        <v/>
      </c>
      <c r="HM108" s="19">
        <f>SUM(MAX(HM2:INDEX($HM:$HM,LOOKUP(2,1/(ISNUMBER($A$2:$A$1048576)),ROW($A$2:$A$1048576))))-MIN(HM2:INDEX($HM:$HM,LOOKUP(2,1/(ISNUMBER($A$2:$A$1048576)),ROW($A$2:$A$1048576)))))</f>
        <v/>
      </c>
      <c r="HN108" s="19">
        <f>SUM(MAX(HN2:INDEX($HN:$HN,LOOKUP(2,1/(ISNUMBER($A$2:$A$1048576)),ROW($A$2:$A$1048576))))-MIN(HN2:INDEX($HN:$HN,LOOKUP(2,1/(ISNUMBER($A$2:$A$1048576)),ROW($A$2:$A$1048576)))))</f>
        <v/>
      </c>
      <c r="HO108" s="19">
        <f>SUM(MAX(HO2:INDEX($HO:$HO,LOOKUP(2,1/(ISNUMBER($A$2:$A$1048576)),ROW($A$2:$A$1048576))))-MIN(HO2:INDEX($HO:$HO,LOOKUP(2,1/(ISNUMBER($A$2:$A$1048576)),ROW($A$2:$A$1048576)))))</f>
        <v/>
      </c>
      <c r="HP108" s="19">
        <f>SUM(MAX(HP2:INDEX($HP:$HP,LOOKUP(2,1/(ISNUMBER($A$2:$A$1048576)),ROW($A$2:$A$1048576))))-MIN(HP2:INDEX($HP:$HP,LOOKUP(2,1/(ISNUMBER($A$2:$A$1048576)),ROW($A$2:$A$1048576)))))</f>
        <v/>
      </c>
      <c r="HQ108" s="19">
        <f>SUM(MAX(HQ2:INDEX($HQ:$HQ,LOOKUP(2,1/(ISNUMBER($A$2:$A$1048576)),ROW($A$2:$A$1048576))))-MIN(HQ2:INDEX($HQ:$HQ,LOOKUP(2,1/(ISNUMBER($A$2:$A$1048576)),ROW($A$2:$A$1048576)))))</f>
        <v/>
      </c>
      <c r="HR108" s="19">
        <f>SUM(MAX(HR2:INDEX($HR:$HR,LOOKUP(2,1/(ISNUMBER($A$2:$A$1048576)),ROW($A$2:$A$1048576))))-MIN(HR2:INDEX($HR:$HR,LOOKUP(2,1/(ISNUMBER($A$2:$A$1048576)),ROW($A$2:$A$1048576)))))</f>
        <v/>
      </c>
      <c r="HS108" s="19">
        <f>SUM(MAX(HS2:INDEX($HS:$HS,LOOKUP(2,1/(ISNUMBER($A$2:$A$1048576)),ROW($A$2:$A$1048576))))-MIN(HS2:INDEX($HS:$HS,LOOKUP(2,1/(ISNUMBER($A$2:$A$1048576)),ROW($A$2:$A$1048576)))))</f>
        <v/>
      </c>
      <c r="HT108" s="19">
        <f>SUM(MAX(HT2:INDEX($HT:$HT,LOOKUP(2,1/(ISNUMBER($A$2:$A$1048576)),ROW($A$2:$A$1048576))))-MIN(HT2:INDEX($HT:$HT,LOOKUP(2,1/(ISNUMBER($A$2:$A$1048576)),ROW($A$2:$A$1048576)))))</f>
        <v/>
      </c>
      <c r="HU108" s="19">
        <f>SUM(MAX(HU2:INDEX($HU:$HU,LOOKUP(2,1/(ISNUMBER($A$2:$A$1048576)),ROW($A$2:$A$1048576))))-MIN(HU2:INDEX($HU:$HU,LOOKUP(2,1/(ISNUMBER($A$2:$A$1048576)),ROW($A$2:$A$1048576)))))</f>
        <v/>
      </c>
      <c r="HV108" s="19">
        <f>SUM(MAX(HV2:INDEX($HV:$HV,LOOKUP(2,1/(ISNUMBER($A$2:$A$1048576)),ROW($A$2:$A$1048576))))-MIN(HV2:INDEX($HV:$HV,LOOKUP(2,1/(ISNUMBER($A$2:$A$1048576)),ROW($A$2:$A$1048576)))))</f>
        <v/>
      </c>
      <c r="HW108" s="19">
        <f>SUM(MAX(HW2:INDEX($HW:$HW,LOOKUP(2,1/(ISNUMBER($A$2:$A$1048576)),ROW($A$2:$A$1048576))))-MIN(HW2:INDEX($HW:$HW,LOOKUP(2,1/(ISNUMBER($A$2:$A$1048576)),ROW($A$2:$A$1048576)))))</f>
        <v/>
      </c>
      <c r="HX108" s="19">
        <f>SUM(MAX(HX2:INDEX($HX:$HX,LOOKUP(2,1/(ISNUMBER($A$2:$A$1048576)),ROW($A$2:$A$1048576))))-MIN(HX2:INDEX($HX:$HX,LOOKUP(2,1/(ISNUMBER($A$2:$A$1048576)),ROW($A$2:$A$1048576)))))</f>
        <v/>
      </c>
      <c r="HY108" s="19">
        <f>SUM(MAX(HY2:INDEX($HY:$HY,LOOKUP(2,1/(ISNUMBER($A$2:$A$1048576)),ROW($A$2:$A$1048576))))-MIN(HY2:INDEX($HY:$HY,LOOKUP(2,1/(ISNUMBER($A$2:$A$1048576)),ROW($A$2:$A$1048576)))))</f>
        <v/>
      </c>
      <c r="HZ108" s="19">
        <f>SUM(MAX(HZ2:INDEX($HZ:$HZ,LOOKUP(2,1/(ISNUMBER($A$2:$A$1048576)),ROW($A$2:$A$1048576))))-MIN(HZ2:INDEX($HZ:$HZ,LOOKUP(2,1/(ISNUMBER($A$2:$A$1048576)),ROW($A$2:$A$1048576)))))</f>
        <v/>
      </c>
      <c r="IA108" s="19">
        <f>SUM(MAX(IA2:INDEX($IA:$IA,LOOKUP(2,1/(ISNUMBER($A$2:$A$1048576)),ROW($A$2:$A$1048576))))-MIN(IA2:INDEX($IA:$IA,LOOKUP(2,1/(ISNUMBER($A$2:$A$1048576)),ROW($A$2:$A$1048576)))))</f>
        <v/>
      </c>
      <c r="IB108" s="19">
        <f>SUM(MAX(IB2:INDEX($IB:$IB,LOOKUP(2,1/(ISNUMBER($A$2:$A$1048576)),ROW($A$2:$A$1048576))))-MIN(IB2:INDEX($IB:$IB,LOOKUP(2,1/(ISNUMBER($A$2:$A$1048576)),ROW($A$2:$A$1048576)))))</f>
        <v/>
      </c>
      <c r="IC108" s="19">
        <f>SUM(MAX(IC2:INDEX($IC:$IC,LOOKUP(2,1/(ISNUMBER($A$2:$A$1048576)),ROW($A$2:$A$1048576))))-MIN(IC2:INDEX($IC:$IC,LOOKUP(2,1/(ISNUMBER($A$2:$A$1048576)),ROW($A$2:$A$1048576)))))</f>
        <v/>
      </c>
      <c r="ID108" s="19">
        <f>SUM(MAX(ID2:INDEX($ID:$ID,LOOKUP(2,1/(ISNUMBER($A$2:$A$1048576)),ROW($A$2:$A$1048576))))-MIN(ID2:INDEX($ID:$ID,LOOKUP(2,1/(ISNUMBER($A$2:$A$1048576)),ROW($A$2:$A$1048576)))))</f>
        <v/>
      </c>
      <c r="IE108" s="19">
        <f>SUM(MAX(IE2:INDEX($IE:$IE,LOOKUP(2,1/(ISNUMBER($A$2:$A$1048576)),ROW($A$2:$A$1048576))))-MIN(IE2:INDEX($IE:$IE,LOOKUP(2,1/(ISNUMBER($A$2:$A$1048576)),ROW($A$2:$A$1048576)))))</f>
        <v/>
      </c>
      <c r="IF108" s="19">
        <f>SUM(MAX(IF2:INDEX($IF:$IF,LOOKUP(2,1/(ISNUMBER($A$2:$A$1048576)),ROW($A$2:$A$1048576))))-MIN(IF2:INDEX($IF:$IF,LOOKUP(2,1/(ISNUMBER($A$2:$A$1048576)),ROW($A$2:$A$1048576)))))</f>
        <v/>
      </c>
      <c r="IG108" s="19">
        <f>SUM(MAX(IG2:INDEX($IG:$IG,LOOKUP(2,1/(ISNUMBER($A$2:$A$1048576)),ROW($A$2:$A$1048576))))-MIN(IG2:INDEX($IG:$IG,LOOKUP(2,1/(ISNUMBER($A$2:$A$1048576)),ROW($A$2:$A$1048576)))))</f>
        <v/>
      </c>
      <c r="IH108" s="19">
        <f>SUM(MAX(IH2:INDEX($IH:$IH,LOOKUP(2,1/(ISNUMBER($A$2:$A$1048576)),ROW($A$2:$A$1048576))))-MIN(IH2:INDEX($IH:$IH,LOOKUP(2,1/(ISNUMBER($A$2:$A$1048576)),ROW($A$2:$A$1048576)))))</f>
        <v/>
      </c>
      <c r="II108" s="19">
        <f>SUM(MAX(II2:INDEX($II:$II,LOOKUP(2,1/(ISNUMBER($A$2:$A$1048576)),ROW($A$2:$A$1048576))))-MIN(II2:INDEX($II:$II,LOOKUP(2,1/(ISNUMBER($A$2:$A$1048576)),ROW($A$2:$A$1048576)))))</f>
        <v/>
      </c>
      <c r="IJ108" s="19">
        <f>SUM(MAX(IJ2:INDEX($IJ:$IJ,LOOKUP(2,1/(ISNUMBER($A$2:$A$1048576)),ROW($A$2:$A$1048576))))-MIN(IJ2:INDEX($IJ:$IJ,LOOKUP(2,1/(ISNUMBER($A$2:$A$1048576)),ROW($A$2:$A$1048576)))))</f>
        <v/>
      </c>
      <c r="IK108" s="19">
        <f>SUM(MAX(IK2:INDEX($IK:$IK,LOOKUP(2,1/(ISNUMBER($A$2:$A$1048576)),ROW($A$2:$A$1048576))))-MIN(IK2:INDEX($IK:$IK,LOOKUP(2,1/(ISNUMBER($A$2:$A$1048576)),ROW($A$2:$A$1048576)))))</f>
        <v/>
      </c>
      <c r="IL108" s="19">
        <f>SUM(MAX(IL2:INDEX($IL:$IL,LOOKUP(2,1/(ISNUMBER($A$2:$A$1048576)),ROW($A$2:$A$1048576))))-MIN(IL2:INDEX($IL:$IL,LOOKUP(2,1/(ISNUMBER($A$2:$A$1048576)),ROW($A$2:$A$1048576)))))</f>
        <v/>
      </c>
      <c r="IM108" s="19">
        <f>SUM(MAX(IM2:INDEX($IM:$IM,LOOKUP(2,1/(ISNUMBER($A$2:$A$1048576)),ROW($A$2:$A$1048576))))-MIN(IM2:INDEX($IM:$IM,LOOKUP(2,1/(ISNUMBER($A$2:$A$1048576)),ROW($A$2:$A$1048576)))))</f>
        <v/>
      </c>
      <c r="IN108" s="19">
        <f>SUM(MAX(IN2:INDEX($IN:$IN,LOOKUP(2,1/(ISNUMBER($A$2:$A$1048576)),ROW($A$2:$A$1048576))))-MIN(IN2:INDEX($IN:$IN,LOOKUP(2,1/(ISNUMBER($A$2:$A$1048576)),ROW($A$2:$A$1048576)))))</f>
        <v/>
      </c>
      <c r="IO108" s="19">
        <f>SUM(MAX(IO2:INDEX($IO:$IO,LOOKUP(2,1/(ISNUMBER($A$2:$A$1048576)),ROW($A$2:$A$1048576))))-MIN(IO2:INDEX($IO:$IO,LOOKUP(2,1/(ISNUMBER($A$2:$A$1048576)),ROW($A$2:$A$1048576)))))</f>
        <v/>
      </c>
      <c r="IP108" s="19">
        <f>SUM(MAX(IP2:INDEX($IP:$IP,LOOKUP(2,1/(ISNUMBER($A$2:$A$1048576)),ROW($A$2:$A$1048576))))-MIN(IP2:INDEX($IP:$IP,LOOKUP(2,1/(ISNUMBER($A$2:$A$1048576)),ROW($A$2:$A$1048576)))))</f>
        <v/>
      </c>
      <c r="IQ108" s="19">
        <f>SUM(MAX(IQ2:INDEX($IQ:$IQ,LOOKUP(2,1/(ISNUMBER($A$2:$A$1048576)),ROW($A$2:$A$1048576))))-MIN(IQ2:INDEX($IQ:$IQ,LOOKUP(2,1/(ISNUMBER($A$2:$A$1048576)),ROW($A$2:$A$1048576)))))</f>
        <v/>
      </c>
      <c r="IR108" s="19">
        <f>SUM(MAX(IR2:INDEX($IR:$IR,LOOKUP(2,1/(ISNUMBER($A$2:$A$1048576)),ROW($A$2:$A$1048576))))-MIN(IR2:INDEX($IR:$IR,LOOKUP(2,1/(ISNUMBER($A$2:$A$1048576)),ROW($A$2:$A$1048576)))))</f>
        <v/>
      </c>
      <c r="IS108" s="19">
        <f>SUM(MAX(IS2:INDEX($IS:$IS,LOOKUP(2,1/(ISNUMBER($A$2:$A$1048576)),ROW($A$2:$A$1048576))))-MIN(IS2:INDEX($IS:$IS,LOOKUP(2,1/(ISNUMBER($A$2:$A$1048576)),ROW($A$2:$A$1048576)))))</f>
        <v/>
      </c>
      <c r="IT108" s="19" t="n"/>
      <c r="IU108" s="19" t="n"/>
      <c r="IV108" s="19">
        <f>SUM(MAX(IV2:INDEX($IV:$IV,LOOKUP(2,1/(ISNUMBER($A$2:$A$1048576)),ROW($A$2:$A$1048576))))-MIN(IV2:INDEX($IV:$IV,LOOKUP(2,1/(ISNUMBER($A$2:$A$1048576)),ROW($A$2:$A$1048576)))))</f>
        <v/>
      </c>
      <c r="IW108" s="19">
        <f>SUM(MAX(IW2:INDEX($IW:$IW,LOOKUP(2,1/(ISNUMBER($A$2:$A$1048576)),ROW($A$2:$A$1048576))))-MIN(IW2:INDEX($IW:$IW,LOOKUP(2,1/(ISNUMBER($A$2:$A$1048576)),ROW($A$2:$A$1048576)))))</f>
        <v/>
      </c>
      <c r="IX108" s="19">
        <f>SUM(MAX(IX2:INDEX($IX:$IX,LOOKUP(2,1/(ISNUMBER($A$2:$A$1048576)),ROW($A$2:$A$1048576))))-MIN(IX2:INDEX($IX:$IX,LOOKUP(2,1/(ISNUMBER($A$2:$A$1048576)),ROW($A$2:$A$1048576)))))</f>
        <v/>
      </c>
      <c r="IY108" s="19">
        <f>SUM(MAX(IY2:INDEX($IY:$IY,LOOKUP(2,1/(ISNUMBER($A$2:$A$1048576)),ROW($A$2:$A$1048576))))-MIN(IY2:INDEX($IY:$IY,LOOKUP(2,1/(ISNUMBER($A$2:$A$1048576)),ROW($A$2:$A$1048576)))))</f>
        <v/>
      </c>
      <c r="IZ108" s="19">
        <f>SUM(MAX(IZ2:INDEX($IZ:$IZ,LOOKUP(2,1/(ISNUMBER($A$2:$A$1048576)),ROW($A$2:$A$1048576))))-MIN(IZ2:INDEX($IZ:$IZ,LOOKUP(2,1/(ISNUMBER($A$2:$A$1048576)),ROW($A$2:$A$1048576)))))</f>
        <v/>
      </c>
      <c r="JA108" s="19">
        <f>SUM(MAX(JA2:INDEX($JA:$JA,LOOKUP(2,1/(ISNUMBER($A$2:$A$1048576)),ROW($A$2:$A$1048576))))-MIN(JA2:INDEX($JA:$JA,LOOKUP(2,1/(ISNUMBER($A$2:$A$1048576)),ROW($A$2:$A$1048576)))))</f>
        <v/>
      </c>
      <c r="JB108" s="19">
        <f>SUM(MAX(JB2:INDEX($JB:$JB,LOOKUP(2,1/(ISNUMBER($A$2:$A$1048576)),ROW($A$2:$A$1048576))))-MIN(JB2:INDEX($JB:$JB,LOOKUP(2,1/(ISNUMBER($A$2:$A$1048576)),ROW($A$2:$A$1048576)))))</f>
        <v/>
      </c>
      <c r="JC108" s="19">
        <f>SUM(MAX(JC2:INDEX($JC:$JC,LOOKUP(2,1/(ISNUMBER($A$2:$A$1048576)),ROW($A$2:$A$1048576))))-MIN(JC2:INDEX($JC:$JC,LOOKUP(2,1/(ISNUMBER($A$2:$A$1048576)),ROW($A$2:$A$1048576)))))</f>
        <v/>
      </c>
      <c r="JD108" s="19">
        <f>SUM(MAX(JD2:INDEX($JD:$JD,LOOKUP(2,1/(ISNUMBER($A$2:$A$1048576)),ROW($A$2:$A$1048576))))-MIN(JD2:INDEX($JD:$JD,LOOKUP(2,1/(ISNUMBER($A$2:$A$1048576)),ROW($A$2:$A$1048576)))))</f>
        <v/>
      </c>
      <c r="JE108" s="19">
        <f>SUM(MAX(JE2:INDEX($JE:$JE,LOOKUP(2,1/(ISNUMBER($A$2:$A$1048576)),ROW($A$2:$A$1048576))))-MIN(JE2:INDEX($JE:$JE,LOOKUP(2,1/(ISNUMBER($A$2:$A$1048576)),ROW($A$2:$A$1048576)))))</f>
        <v/>
      </c>
      <c r="JF108" s="19">
        <f>SUM(MAX(JF2:INDEX($JF:$JF,LOOKUP(2,1/(ISNUMBER($A$2:$A$1048576)),ROW($A$2:$A$1048576))))-MIN(JF2:INDEX($JF:$JF,LOOKUP(2,1/(ISNUMBER($A$2:$A$1048576)),ROW($A$2:$A$1048576)))))</f>
        <v/>
      </c>
      <c r="JG108" s="19">
        <f>SUM(MAX(JG2:INDEX($JG:$JG,LOOKUP(2,1/(ISNUMBER($A$2:$A$1048576)),ROW($A$2:$A$1048576))))-MIN(JG2:INDEX($JG:$JG,LOOKUP(2,1/(ISNUMBER($A$2:$A$1048576)),ROW($A$2:$A$1048576)))))</f>
        <v/>
      </c>
      <c r="JH108" s="19">
        <f>SUM(MAX(JH2:INDEX($JH:$JH,LOOKUP(2,1/(ISNUMBER($A$2:$A$1048576)),ROW($A$2:$A$1048576))))-MIN(JH2:INDEX($JH:$JH,LOOKUP(2,1/(ISNUMBER($A$2:$A$1048576)),ROW($A$2:$A$1048576)))))</f>
        <v/>
      </c>
    </row>
    <row r="109">
      <c r="A109" s="13" t="inlineStr">
        <is>
          <t>Normalize</t>
        </is>
      </c>
      <c r="B109" s="41" t="n"/>
      <c r="C109" s="12" t="n"/>
      <c r="D109" s="12" t="n"/>
      <c r="E109" s="12" t="n"/>
      <c r="F109" s="12" t="n"/>
      <c r="G109" s="12" t="n"/>
      <c r="H109" s="12" t="n"/>
      <c r="I109" s="12" t="n"/>
      <c r="J109" s="19">
        <f>SUM(MIN(J2:INDEX($J:$J,LOOKUP(2,1/(ISNUMBER($A$2:$A$1048576)),ROW($A$2:$A$1048576))))*-1)</f>
        <v/>
      </c>
      <c r="K109" s="19" t="n"/>
      <c r="L109" s="19">
        <f>SUM(MIN(L2:INDEX($L:$L,LOOKUP(2,1/(ISNUMBER($A$2:$A$1048576)),ROW($A$2:$A$1048576))))*-1)</f>
        <v/>
      </c>
      <c r="M109" s="19" t="n"/>
      <c r="N109" s="19">
        <f>SUM(MIN(N2:INDEX($N:$N,LOOKUP(2,1/(ISNUMBER($A$2:$A$1048576)),ROW($A$2:$A$1048576))))*-1)</f>
        <v/>
      </c>
      <c r="O109" s="19" t="n"/>
      <c r="P109" s="19">
        <f>SUM(MIN(P2:INDEX($P:$P,LOOKUP(2,1/(ISNUMBER($A$2:$A$1048576)),ROW($A$2:$A$1048576))))*-1)</f>
        <v/>
      </c>
      <c r="Q109" s="19" t="n"/>
      <c r="R109" s="19">
        <f>SUM(MIN(R2:INDEX($R:$R,LOOKUP(2,1/(ISNUMBER($A$2:$A$1048576)),ROW($A$2:$A$1048576))))*-1)</f>
        <v/>
      </c>
      <c r="S109" s="19" t="n"/>
      <c r="T109" s="19" t="n"/>
      <c r="U109" s="19">
        <f>SUM(MIN(U2:INDEX($U:$U,LOOKUP(2,1/(ISNUMBER($A$2:$A$1048576)),ROW($A$2:$A$1048576))))*-1)</f>
        <v/>
      </c>
      <c r="V109" s="19" t="n"/>
      <c r="W109" s="19" t="n"/>
      <c r="X109" s="19">
        <f>SUM(MIN(X2:INDEX($X:$X,LOOKUP(2,1/(ISNUMBER($A$2:$A$1048576)),ROW($A$2:$A$1048576))))*-1)</f>
        <v/>
      </c>
      <c r="Y109" s="19">
        <f>SUM(MIN(Y2:INDEX($Y:$Y,LOOKUP(2,1/(ISNUMBER($A$2:$A$1048576)),ROW($A$2:$A$1048576))))*-1)</f>
        <v/>
      </c>
      <c r="Z109" s="19" t="n"/>
      <c r="AA109" s="19" t="n"/>
      <c r="AB109" s="19">
        <f>SUM(MIN(AB2:INDEX($AB:$AB,LOOKUP(2,1/(ISNUMBER($A$2:$A$1048576)),ROW($A$2:$A$1048576))))*-1)</f>
        <v/>
      </c>
      <c r="AC109" s="19" t="n"/>
      <c r="AD109" s="19" t="n"/>
      <c r="AE109" s="19">
        <f>SUM(MIN(AE2:INDEX($AE:$AE,LOOKUP(2,1/(ISNUMBER($A$2:$A$1048576)),ROW($A$2:$A$1048576))))*-1)</f>
        <v/>
      </c>
      <c r="AF109" s="19" t="n"/>
      <c r="AG109" s="19" t="n"/>
      <c r="AH109" s="19">
        <f>SUM(MIN(AH2:INDEX($AH:$AH,LOOKUP(2,1/(ISNUMBER($A$2:$A$1048576)),ROW($A$2:$A$1048576))))*-1)</f>
        <v/>
      </c>
      <c r="AI109" s="19">
        <f>SUM(MIN(AI2:INDEX($AI:$AI,LOOKUP(2,1/(ISNUMBER($A$2:$A$1048576)),ROW($A$2:$A$1048576))))*-1)</f>
        <v/>
      </c>
      <c r="AJ109" s="19">
        <f>SUM(MIN(AJ2:INDEX($AJ:$AJ,LOOKUP(2,1/(ISNUMBER($A$2:$A$1048576)),ROW($A$2:$A$1048576))))*-1)</f>
        <v/>
      </c>
      <c r="AK109" s="19">
        <f>SUM(MIN(AK2:INDEX($AK:$AK,LOOKUP(2,1/(ISNUMBER($A$2:$A$1048576)),ROW($A$2:$A$1048576))))*-1)</f>
        <v/>
      </c>
      <c r="AL109" s="19">
        <f>SUM(MIN(AL2:INDEX($AL:$AL,LOOKUP(2,1/(ISNUMBER($A$2:$A$1048576)),ROW($A$2:$A$1048576))))*-1)</f>
        <v/>
      </c>
      <c r="AM109" s="19">
        <f>SUM(MIN(AM2:INDEX($AM:$AM,LOOKUP(2,1/(ISNUMBER($A$2:$A$1048576)),ROW($A$2:$A$1048576))))*-1)</f>
        <v/>
      </c>
      <c r="AN109" s="19">
        <f>SUM(MIN(AN2:INDEX($AN:$AN,LOOKUP(2,1/(ISNUMBER($A$2:$A$1048576)),ROW($A$2:$A$1048576))))*-1)</f>
        <v/>
      </c>
      <c r="AO109" s="19">
        <f>SUM(MIN(AO2:INDEX($AO:$AO,LOOKUP(2,1/(ISNUMBER($A$2:$A$1048576)),ROW($A$2:$A$1048576))))*-1)</f>
        <v/>
      </c>
      <c r="AP109" s="19">
        <f>SUM(MIN(AP2:INDEX($AP:$AP,LOOKUP(2,1/(ISNUMBER($A$2:$A$1048576)),ROW($A$2:$A$1048576))))*-1)</f>
        <v/>
      </c>
      <c r="AQ109" s="19">
        <f>SUM(MIN(AQ2:INDEX($AQ:$AQ,LOOKUP(2,1/(ISNUMBER($A$2:$A$1048576)),ROW($A$2:$A$1048576))))*-1)</f>
        <v/>
      </c>
      <c r="AR109" s="19">
        <f>SUM(MIN(AR2:INDEX($AR:$AR,LOOKUP(2,1/(ISNUMBER($A$2:$A$1048576)),ROW($A$2:$A$1048576))))*-1)</f>
        <v/>
      </c>
      <c r="AS109" s="19">
        <f>SUM(MIN(AS2:INDEX($AS:$AS,LOOKUP(2,1/(ISNUMBER($A$2:$A$1048576)),ROW($A$2:$A$1048576))))*-1)</f>
        <v/>
      </c>
      <c r="AT109" s="19" t="n"/>
      <c r="AU109" s="19" t="n"/>
      <c r="AV109" s="19">
        <f>SUM(MIN(AV2:INDEX($AV:$AV,LOOKUP(2,1/(ISNUMBER($A$2:$A$1048576)),ROW($A$2:$A$1048576))))*-1)</f>
        <v/>
      </c>
      <c r="AW109" s="19" t="n"/>
      <c r="AX109" s="19">
        <f>SUM(MIN(AX2:INDEX($AX:$AX,LOOKUP(2,1/(ISNUMBER($A$2:$A$1048576)),ROW($A$2:$A$1048576))))*-1)</f>
        <v/>
      </c>
      <c r="AY109" s="19">
        <f>SUM(MIN(AY2:INDEX($AY:$AY,LOOKUP(2,1/(ISNUMBER($A$2:$A$1048576)),ROW($A$2:$A$1048576))))*-1)</f>
        <v/>
      </c>
      <c r="AZ109" s="19">
        <f>SUM(MIN(AZ2:INDEX($AZ:$AZ,LOOKUP(2,1/(ISNUMBER($A$2:$A$1048576)),ROW($A$2:$A$1048576))))*-1)</f>
        <v/>
      </c>
      <c r="BA109" s="19">
        <f>SUM(MIN(BA2:INDEX($BA:$BA,LOOKUP(2,1/(ISNUMBER($A$2:$A$1048576)),ROW($A$2:$A$1048576))))*-1)</f>
        <v/>
      </c>
      <c r="BB109" s="19">
        <f>SUM(MIN(BB2:INDEX($BB:$BB,LOOKUP(2,1/(ISNUMBER($A$2:$A$1048576)),ROW($A$2:$A$1048576))))*-1)</f>
        <v/>
      </c>
      <c r="BC109" s="19">
        <f>SUM(MIN(BC2:INDEX($BC:$BC,LOOKUP(2,1/(ISNUMBER($A$2:$A$1048576)),ROW($A$2:$A$1048576))))*-1)</f>
        <v/>
      </c>
      <c r="BD109" s="19">
        <f>SUM(MIN(BD2:INDEX($BD:$BD,LOOKUP(2,1/(ISNUMBER($A$2:$A$1048576)),ROW($A$2:$A$1048576))))*-1)</f>
        <v/>
      </c>
      <c r="BE109" s="19">
        <f>SUM(MIN(BE2:INDEX($BE:$BE,LOOKUP(2,1/(ISNUMBER($A$2:$A$1048576)),ROW($A$2:$A$1048576))))*-1)</f>
        <v/>
      </c>
      <c r="BF109" s="19" t="n"/>
      <c r="BG109" s="19" t="n"/>
      <c r="BH109" s="19">
        <f>SUM(MIN(BH2:INDEX($BH:$BH,LOOKUP(2,1/(ISNUMBER($A$2:$A$1048576)),ROW($A$2:$A$1048576))))*-1)</f>
        <v/>
      </c>
      <c r="BI109" s="19">
        <f>SUM(MIN(BI2:INDEX($BI:$BI,LOOKUP(2,1/(ISNUMBER($A$2:$A$1048576)),ROW($A$2:$A$1048576))))*-1)</f>
        <v/>
      </c>
      <c r="BJ109" s="19">
        <f>SUM(MIN(BJ2:INDEX($BJ:$BJ,LOOKUP(2,1/(ISNUMBER($A$2:$A$1048576)),ROW($A$2:$A$1048576))))*-1)</f>
        <v/>
      </c>
      <c r="BK109" s="19">
        <f>SUM(MIN(BK2:INDEX($BK:$BK,LOOKUP(2,1/(ISNUMBER($A$2:$A$1048576)),ROW($A$2:$A$1048576))))*-1)</f>
        <v/>
      </c>
      <c r="BL109" s="19">
        <f>SUM(MIN(BL2:INDEX($BL:$BL,LOOKUP(2,1/(ISNUMBER($A$2:$A$1048576)),ROW($A$2:$A$1048576))))*-1)</f>
        <v/>
      </c>
      <c r="BM109" s="19">
        <f>SUM(MIN(BM2:INDEX($BM:$BM,LOOKUP(2,1/(ISNUMBER($A$2:$A$1048576)),ROW($A$2:$A$1048576))))*-1)</f>
        <v/>
      </c>
      <c r="BN109" s="19">
        <f>SUM(MIN(BN2:INDEX($BN:$BN,LOOKUP(2,1/(ISNUMBER($A$2:$A$1048576)),ROW($A$2:$A$1048576))))*-1)</f>
        <v/>
      </c>
      <c r="BO109" s="19">
        <f>SUM(MIN(BO2:INDEX($BO:$BO,LOOKUP(2,1/(ISNUMBER($A$2:$A$1048576)),ROW($A$2:$A$1048576))))*-1)</f>
        <v/>
      </c>
      <c r="BP109" s="19">
        <f>SUM(MIN(BP2:INDEX($BP:$BP,LOOKUP(2,1/(ISNUMBER($A$2:$A$1048576)),ROW($A$2:$A$1048576))))*-1)</f>
        <v/>
      </c>
      <c r="BQ109" s="19">
        <f>SUM(MIN(BQ2:INDEX($BQ:$BQ,LOOKUP(2,1/(ISNUMBER($A$2:$A$1048576)),ROW($A$2:$A$1048576))))*-1)</f>
        <v/>
      </c>
      <c r="BR109" s="19">
        <f>SUM(MIN(BR2:INDEX($BR:$BR,LOOKUP(2,1/(ISNUMBER($A$2:$A$1048576)),ROW($A$2:$A$1048576))))*-1)</f>
        <v/>
      </c>
      <c r="BS109" s="19">
        <f>SUM(MIN(BS2:INDEX($BS:$BS,LOOKUP(2,1/(ISNUMBER($A$2:$A$1048576)),ROW($A$2:$A$1048576))))*-1)</f>
        <v/>
      </c>
      <c r="BT109" s="19">
        <f>SUM(MIN(BT2:INDEX($BT:$BT,LOOKUP(2,1/(ISNUMBER($A$2:$A$1048576)),ROW($A$2:$A$1048576))))*-1)</f>
        <v/>
      </c>
      <c r="BU109" s="19">
        <f>SUM(MIN(BU2:INDEX($BU:$BU,LOOKUP(2,1/(ISNUMBER($A$2:$A$1048576)),ROW($A$2:$A$1048576))))*-1)</f>
        <v/>
      </c>
      <c r="BV109" s="19">
        <f>SUM(MIN(BV2:INDEX($BV:$BV,LOOKUP(2,1/(ISNUMBER($A$2:$A$1048576)),ROW($A$2:$A$1048576))))*-1)</f>
        <v/>
      </c>
      <c r="BW109" s="19">
        <f>SUM(MIN(BW2:INDEX($BW:$BW,LOOKUP(2,1/(ISNUMBER($A$2:$A$1048576)),ROW($A$2:$A$1048576))))*-1)</f>
        <v/>
      </c>
      <c r="BX109" s="19">
        <f>SUM(MIN(BX2:INDEX($BX:$BX,LOOKUP(2,1/(ISNUMBER($A$2:$A$1048576)),ROW($A$2:$A$1048576))))*-1)</f>
        <v/>
      </c>
      <c r="BY109" s="19">
        <f>SUM(MIN(BY2:INDEX($BY:$BY,LOOKUP(2,1/(ISNUMBER($A$2:$A$1048576)),ROW($A$2:$A$1048576))))*-1)</f>
        <v/>
      </c>
      <c r="BZ109" s="19">
        <f>SUM(MIN(BZ2:INDEX($BZ:$BZ,LOOKUP(2,1/(ISNUMBER($A$2:$A$1048576)),ROW($A$2:$A$1048576))))*-1)</f>
        <v/>
      </c>
      <c r="CA109" s="19">
        <f>SUM(MIN(CA2:INDEX($CA:$CA,LOOKUP(2,1/(ISNUMBER($A$2:$A$1048576)),ROW($A$2:$A$1048576))))*-1)</f>
        <v/>
      </c>
      <c r="CB109" s="19">
        <f>SUM(MIN(CB2:INDEX($CB:$CB,LOOKUP(2,1/(ISNUMBER($A$2:$A$1048576)),ROW($A$2:$A$1048576))))*-1)</f>
        <v/>
      </c>
      <c r="CC109" s="19" t="n"/>
      <c r="CD109" s="19" t="n"/>
      <c r="CE109" s="19">
        <f>SUM(MIN(CE2:INDEX($CE:$CE,LOOKUP(2,1/(ISNUMBER($A$2:$A$1048576)),ROW($A$2:$A$1048576))))*-1)</f>
        <v/>
      </c>
      <c r="CF109" s="19" t="n"/>
      <c r="CG109" s="19" t="n"/>
      <c r="CH109" s="19">
        <f>SUM(MIN(CH2:INDEX($CH:$CH,LOOKUP(2,1/(ISNUMBER($A$2:$A$1048576)),ROW($A$2:$A$1048576))))*-1)</f>
        <v/>
      </c>
      <c r="CI109" s="19">
        <f>SUM(MIN(CI2:INDEX($CI:$CI,LOOKUP(2,1/(ISNUMBER($A$2:$A$1048576)),ROW($A$2:$A$1048576))))*-1)</f>
        <v/>
      </c>
      <c r="CJ109" s="19">
        <f>SUM(MIN(CJ2:INDEX($CJ:$CJ,LOOKUP(2,1/(ISNUMBER($A$2:$A$1048576)),ROW($A$2:$A$1048576))))*-1)</f>
        <v/>
      </c>
      <c r="CK109" s="19" t="n"/>
      <c r="CL109" s="19" t="n"/>
      <c r="CM109" s="19">
        <f>SUM(MIN(CM2:INDEX($CM:$CM,LOOKUP(2,1/(ISNUMBER($A$2:$A$1048576)),ROW($A$2:$A$1048576))))*-1)</f>
        <v/>
      </c>
      <c r="CN109" s="19">
        <f>SUM(MIN(CN2:INDEX($CN:$CN,LOOKUP(2,1/(ISNUMBER($A$2:$A$1048576)),ROW($A$2:$A$1048576))))*-1)</f>
        <v/>
      </c>
      <c r="CO109" s="19">
        <f>SUM(MIN(CO2:INDEX($CO:$CO,LOOKUP(2,1/(ISNUMBER($A$2:$A$1048576)),ROW($A$2:$A$1048576))))*-1)</f>
        <v/>
      </c>
      <c r="CP109" s="19">
        <f>SUM(MIN(CP2:INDEX($CP:$CP,LOOKUP(2,1/(ISNUMBER($A$2:$A$1048576)),ROW($A$2:$A$1048576))))*-1)</f>
        <v/>
      </c>
      <c r="CQ109" s="19">
        <f>SUM(MIN(CQ2:INDEX($CQ:$CQ,LOOKUP(2,1/(ISNUMBER($A$2:$A$1048576)),ROW($A$2:$A$1048576))))*-1)</f>
        <v/>
      </c>
      <c r="CR109" s="19">
        <f>SUM(MIN(CR2:INDEX($CR:$CR,LOOKUP(2,1/(ISNUMBER($A$2:$A$1048576)),ROW($A$2:$A$1048576))))*-1)</f>
        <v/>
      </c>
      <c r="CS109" s="19" t="n"/>
      <c r="CT109" s="19" t="n"/>
      <c r="CU109" s="19">
        <f>SUM(MIN(CU2:INDEX($CU:$CU,LOOKUP(2,1/(ISNUMBER($A$2:$A$1048576)),ROW($A$2:$A$1048576))))*-1)</f>
        <v/>
      </c>
      <c r="CV109" s="19" t="n"/>
      <c r="CW109" s="19" t="n"/>
      <c r="CX109" s="19">
        <f>SUM(MIN(CX2:INDEX($CX:$CX,LOOKUP(2,1/(ISNUMBER($A$2:$A$1048576)),ROW($A$2:$A$1048576))))*-1)</f>
        <v/>
      </c>
      <c r="CY109" s="19">
        <f>SUM(MIN(CY2:INDEX($CY:$CY,LOOKUP(2,1/(ISNUMBER($A$2:$A$1048576)),ROW($A$2:$A$1048576))))*-1)</f>
        <v/>
      </c>
      <c r="CZ109" s="19">
        <f>SUM(MIN(CZ2:INDEX($CZ:$CZ,LOOKUP(2,1/(ISNUMBER($A$2:$A$1048576)),ROW($A$2:$A$1048576))))*-1)</f>
        <v/>
      </c>
      <c r="DA109" s="19">
        <f>SUM(MIN(DA2:INDEX($DA:$DA,LOOKUP(2,1/(ISNUMBER($A$2:$A$1048576)),ROW($A$2:$A$1048576))))*-1)</f>
        <v/>
      </c>
      <c r="DB109" s="19">
        <f>SUM(MIN(DB2:INDEX($DB:$DB,LOOKUP(2,1/(ISNUMBER($A$2:$A$1048576)),ROW($A$2:$A$1048576))))*-1)</f>
        <v/>
      </c>
      <c r="DC109" s="19">
        <f>SUM(MIN(DC2:INDEX($DC:$DC,LOOKUP(2,1/(ISNUMBER($A$2:$A$1048576)),ROW($A$2:$A$1048576))))*-1)</f>
        <v/>
      </c>
      <c r="DD109" s="19">
        <f>SUM(MIN(DD2:INDEX($DD:$DD,LOOKUP(2,1/(ISNUMBER($A$2:$A$1048576)),ROW($A$2:$A$1048576))))*-1)</f>
        <v/>
      </c>
      <c r="DE109" s="19">
        <f>SUM(MIN(DE2:INDEX($DE:$DE,LOOKUP(2,1/(ISNUMBER($A$2:$A$1048576)),ROW($A$2:$A$1048576))))*-1)</f>
        <v/>
      </c>
      <c r="DF109" s="19">
        <f>SUM(MIN(DF2:INDEX($DF:$DF,LOOKUP(2,1/(ISNUMBER($A$2:$A$1048576)),ROW($A$2:$A$1048576))))*-1)</f>
        <v/>
      </c>
      <c r="DG109" s="19">
        <f>SUM(MIN(DG2:INDEX($DG:$DG,LOOKUP(2,1/(ISNUMBER($A$2:$A$1048576)),ROW($A$2:$A$1048576))))*-1)</f>
        <v/>
      </c>
      <c r="DH109" s="19">
        <f>SUM(MIN(DH2:INDEX($DH:$DH,LOOKUP(2,1/(ISNUMBER($A$2:$A$1048576)),ROW($A$2:$A$1048576))))*-1)</f>
        <v/>
      </c>
      <c r="DI109" s="19" t="n"/>
      <c r="DJ109" s="19" t="n"/>
      <c r="DK109" s="19">
        <f>SUM(MIN(DK2:INDEX($DK:$DK,LOOKUP(2,1/(ISNUMBER($A$2:$A$1048576)),ROW($A$2:$A$1048576))))*-1)</f>
        <v/>
      </c>
      <c r="DL109" s="19">
        <f>SUM(MIN(DL2:INDEX($DL:$DL,LOOKUP(2,1/(ISNUMBER($A$2:$A$1048576)),ROW($A$2:$A$1048576))))*-1)</f>
        <v/>
      </c>
      <c r="DM109" s="19">
        <f>SUM(MIN(DM2:INDEX($DM:$DM,LOOKUP(2,1/(ISNUMBER($A$2:$A$1048576)),ROW($A$2:$A$1048576))))*-1)</f>
        <v/>
      </c>
      <c r="DN109" s="19">
        <f>SUM(MIN(DN2:INDEX($DN:$DN,LOOKUP(2,1/(ISNUMBER($A$2:$A$1048576)),ROW($A$2:$A$1048576))))*-1)</f>
        <v/>
      </c>
      <c r="DO109" s="19">
        <f>SUM(MIN(DO2:INDEX($DO:$DO,LOOKUP(2,1/(ISNUMBER($A$2:$A$1048576)),ROW($A$2:$A$1048576))))*-1)</f>
        <v/>
      </c>
      <c r="DP109" s="19">
        <f>SUM(MIN(DP2:INDEX($DP:$DP,LOOKUP(2,1/(ISNUMBER($A$2:$A$1048576)),ROW($A$2:$A$1048576))))*-1)</f>
        <v/>
      </c>
      <c r="DQ109" s="19" t="n"/>
      <c r="DR109" s="19" t="n"/>
      <c r="DS109" s="19">
        <f>SUM(MIN(DS2:INDEX($DS:$DS,LOOKUP(2,1/(ISNUMBER($A$2:$A$1048576)),ROW($A$2:$A$1048576))))*-1)</f>
        <v/>
      </c>
      <c r="DT109" s="19">
        <f>SUM(MIN(DT2:INDEX($DT:$DT,LOOKUP(2,1/(ISNUMBER($A$2:$A$1048576)),ROW($A$2:$A$1048576))))*-1)</f>
        <v/>
      </c>
      <c r="DU109" s="19">
        <f>SUM(MIN(DU2:INDEX($DU:$DU,LOOKUP(2,1/(ISNUMBER($A$2:$A$1048576)),ROW($A$2:$A$1048576))))*-1)</f>
        <v/>
      </c>
      <c r="DV109" s="19">
        <f>SUM(MIN(DV2:INDEX($DV:$DV,LOOKUP(2,1/(ISNUMBER($A$2:$A$1048576)),ROW($A$2:$A$1048576))))*-1)</f>
        <v/>
      </c>
      <c r="DW109" s="19">
        <f>SUM(MIN(DW2:INDEX($DW:$DW,LOOKUP(2,1/(ISNUMBER($A$2:$A$1048576)),ROW($A$2:$A$1048576))))*-1)</f>
        <v/>
      </c>
      <c r="DX109" s="19">
        <f>SUM(MIN(DX2:INDEX($DX:$DX,LOOKUP(2,1/(ISNUMBER($A$2:$A$1048576)),ROW($A$2:$A$1048576))))*-1)</f>
        <v/>
      </c>
      <c r="DY109" s="19">
        <f>SUM(MIN(DY2:INDEX($DY:$DY,LOOKUP(2,1/(ISNUMBER($A$2:$A$1048576)),ROW($A$2:$A$1048576))))*-1)</f>
        <v/>
      </c>
      <c r="DZ109" s="19">
        <f>SUM(MIN(DZ2:INDEX($DZ:$DZ,LOOKUP(2,1/(ISNUMBER($A$2:$A$1048576)),ROW($A$2:$A$1048576))))*-1)</f>
        <v/>
      </c>
      <c r="EA109" s="19">
        <f>SUM(MIN(EA2:INDEX($EA:$EA,LOOKUP(2,1/(ISNUMBER($A$2:$A$1048576)),ROW($A$2:$A$1048576))))*-1)</f>
        <v/>
      </c>
      <c r="EB109" s="19">
        <f>SUM(MIN(EB2:INDEX($EB:$EB,LOOKUP(2,1/(ISNUMBER($A$2:$A$1048576)),ROW($A$2:$A$1048576))))*-1)</f>
        <v/>
      </c>
      <c r="EC109" s="19">
        <f>SUM(MIN(EC2:INDEX($EC:$EC,LOOKUP(2,1/(ISNUMBER($A$2:$A$1048576)),ROW($A$2:$A$1048576))))*-1)</f>
        <v/>
      </c>
      <c r="ED109" s="19">
        <f>SUM(MIN(ED2:INDEX($ED:$ED,LOOKUP(2,1/(ISNUMBER($A$2:$A$1048576)),ROW($A$2:$A$1048576))))*-1)</f>
        <v/>
      </c>
      <c r="EE109" s="19" t="n"/>
      <c r="EF109" s="19" t="n"/>
      <c r="EG109" s="19">
        <f>SUM(MIN(EG2:INDEX($EG:$EG,LOOKUP(2,1/(ISNUMBER($A$2:$A$1048576)),ROW($A$2:$A$1048576))))*-1)</f>
        <v/>
      </c>
      <c r="EH109" s="19">
        <f>SUM(MIN(EH2:INDEX($EH:$EH,LOOKUP(2,1/(ISNUMBER($A$2:$A$1048576)),ROW($A$2:$A$1048576))))*-1)</f>
        <v/>
      </c>
      <c r="EI109" s="19">
        <f>SUM(MIN(EI2:INDEX($EI:$EI,LOOKUP(2,1/(ISNUMBER($A$2:$A$1048576)),ROW($A$2:$A$1048576))))*-1)</f>
        <v/>
      </c>
      <c r="EJ109" s="19" t="n"/>
      <c r="EK109" s="19" t="n"/>
      <c r="EL109" s="19">
        <f>SUM(MIN(EL2:INDEX($EL:$EL,LOOKUP(2,1/(ISNUMBER($A$2:$A$1048576)),ROW($A$2:$A$1048576))))*-1)</f>
        <v/>
      </c>
      <c r="EM109" s="19">
        <f>SUM(MIN(EM2:INDEX($EM:$EM,LOOKUP(2,1/(ISNUMBER($A$2:$A$1048576)),ROW($A$2:$A$1048576))))*-1)</f>
        <v/>
      </c>
      <c r="EN109" s="19">
        <f>SUM(MIN(EN2:INDEX($EN:$EN,LOOKUP(2,1/(ISNUMBER($A$2:$A$1048576)),ROW($A$2:$A$1048576))))*-1)</f>
        <v/>
      </c>
      <c r="EO109" s="19">
        <f>SUM(MIN(EO2:INDEX($EO:$EO,LOOKUP(2,1/(ISNUMBER($A$2:$A$1048576)),ROW($A$2:$A$1048576))))*-1)</f>
        <v/>
      </c>
      <c r="EP109" s="19">
        <f>SUM(MIN(EP2:INDEX($EP:$EP,LOOKUP(2,1/(ISNUMBER($A$2:$A$1048576)),ROW($A$2:$A$1048576))))*-1)</f>
        <v/>
      </c>
      <c r="EQ109" s="19">
        <f>SUM(MIN(EQ2:INDEX($EQ:$EQ,LOOKUP(2,1/(ISNUMBER($A$2:$A$1048576)),ROW($A$2:$A$1048576))))*-1)</f>
        <v/>
      </c>
      <c r="ER109" s="19">
        <f>SUM(MIN(ER2:INDEX($ER:$ER,LOOKUP(2,1/(ISNUMBER($A$2:$A$1048576)),ROW($A$2:$A$1048576))))*-1)</f>
        <v/>
      </c>
      <c r="ES109" s="19">
        <f>SUM(MIN(ES2:INDEX($ES:$ES,LOOKUP(2,1/(ISNUMBER($A$2:$A$1048576)),ROW($A$2:$A$1048576))))*-1)</f>
        <v/>
      </c>
      <c r="ET109" s="19">
        <f>SUM(MIN(ET2:INDEX($ET:$ET,LOOKUP(2,1/(ISNUMBER($A$2:$A$1048576)),ROW($A$2:$A$1048576))))*-1)</f>
        <v/>
      </c>
      <c r="EU109" s="19">
        <f>SUM(MIN(EU2:INDEX($EU:$EU,LOOKUP(2,1/(ISNUMBER($A$2:$A$1048576)),ROW($A$2:$A$1048576))))*-1)</f>
        <v/>
      </c>
      <c r="EV109" s="19">
        <f>SUM(MIN(EV2:INDEX($EV:$EV,LOOKUP(2,1/(ISNUMBER($A$2:$A$1048576)),ROW($A$2:$A$1048576))))*-1)</f>
        <v/>
      </c>
      <c r="EW109" s="19">
        <f>SUM(MIN(EW2:INDEX($EW:$EW,LOOKUP(2,1/(ISNUMBER($A$2:$A$1048576)),ROW($A$2:$A$1048576))))*-1)</f>
        <v/>
      </c>
      <c r="EX109" s="19" t="n"/>
      <c r="EY109" s="19" t="n"/>
      <c r="EZ109" s="19">
        <f>SUM(MIN(EZ2:INDEX($EZ:$EZ,LOOKUP(2,1/(ISNUMBER($A$2:$A$1048576)),ROW($A$2:$A$1048576))))*-1)</f>
        <v/>
      </c>
      <c r="FA109" s="19">
        <f>SUM(MIN(FA2:INDEX($FA:$FA,LOOKUP(2,1/(ISNUMBER($A$2:$A$1048576)),ROW($A$2:$A$1048576))))*-1)</f>
        <v/>
      </c>
      <c r="FB109" s="19" t="n"/>
      <c r="FC109" s="19" t="n"/>
      <c r="FD109" s="19">
        <f>SUM(MIN(FD2:INDEX($FD:$FD,LOOKUP(2,1/(ISNUMBER($A$2:$A$1048576)),ROW($A$2:$A$1048576))))*-1)</f>
        <v/>
      </c>
      <c r="FE109" s="19">
        <f>SUM(MIN(FE2:INDEX($FE:$FE,LOOKUP(2,1/(ISNUMBER($A$2:$A$1048576)),ROW($A$2:$A$1048576))))*-1)</f>
        <v/>
      </c>
      <c r="FF109" s="19" t="n"/>
      <c r="FG109" s="19" t="n"/>
      <c r="FH109" s="19">
        <f>SUM(MIN(FH2:INDEX($FH:$FH,LOOKUP(2,1/(ISNUMBER($A$2:$A$1048576)),ROW($A$2:$A$1048576))))*-1)</f>
        <v/>
      </c>
      <c r="FI109" s="19">
        <f>SUM(MIN(FI2:INDEX($FI:$FI,LOOKUP(2,1/(ISNUMBER($A$2:$A$1048576)),ROW($A$2:$A$1048576))))*-1)</f>
        <v/>
      </c>
      <c r="FJ109" s="19">
        <f>SUM(MIN(FJ2:INDEX($FJ:$FJ,LOOKUP(2,1/(ISNUMBER($A$2:$A$1048576)),ROW($A$2:$A$1048576))))*-1)</f>
        <v/>
      </c>
      <c r="FK109" s="19">
        <f>SUM(MIN(FK2:INDEX($FK:$FK,LOOKUP(2,1/(ISNUMBER($A$2:$A$1048576)),ROW($A$2:$A$1048576))))*-1)</f>
        <v/>
      </c>
      <c r="FL109" s="19" t="n"/>
      <c r="FM109" s="19" t="n"/>
      <c r="FN109" s="19">
        <f>SUM(MIN(FN2:INDEX($FN:$FN,LOOKUP(2,1/(ISNUMBER($A$2:$A$1048576)),ROW($A$2:$A$1048576))))*-1)</f>
        <v/>
      </c>
      <c r="FO109" s="19">
        <f>SUM(MIN(FO2:INDEX($FO:$FO,LOOKUP(2,1/(ISNUMBER($A$2:$A$1048576)),ROW($A$2:$A$1048576))))*-1)</f>
        <v/>
      </c>
      <c r="FP109" s="19">
        <f>SUM(MIN(FP2:INDEX($FP:$FP,LOOKUP(2,1/(ISNUMBER($A$2:$A$1048576)),ROW($A$2:$A$1048576))))*-1)</f>
        <v/>
      </c>
      <c r="FQ109" s="19">
        <f>SUM(MIN(FQ2:INDEX($FQ:$FQ,LOOKUP(2,1/(ISNUMBER($A$2:$A$1048576)),ROW($A$2:$A$1048576))))*-1)</f>
        <v/>
      </c>
      <c r="FR109" s="19">
        <f>SUM(MIN(FR2:INDEX($FR:$FR,LOOKUP(2,1/(ISNUMBER($A$2:$A$1048576)),ROW($A$2:$A$1048576))))*-1)</f>
        <v/>
      </c>
      <c r="FS109" s="19">
        <f>SUM(MIN(FS2:INDEX($FS:$FS,LOOKUP(2,1/(ISNUMBER($A$2:$A$1048576)),ROW($A$2:$A$1048576))))*-1)</f>
        <v/>
      </c>
      <c r="FT109" s="19">
        <f>SUM(MIN(FT2:INDEX($FT:$FT,LOOKUP(2,1/(ISNUMBER($A$2:$A$1048576)),ROW($A$2:$A$1048576))))*-1)</f>
        <v/>
      </c>
      <c r="FU109" s="19">
        <f>SUM(MIN(FU2:INDEX($FU:$FU,LOOKUP(2,1/(ISNUMBER($A$2:$A$1048576)),ROW($A$2:$A$1048576))))*-1)</f>
        <v/>
      </c>
      <c r="FV109" s="19">
        <f>SUM(MIN(FV2:INDEX($FV:$FV,LOOKUP(2,1/(ISNUMBER($A$2:$A$1048576)),ROW($A$2:$A$1048576))))*-1)</f>
        <v/>
      </c>
      <c r="FW109" s="19">
        <f>SUM(MIN(FW2:INDEX($FW:$FW,LOOKUP(2,1/(ISNUMBER($A$2:$A$1048576)),ROW($A$2:$A$1048576))))*-1)</f>
        <v/>
      </c>
      <c r="FX109" s="19">
        <f>SUM(MIN(FX2:INDEX($FX:$FX,LOOKUP(2,1/(ISNUMBER($A$2:$A$1048576)),ROW($A$2:$A$1048576))))*-1)</f>
        <v/>
      </c>
      <c r="FY109" s="19">
        <f>SUM(MIN(FY2:INDEX($FY:$FY,LOOKUP(2,1/(ISNUMBER($A$2:$A$1048576)),ROW($A$2:$A$1048576))))*-1)</f>
        <v/>
      </c>
      <c r="FZ109" s="19">
        <f>SUM(MIN(FZ2:INDEX($FZ:$FZ,LOOKUP(2,1/(ISNUMBER($A$2:$A$1048576)),ROW($A$2:$A$1048576))))*-1)</f>
        <v/>
      </c>
      <c r="GA109" s="19">
        <f>SUM(MIN(GA2:INDEX($GA:$GA,LOOKUP(2,1/(ISNUMBER($A$2:$A$1048576)),ROW($A$2:$A$1048576))))*-1)</f>
        <v/>
      </c>
      <c r="GB109" s="19">
        <f>SUM(MIN(GB2:INDEX($GB:$GB,LOOKUP(2,1/(ISNUMBER($A$2:$A$1048576)),ROW($A$2:$A$1048576))))*-1)</f>
        <v/>
      </c>
      <c r="GC109" s="19">
        <f>SUM(MIN(GC2:INDEX($GC:$GC,LOOKUP(2,1/(ISNUMBER($A$2:$A$1048576)),ROW($A$2:$A$1048576))))*-1)</f>
        <v/>
      </c>
      <c r="GD109" s="19">
        <f>SUM(MIN(GD2:INDEX($GD:$GD,LOOKUP(2,1/(ISNUMBER($A$2:$A$1048576)),ROW($A$2:$A$1048576))))*-1)</f>
        <v/>
      </c>
      <c r="GE109" s="19">
        <f>SUM(MIN(GE2:INDEX($GE:$GE,LOOKUP(2,1/(ISNUMBER($A$2:$A$1048576)),ROW($A$2:$A$1048576))))*-1)</f>
        <v/>
      </c>
      <c r="GF109" s="19">
        <f>SUM(MIN(GF2:INDEX($GF:$GF,LOOKUP(2,1/(ISNUMBER($A$2:$A$1048576)),ROW($A$2:$A$1048576))))*-1)</f>
        <v/>
      </c>
      <c r="GG109" s="19">
        <f>SUM(MIN(GG2:INDEX($GG:$GG,LOOKUP(2,1/(ISNUMBER($A$2:$A$1048576)),ROW($A$2:$A$1048576))))*-1)</f>
        <v/>
      </c>
      <c r="GH109" s="19">
        <f>SUM(MIN(GH2:INDEX($GH:$GH,LOOKUP(2,1/(ISNUMBER($A$2:$A$1048576)),ROW($A$2:$A$1048576))))*-1)</f>
        <v/>
      </c>
      <c r="GI109" s="19">
        <f>SUM(MIN(GI2:INDEX($GI:$GI,LOOKUP(2,1/(ISNUMBER($A$2:$A$1048576)),ROW($A$2:$A$1048576))))*-1)</f>
        <v/>
      </c>
      <c r="GJ109" s="19">
        <f>SUM(MIN(GJ2:INDEX($GJ:$GJ,LOOKUP(2,1/(ISNUMBER($A$2:$A$1048576)),ROW($A$2:$A$1048576))))*-1)</f>
        <v/>
      </c>
      <c r="GK109" s="19">
        <f>SUM(MIN(GK2:INDEX($GK:$GK,LOOKUP(2,1/(ISNUMBER($A$2:$A$1048576)),ROW($A$2:$A$1048576))))*-1)</f>
        <v/>
      </c>
      <c r="GL109" s="19">
        <f>SUM(MIN(GL2:INDEX($GL:$GL,LOOKUP(2,1/(ISNUMBER($A$2:$A$1048576)),ROW($A$2:$A$1048576))))*-1)</f>
        <v/>
      </c>
      <c r="GM109" s="19">
        <f>SUM(MIN(GM2:INDEX($GM:$GM,LOOKUP(2,1/(ISNUMBER($A$2:$A$1048576)),ROW($A$2:$A$1048576))))*-1)</f>
        <v/>
      </c>
      <c r="GN109" s="19">
        <f>SUM(MIN(GN2:INDEX($GN:$GN,LOOKUP(2,1/(ISNUMBER($A$2:$A$1048576)),ROW($A$2:$A$1048576))))*-1)</f>
        <v/>
      </c>
      <c r="GO109" s="19">
        <f>SUM(MIN(GO2:INDEX($GO:$GO,LOOKUP(2,1/(ISNUMBER($A$2:$A$1048576)),ROW($A$2:$A$1048576))))*-1)</f>
        <v/>
      </c>
      <c r="GP109" s="19">
        <f>SUM(MIN(GP2:INDEX($GP:$GP,LOOKUP(2,1/(ISNUMBER($A$2:$A$1048576)),ROW($A$2:$A$1048576))))*-1)</f>
        <v/>
      </c>
      <c r="GQ109" s="19">
        <f>SUM(MIN(GQ2:INDEX($GQ:$GQ,LOOKUP(2,1/(ISNUMBER($A$2:$A$1048576)),ROW($A$2:$A$1048576))))*-1)</f>
        <v/>
      </c>
      <c r="GR109" s="19">
        <f>SUM(MIN(GR2:INDEX($GR:$GR,LOOKUP(2,1/(ISNUMBER($A$2:$A$1048576)),ROW($A$2:$A$1048576))))*-1)</f>
        <v/>
      </c>
      <c r="GS109" s="19">
        <f>SUM(MIN(GS2:INDEX($GS:$GS,LOOKUP(2,1/(ISNUMBER($A$2:$A$1048576)),ROW($A$2:$A$1048576))))*-1)</f>
        <v/>
      </c>
      <c r="GT109" s="19">
        <f>SUM(MIN(GT2:INDEX($GT:$GT,LOOKUP(2,1/(ISNUMBER($A$2:$A$1048576)),ROW($A$2:$A$1048576))))*-1)</f>
        <v/>
      </c>
      <c r="GU109" s="19">
        <f>SUM(MIN(GU2:INDEX($GU:$GU,LOOKUP(2,1/(ISNUMBER($A$2:$A$1048576)),ROW($A$2:$A$1048576))))*-1)</f>
        <v/>
      </c>
      <c r="GV109" s="19">
        <f>SUM(MIN(GV2:INDEX($GV:$GV,LOOKUP(2,1/(ISNUMBER($A$2:$A$1048576)),ROW($A$2:$A$1048576))))*-1)</f>
        <v/>
      </c>
      <c r="GW109" s="19">
        <f>SUM(MIN(GW2:INDEX($GW:$GW,LOOKUP(2,1/(ISNUMBER($A$2:$A$1048576)),ROW($A$2:$A$1048576))))*-1)</f>
        <v/>
      </c>
      <c r="GX109" s="19">
        <f>SUM(MIN(GX2:INDEX($GX:$GX,LOOKUP(2,1/(ISNUMBER($A$2:$A$1048576)),ROW($A$2:$A$1048576))))*-1)</f>
        <v/>
      </c>
      <c r="GY109" s="19">
        <f>SUM(MIN(GY2:INDEX($GY:$GY,LOOKUP(2,1/(ISNUMBER($A$2:$A$1048576)),ROW($A$2:$A$1048576))))*-1)</f>
        <v/>
      </c>
      <c r="GZ109" s="19">
        <f>SUM(MIN(GZ2:INDEX($GZ:$GZ,LOOKUP(2,1/(ISNUMBER($A$2:$A$1048576)),ROW($A$2:$A$1048576))))*-1)</f>
        <v/>
      </c>
      <c r="HA109" s="19">
        <f>SUM(MIN(HA2:INDEX($HA:$HA,LOOKUP(2,1/(ISNUMBER($A$2:$A$1048576)),ROW($A$2:$A$1048576))))*-1)</f>
        <v/>
      </c>
      <c r="HB109" s="19">
        <f>SUM(MIN(HB2:INDEX($HB:$HB,LOOKUP(2,1/(ISNUMBER($A$2:$A$1048576)),ROW($A$2:$A$1048576))))*-1)</f>
        <v/>
      </c>
      <c r="HC109" s="19">
        <f>SUM(MIN(HC2:INDEX($HC:$HC,LOOKUP(2,1/(ISNUMBER($A$2:$A$1048576)),ROW($A$2:$A$1048576))))*-1)</f>
        <v/>
      </c>
      <c r="HD109" s="19">
        <f>SUM(MIN(HD2:INDEX($HD:$HD,LOOKUP(2,1/(ISNUMBER($A$2:$A$1048576)),ROW($A$2:$A$1048576))))*-1)</f>
        <v/>
      </c>
      <c r="HE109" s="19">
        <f>SUM(MIN(HE2:INDEX($HE:$HE,LOOKUP(2,1/(ISNUMBER($A$2:$A$1048576)),ROW($A$2:$A$1048576))))*-1)</f>
        <v/>
      </c>
      <c r="HF109" s="19">
        <f>SUM(MIN(HF2:INDEX($HF:$HF,LOOKUP(2,1/(ISNUMBER($A$2:$A$1048576)),ROW($A$2:$A$1048576))))*-1)</f>
        <v/>
      </c>
      <c r="HG109" s="19">
        <f>SUM(MIN(HG2:INDEX($HG:$HG,LOOKUP(2,1/(ISNUMBER($A$2:$A$1048576)),ROW($A$2:$A$1048576))))*-1)</f>
        <v/>
      </c>
      <c r="HH109" s="19">
        <f>SUM(MIN(HH2:INDEX($HH:$HH,LOOKUP(2,1/(ISNUMBER($A$2:$A$1048576)),ROW($A$2:$A$1048576))))*-1)</f>
        <v/>
      </c>
      <c r="HI109" s="19">
        <f>SUM(MIN(HI2:INDEX($HI:$HI,LOOKUP(2,1/(ISNUMBER($A$2:$A$1048576)),ROW($A$2:$A$1048576))))*-1)</f>
        <v/>
      </c>
      <c r="HJ109" s="19">
        <f>SUM(MIN(HJ2:INDEX($HJ:$HJ,LOOKUP(2,1/(ISNUMBER($A$2:$A$1048576)),ROW($A$2:$A$1048576))))*-1)</f>
        <v/>
      </c>
      <c r="HK109" s="19">
        <f>SUM(MIN(HK2:INDEX($HK:$HK,LOOKUP(2,1/(ISNUMBER($A$2:$A$1048576)),ROW($A$2:$A$1048576))))*-1)</f>
        <v/>
      </c>
      <c r="HL109" s="19">
        <f>SUM(MIN(HL2:INDEX($HL:$HL,LOOKUP(2,1/(ISNUMBER($A$2:$A$1048576)),ROW($A$2:$A$1048576))))*-1)</f>
        <v/>
      </c>
      <c r="HM109" s="19">
        <f>SUM(MIN(HM2:INDEX($HM:$HM,LOOKUP(2,1/(ISNUMBER($A$2:$A$1048576)),ROW($A$2:$A$1048576))))*-1)</f>
        <v/>
      </c>
      <c r="HN109" s="19">
        <f>SUM(MIN(HN2:INDEX($HN:$HN,LOOKUP(2,1/(ISNUMBER($A$2:$A$1048576)),ROW($A$2:$A$1048576))))*-1)</f>
        <v/>
      </c>
      <c r="HO109" s="19">
        <f>SUM(MIN(HO2:INDEX($HO:$HO,LOOKUP(2,1/(ISNUMBER($A$2:$A$1048576)),ROW($A$2:$A$1048576))))*-1)</f>
        <v/>
      </c>
      <c r="HP109" s="19">
        <f>SUM(MIN(HP2:INDEX($HP:$HP,LOOKUP(2,1/(ISNUMBER($A$2:$A$1048576)),ROW($A$2:$A$1048576))))*-1)</f>
        <v/>
      </c>
      <c r="HQ109" s="19">
        <f>SUM(MIN(HQ2:INDEX($HQ:$HQ,LOOKUP(2,1/(ISNUMBER($A$2:$A$1048576)),ROW($A$2:$A$1048576))))*-1)</f>
        <v/>
      </c>
      <c r="HR109" s="19">
        <f>SUM(MIN(HR2:INDEX($HR:$HR,LOOKUP(2,1/(ISNUMBER($A$2:$A$1048576)),ROW($A$2:$A$1048576))))*-1)</f>
        <v/>
      </c>
      <c r="HS109" s="19">
        <f>SUM(MIN(HS2:INDEX($HS:$HS,LOOKUP(2,1/(ISNUMBER($A$2:$A$1048576)),ROW($A$2:$A$1048576))))*-1)</f>
        <v/>
      </c>
      <c r="HT109" s="19">
        <f>SUM(MIN(HT2:INDEX($HT:$HT,LOOKUP(2,1/(ISNUMBER($A$2:$A$1048576)),ROW($A$2:$A$1048576))))*-1)</f>
        <v/>
      </c>
      <c r="HU109" s="19">
        <f>SUM(MIN(HU2:INDEX($HU:$HU,LOOKUP(2,1/(ISNUMBER($A$2:$A$1048576)),ROW($A$2:$A$1048576))))*-1)</f>
        <v/>
      </c>
      <c r="HV109" s="19">
        <f>SUM(MIN(HV2:INDEX($HV:$HV,LOOKUP(2,1/(ISNUMBER($A$2:$A$1048576)),ROW($A$2:$A$1048576))))*-1)</f>
        <v/>
      </c>
      <c r="HW109" s="19">
        <f>SUM(MIN(HW2:INDEX($HW:$HW,LOOKUP(2,1/(ISNUMBER($A$2:$A$1048576)),ROW($A$2:$A$1048576))))*-1)</f>
        <v/>
      </c>
      <c r="HX109" s="19">
        <f>SUM(MIN(HX2:INDEX($HX:$HX,LOOKUP(2,1/(ISNUMBER($A$2:$A$1048576)),ROW($A$2:$A$1048576))))*-1)</f>
        <v/>
      </c>
      <c r="HY109" s="19">
        <f>SUM(MIN(HY2:INDEX($HY:$HY,LOOKUP(2,1/(ISNUMBER($A$2:$A$1048576)),ROW($A$2:$A$1048576))))*-1)</f>
        <v/>
      </c>
      <c r="HZ109" s="19">
        <f>SUM(MIN(HZ2:INDEX($HZ:$HZ,LOOKUP(2,1/(ISNUMBER($A$2:$A$1048576)),ROW($A$2:$A$1048576))))*-1)</f>
        <v/>
      </c>
      <c r="IA109" s="19">
        <f>SUM(MIN(IA2:INDEX($IA:$IA,LOOKUP(2,1/(ISNUMBER($A$2:$A$1048576)),ROW($A$2:$A$1048576))))*-1)</f>
        <v/>
      </c>
      <c r="IB109" s="19">
        <f>SUM(MIN(IB2:INDEX($IB:$IB,LOOKUP(2,1/(ISNUMBER($A$2:$A$1048576)),ROW($A$2:$A$1048576))))*-1)</f>
        <v/>
      </c>
      <c r="IC109" s="19">
        <f>SUM(MIN(IC2:INDEX($IC:$IC,LOOKUP(2,1/(ISNUMBER($A$2:$A$1048576)),ROW($A$2:$A$1048576))))*-1)</f>
        <v/>
      </c>
      <c r="ID109" s="19">
        <f>SUM(MIN(ID2:INDEX($ID:$ID,LOOKUP(2,1/(ISNUMBER($A$2:$A$1048576)),ROW($A$2:$A$1048576))))*-1)</f>
        <v/>
      </c>
      <c r="IE109" s="19">
        <f>SUM(MIN(IE2:INDEX($IE:$IE,LOOKUP(2,1/(ISNUMBER($A$2:$A$1048576)),ROW($A$2:$A$1048576))))*-1)</f>
        <v/>
      </c>
      <c r="IF109" s="19">
        <f>SUM(MIN(IF2:INDEX($IF:$IF,LOOKUP(2,1/(ISNUMBER($A$2:$A$1048576)),ROW($A$2:$A$1048576))))*-1)</f>
        <v/>
      </c>
      <c r="IG109" s="19">
        <f>SUM(MIN(IG2:INDEX($IG:$IG,LOOKUP(2,1/(ISNUMBER($A$2:$A$1048576)),ROW($A$2:$A$1048576))))*-1)</f>
        <v/>
      </c>
      <c r="IH109" s="19">
        <f>SUM(MIN(IH2:INDEX($IH:$IH,LOOKUP(2,1/(ISNUMBER($A$2:$A$1048576)),ROW($A$2:$A$1048576))))*-1)</f>
        <v/>
      </c>
      <c r="II109" s="19">
        <f>SUM(MIN(II2:INDEX($II:$II,LOOKUP(2,1/(ISNUMBER($A$2:$A$1048576)),ROW($A$2:$A$1048576))))*-1)</f>
        <v/>
      </c>
      <c r="IJ109" s="19">
        <f>SUM(MIN(IJ2:INDEX($IJ:$IJ,LOOKUP(2,1/(ISNUMBER($A$2:$A$1048576)),ROW($A$2:$A$1048576))))*-1)</f>
        <v/>
      </c>
      <c r="IK109" s="19">
        <f>SUM(MIN(IK2:INDEX($IK:$IK,LOOKUP(2,1/(ISNUMBER($A$2:$A$1048576)),ROW($A$2:$A$1048576))))*-1)</f>
        <v/>
      </c>
      <c r="IL109" s="19">
        <f>SUM(MIN(IL2:INDEX($IL:$IL,LOOKUP(2,1/(ISNUMBER($A$2:$A$1048576)),ROW($A$2:$A$1048576))))*-1)</f>
        <v/>
      </c>
      <c r="IM109" s="19">
        <f>SUM(MIN(IM2:INDEX($IM:$IM,LOOKUP(2,1/(ISNUMBER($A$2:$A$1048576)),ROW($A$2:$A$1048576))))*-1)</f>
        <v/>
      </c>
      <c r="IN109" s="19">
        <f>SUM(MIN(IN2:INDEX($IN:$IN,LOOKUP(2,1/(ISNUMBER($A$2:$A$1048576)),ROW($A$2:$A$1048576))))*-1)</f>
        <v/>
      </c>
      <c r="IO109" s="19">
        <f>SUM(MIN(IO2:INDEX($IO:$IO,LOOKUP(2,1/(ISNUMBER($A$2:$A$1048576)),ROW($A$2:$A$1048576))))*-1)</f>
        <v/>
      </c>
      <c r="IP109" s="19">
        <f>SUM(MIN(IP2:INDEX($IP:$IP,LOOKUP(2,1/(ISNUMBER($A$2:$A$1048576)),ROW($A$2:$A$1048576))))*-1)</f>
        <v/>
      </c>
      <c r="IQ109" s="19">
        <f>SUM(MIN(IQ2:INDEX($IQ:$IQ,LOOKUP(2,1/(ISNUMBER($A$2:$A$1048576)),ROW($A$2:$A$1048576))))*-1)</f>
        <v/>
      </c>
      <c r="IR109" s="19">
        <f>SUM(MIN(IR2:INDEX($IR:$IR,LOOKUP(2,1/(ISNUMBER($A$2:$A$1048576)),ROW($A$2:$A$1048576))))*-1)</f>
        <v/>
      </c>
      <c r="IS109" s="19">
        <f>SUM(MIN(IS2:INDEX($IS:$IS,LOOKUP(2,1/(ISNUMBER($A$2:$A$1048576)),ROW($A$2:$A$1048576))))*-1)</f>
        <v/>
      </c>
      <c r="IT109" s="19" t="n"/>
      <c r="IU109" s="19" t="n"/>
      <c r="IV109" s="19">
        <f>SUM(MIN(IV2:INDEX($IV:$IV,LOOKUP(2,1/(ISNUMBER($A$2:$A$1048576)),ROW($A$2:$A$1048576))))*-1)</f>
        <v/>
      </c>
      <c r="IW109" s="19">
        <f>SUM(MIN(IW2:INDEX($IW:$IW,LOOKUP(2,1/(ISNUMBER($A$2:$A$1048576)),ROW($A$2:$A$1048576))))*-1)</f>
        <v/>
      </c>
      <c r="IX109" s="19">
        <f>SUM(MIN(IX2:INDEX($IX:$IX,LOOKUP(2,1/(ISNUMBER($A$2:$A$1048576)),ROW($A$2:$A$1048576))))*-1)</f>
        <v/>
      </c>
      <c r="IY109" s="19">
        <f>SUM(MIN(IY2:INDEX($IY:$IY,LOOKUP(2,1/(ISNUMBER($A$2:$A$1048576)),ROW($A$2:$A$1048576))))*-1)</f>
        <v/>
      </c>
      <c r="IZ109" s="19">
        <f>SUM(MIN(IZ2:INDEX($IZ:$IZ,LOOKUP(2,1/(ISNUMBER($A$2:$A$1048576)),ROW($A$2:$A$1048576))))*-1)</f>
        <v/>
      </c>
      <c r="JA109" s="19">
        <f>SUM(MIN(JA2:INDEX($JA:$JA,LOOKUP(2,1/(ISNUMBER($A$2:$A$1048576)),ROW($A$2:$A$1048576))))*-1)</f>
        <v/>
      </c>
      <c r="JB109" s="19">
        <f>SUM(MIN(JB2:INDEX($JB:$JB,LOOKUP(2,1/(ISNUMBER($A$2:$A$1048576)),ROW($A$2:$A$1048576))))*-1)</f>
        <v/>
      </c>
      <c r="JC109" s="19">
        <f>SUM(MIN(JC2:INDEX($JC:$JC,LOOKUP(2,1/(ISNUMBER($A$2:$A$1048576)),ROW($A$2:$A$1048576))))*-1)</f>
        <v/>
      </c>
      <c r="JD109" s="19">
        <f>SUM(MIN(JD2:INDEX($JD:$JD,LOOKUP(2,1/(ISNUMBER($A$2:$A$1048576)),ROW($A$2:$A$1048576))))*-1)</f>
        <v/>
      </c>
      <c r="JE109" s="19">
        <f>SUM(MIN(JE2:INDEX($JE:$JE,LOOKUP(2,1/(ISNUMBER($A$2:$A$1048576)),ROW($A$2:$A$1048576))))*-1)</f>
        <v/>
      </c>
      <c r="JF109" s="19">
        <f>SUM(MIN(JF2:INDEX($JF:$JF,LOOKUP(2,1/(ISNUMBER($A$2:$A$1048576)),ROW($A$2:$A$1048576))))*-1)</f>
        <v/>
      </c>
      <c r="JG109" s="19">
        <f>SUM(MIN(JG2:INDEX($JG:$JG,LOOKUP(2,1/(ISNUMBER($A$2:$A$1048576)),ROW($A$2:$A$1048576))))*-1)</f>
        <v/>
      </c>
      <c r="JH109" s="19">
        <f>SUM(MIN(JH2:INDEX($JH:$JH,LOOKUP(2,1/(ISNUMBER($A$2:$A$1048576)),ROW($A$2:$A$1048576))))*-1)</f>
        <v/>
      </c>
    </row>
    <row r="110">
      <c r="A110" s="19" t="n"/>
      <c r="B110" s="41" t="n"/>
      <c r="C110" s="12" t="n"/>
      <c r="D110" s="12" t="n"/>
      <c r="E110" s="12" t="n"/>
      <c r="F110" s="12" t="n"/>
      <c r="G110" s="12" t="n"/>
      <c r="H110" s="12" t="n"/>
      <c r="I110" s="12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</row>
    <row r="111">
      <c r="A111" s="19" t="n"/>
      <c r="B111" s="41" t="n"/>
      <c r="C111" s="12" t="n"/>
      <c r="D111" s="12" t="n"/>
      <c r="E111" s="12" t="n"/>
      <c r="F111" s="12" t="n"/>
      <c r="G111" s="12" t="n"/>
      <c r="H111" s="12" t="n"/>
      <c r="I111" s="12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</row>
    <row r="112">
      <c r="A112" s="19" t="n"/>
      <c r="B112" s="41" t="n"/>
      <c r="C112" s="12" t="n"/>
      <c r="D112" s="12" t="n"/>
      <c r="E112" s="12" t="n"/>
      <c r="F112" s="12" t="n"/>
      <c r="G112" s="12" t="n"/>
      <c r="H112" s="12" t="n"/>
      <c r="I112" s="12" t="n"/>
      <c r="J112" s="19" t="n"/>
      <c r="K112" s="19" t="n"/>
      <c r="L112" s="19" t="n"/>
      <c r="M112" s="19" t="n"/>
      <c r="N112" s="19" t="n"/>
      <c r="O112" s="19" t="n"/>
      <c r="P112" s="42" t="n"/>
      <c r="Q112" s="19" t="n"/>
      <c r="R112" s="19" t="n"/>
      <c r="S112" s="19" t="n"/>
      <c r="T112" s="19" t="n"/>
      <c r="U112" s="19" t="n"/>
      <c r="V112" s="19" t="n"/>
      <c r="W112" s="19" t="n"/>
    </row>
    <row r="113">
      <c r="A113" s="19" t="n"/>
      <c r="B113" s="41" t="n"/>
      <c r="C113" s="12" t="n"/>
      <c r="D113" s="12" t="n"/>
      <c r="E113" s="12" t="n"/>
      <c r="F113" s="12" t="n"/>
      <c r="G113" s="12" t="n"/>
      <c r="H113" s="12" t="n"/>
      <c r="I113" s="12" t="n"/>
      <c r="J113" s="42" t="n"/>
      <c r="K113" s="19" t="n"/>
      <c r="L113" s="19" t="n"/>
      <c r="M113" s="19" t="n"/>
      <c r="N113" s="42" t="n">
        <v>0.6867263190765577</v>
      </c>
      <c r="O113" s="19" t="n"/>
      <c r="P113" s="42" t="n"/>
      <c r="Q113" s="19" t="n"/>
      <c r="R113" s="19" t="n"/>
      <c r="S113" s="19" t="n"/>
      <c r="T113" s="19" t="n"/>
      <c r="U113" s="19" t="n"/>
      <c r="V113" s="19" t="n"/>
      <c r="W113" s="19" t="n"/>
    </row>
    <row r="114">
      <c r="A114" s="19" t="n"/>
      <c r="B114" s="41" t="n"/>
      <c r="C114" s="12" t="n"/>
      <c r="D114" s="12" t="n"/>
      <c r="E114" s="12" t="n"/>
      <c r="F114" s="12" t="n"/>
      <c r="G114" s="12" t="n"/>
      <c r="H114" s="12" t="n"/>
      <c r="I114" s="12" t="n"/>
      <c r="J114" s="42" t="n"/>
      <c r="K114" s="19" t="n"/>
      <c r="L114" s="19" t="n"/>
      <c r="M114" s="19" t="n"/>
      <c r="N114" s="42" t="n">
        <v>-0.6646978894984363</v>
      </c>
      <c r="O114" s="19" t="n"/>
      <c r="P114" s="42" t="n"/>
      <c r="Q114" s="19" t="n"/>
      <c r="R114" s="19" t="n"/>
      <c r="S114" s="19" t="n"/>
      <c r="T114" s="19" t="n"/>
      <c r="U114" s="19" t="n"/>
      <c r="V114" s="19" t="n"/>
      <c r="W114" s="19" t="n"/>
    </row>
    <row r="115">
      <c r="A115" s="19" t="n"/>
      <c r="B115" s="41" t="n"/>
      <c r="C115" s="12" t="n"/>
      <c r="D115" s="12" t="n"/>
      <c r="E115" s="12" t="n"/>
      <c r="F115" s="12" t="n"/>
      <c r="G115" s="12" t="n"/>
      <c r="H115" s="12" t="n"/>
      <c r="I115" s="12" t="n"/>
      <c r="J115" s="42" t="n"/>
      <c r="K115" s="19" t="n"/>
      <c r="L115" s="19" t="n"/>
      <c r="M115" s="19" t="n"/>
      <c r="N115" s="42" t="n">
        <v>0.6973794809617645</v>
      </c>
      <c r="O115" s="19" t="n"/>
      <c r="P115" s="42" t="n"/>
      <c r="Q115" s="19" t="n"/>
      <c r="R115" s="19" t="n"/>
      <c r="S115" s="19" t="n"/>
      <c r="T115" s="19" t="n"/>
      <c r="U115" s="19" t="n"/>
      <c r="V115" s="19" t="n"/>
      <c r="W115" s="19" t="n"/>
    </row>
    <row r="116">
      <c r="A116" s="19" t="n"/>
      <c r="B116" s="41" t="n"/>
      <c r="C116" s="12" t="n"/>
      <c r="D116" s="12" t="n"/>
      <c r="E116" s="12" t="n"/>
      <c r="F116" s="12" t="n"/>
      <c r="G116" s="12" t="n"/>
      <c r="H116" s="12" t="n"/>
      <c r="I116" s="12" t="n"/>
      <c r="J116" s="19" t="n"/>
      <c r="K116" s="19" t="n"/>
      <c r="L116" s="19" t="n"/>
      <c r="M116" s="19" t="n"/>
      <c r="N116" s="42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</row>
    <row r="117">
      <c r="A117" s="19" t="n"/>
      <c r="B117" s="41" t="n"/>
      <c r="C117" s="12" t="n"/>
      <c r="D117" s="12" t="n"/>
      <c r="E117" s="12" t="n"/>
      <c r="F117" s="12" t="n"/>
      <c r="G117" s="12" t="n"/>
      <c r="H117" s="12" t="n"/>
      <c r="I117" s="12" t="n"/>
      <c r="J117" s="42" t="n"/>
      <c r="K117" s="19" t="n"/>
      <c r="L117" s="19" t="n"/>
      <c r="M117" s="19" t="n"/>
      <c r="N117" s="42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</row>
    <row r="118">
      <c r="A118" s="19" t="n"/>
      <c r="B118" s="41" t="n"/>
      <c r="C118" s="12" t="n"/>
      <c r="D118" s="12" t="n"/>
      <c r="E118" s="12" t="n"/>
      <c r="F118" s="12" t="n"/>
      <c r="G118" s="12" t="n"/>
      <c r="H118" s="12" t="n"/>
      <c r="I118" s="12" t="n"/>
      <c r="J118" s="42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</row>
    <row r="119">
      <c r="A119" s="19" t="n"/>
      <c r="B119" s="41" t="n"/>
      <c r="C119" s="12" t="n"/>
      <c r="D119" s="12" t="n"/>
      <c r="E119" s="12" t="n"/>
      <c r="F119" s="12" t="n"/>
      <c r="G119" s="12" t="n"/>
      <c r="H119" s="12" t="n"/>
      <c r="I119" s="12" t="n"/>
      <c r="J119" s="42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</row>
    <row r="120">
      <c r="A120" s="19" t="n"/>
      <c r="B120" s="41" t="n"/>
      <c r="C120" s="12" t="n"/>
      <c r="D120" s="12" t="n"/>
      <c r="E120" s="12" t="n"/>
      <c r="F120" s="12" t="n"/>
      <c r="G120" s="12" t="n"/>
      <c r="H120" s="12" t="n"/>
      <c r="I120" s="12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</row>
    <row r="121">
      <c r="A121" s="19" t="n"/>
      <c r="B121" s="41" t="n"/>
      <c r="C121" s="12" t="n"/>
      <c r="D121" s="12" t="n"/>
      <c r="E121" s="12" t="n"/>
      <c r="F121" s="12" t="n"/>
      <c r="G121" s="12" t="n"/>
      <c r="H121" s="12" t="n"/>
      <c r="I121" s="12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</row>
    <row r="122">
      <c r="A122" s="19" t="n"/>
      <c r="B122" s="41" t="n"/>
      <c r="C122" s="12" t="n"/>
      <c r="D122" s="12" t="n"/>
      <c r="E122" s="12" t="n"/>
      <c r="F122" s="12" t="n"/>
      <c r="G122" s="12" t="n"/>
      <c r="H122" s="12" t="n"/>
      <c r="I122" s="12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</row>
    <row r="123">
      <c r="A123" s="19" t="n"/>
      <c r="B123" s="41" t="n"/>
      <c r="C123" s="12" t="n"/>
      <c r="D123" s="12" t="n"/>
      <c r="E123" s="12" t="n"/>
      <c r="F123" s="12" t="n"/>
      <c r="G123" s="12" t="n"/>
      <c r="H123" s="12" t="n"/>
      <c r="I123" s="12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</row>
    <row r="124">
      <c r="A124" s="19" t="n"/>
      <c r="B124" s="41" t="n"/>
      <c r="C124" s="12" t="n"/>
      <c r="D124" s="12" t="n"/>
      <c r="E124" s="12" t="n"/>
      <c r="F124" s="12" t="n"/>
      <c r="G124" s="12" t="n"/>
      <c r="H124" s="12" t="n"/>
      <c r="I124" s="12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</row>
    <row r="125">
      <c r="A125" s="19" t="n"/>
      <c r="B125" s="41" t="n"/>
      <c r="C125" s="12" t="n"/>
      <c r="D125" s="12" t="n"/>
      <c r="E125" s="12" t="n"/>
      <c r="F125" s="12" t="n"/>
      <c r="G125" s="12" t="n"/>
      <c r="H125" s="12" t="n"/>
      <c r="I125" s="12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</row>
    <row r="126">
      <c r="A126" s="19" t="n"/>
      <c r="B126" s="41" t="n"/>
      <c r="C126" s="12" t="n"/>
      <c r="D126" s="12" t="n"/>
      <c r="E126" s="12" t="n"/>
      <c r="F126" s="12" t="n"/>
      <c r="G126" s="12" t="n"/>
      <c r="H126" s="12" t="n"/>
      <c r="I126" s="12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</row>
    <row r="127">
      <c r="A127" s="19" t="n"/>
      <c r="B127" s="41" t="n"/>
      <c r="C127" s="12" t="n"/>
      <c r="D127" s="12" t="n"/>
      <c r="E127" s="12" t="n"/>
      <c r="F127" s="12" t="n"/>
      <c r="G127" s="12" t="n"/>
      <c r="H127" s="12" t="n"/>
      <c r="I127" s="12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</row>
    <row r="128">
      <c r="A128" s="19" t="n"/>
      <c r="B128" s="41" t="n"/>
      <c r="C128" s="12" t="n"/>
      <c r="D128" s="12" t="n"/>
      <c r="E128" s="12" t="n"/>
      <c r="F128" s="12" t="n"/>
      <c r="G128" s="12" t="n"/>
      <c r="H128" s="12" t="n"/>
      <c r="I128" s="12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</row>
    <row r="129">
      <c r="A129" s="19" t="n"/>
      <c r="B129" s="41" t="n"/>
      <c r="C129" s="12" t="n"/>
      <c r="D129" s="12" t="n"/>
      <c r="E129" s="12" t="n"/>
      <c r="F129" s="12" t="n"/>
      <c r="G129" s="12" t="n"/>
      <c r="H129" s="12" t="n"/>
      <c r="I129" s="12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</row>
    <row r="130">
      <c r="A130" s="19" t="n"/>
      <c r="B130" s="41" t="n"/>
      <c r="C130" s="12" t="n"/>
      <c r="D130" s="12" t="n"/>
      <c r="E130" s="12" t="n"/>
      <c r="F130" s="12" t="n"/>
      <c r="G130" s="12" t="n"/>
      <c r="H130" s="12" t="n"/>
      <c r="I130" s="12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</row>
    <row r="131">
      <c r="A131" s="19" t="n"/>
      <c r="B131" s="41" t="n"/>
      <c r="C131" s="12" t="n"/>
      <c r="D131" s="12" t="n"/>
      <c r="E131" s="12" t="n"/>
      <c r="F131" s="12" t="n"/>
      <c r="G131" s="12" t="n"/>
      <c r="H131" s="12" t="n"/>
      <c r="I131" s="12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</row>
    <row r="132">
      <c r="A132" s="19" t="n"/>
      <c r="B132" s="41" t="n"/>
      <c r="C132" s="12" t="n"/>
      <c r="D132" s="12" t="n"/>
      <c r="E132" s="12" t="n"/>
      <c r="F132" s="12" t="n"/>
      <c r="G132" s="12" t="n"/>
      <c r="H132" s="12" t="n"/>
      <c r="I132" s="12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</row>
    <row r="133">
      <c r="A133" s="19" t="n"/>
      <c r="B133" s="41" t="n"/>
      <c r="C133" s="12" t="n"/>
      <c r="D133" s="12" t="n"/>
      <c r="E133" s="12" t="n"/>
      <c r="F133" s="12" t="n"/>
      <c r="G133" s="12" t="n"/>
      <c r="H133" s="12" t="n"/>
      <c r="I133" s="12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</row>
    <row r="134">
      <c r="A134" s="19" t="n"/>
      <c r="B134" s="41" t="n"/>
      <c r="C134" s="12" t="n"/>
      <c r="D134" s="12" t="n"/>
      <c r="E134" s="12" t="n"/>
      <c r="F134" s="12" t="n"/>
      <c r="G134" s="12" t="n"/>
      <c r="H134" s="12" t="n"/>
      <c r="I134" s="12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</row>
    <row r="135">
      <c r="A135" s="19" t="n"/>
      <c r="B135" s="41" t="n"/>
      <c r="C135" s="12" t="n"/>
      <c r="D135" s="12" t="n"/>
      <c r="E135" s="12" t="n"/>
      <c r="F135" s="12" t="n"/>
      <c r="G135" s="12" t="n"/>
      <c r="H135" s="12" t="n"/>
      <c r="I135" s="12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</row>
    <row r="136">
      <c r="A136" s="19" t="n"/>
      <c r="B136" s="41" t="n"/>
      <c r="C136" s="12" t="n"/>
      <c r="D136" s="12" t="n"/>
      <c r="E136" s="12" t="n"/>
      <c r="F136" s="12" t="n"/>
      <c r="G136" s="12" t="n"/>
      <c r="H136" s="12" t="n"/>
      <c r="I136" s="12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</row>
    <row r="137">
      <c r="A137" s="19" t="n"/>
      <c r="B137" s="41" t="n"/>
      <c r="C137" s="12" t="n"/>
      <c r="D137" s="12" t="n"/>
      <c r="E137" s="12" t="n"/>
      <c r="F137" s="12" t="n"/>
      <c r="G137" s="12" t="n"/>
      <c r="H137" s="12" t="n"/>
      <c r="I137" s="12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</row>
    <row r="138">
      <c r="A138" s="19" t="n"/>
      <c r="B138" s="41" t="n"/>
      <c r="C138" s="12" t="n"/>
      <c r="D138" s="12" t="n"/>
      <c r="E138" s="12" t="n"/>
      <c r="F138" s="12" t="n"/>
      <c r="G138" s="12" t="n"/>
      <c r="H138" s="12" t="n"/>
      <c r="I138" s="12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</row>
    <row r="139">
      <c r="A139" s="19" t="n"/>
      <c r="B139" s="41" t="n"/>
      <c r="C139" s="12" t="n"/>
      <c r="D139" s="12" t="n"/>
      <c r="E139" s="12" t="n"/>
      <c r="F139" s="12" t="n"/>
      <c r="G139" s="12" t="n"/>
      <c r="H139" s="12" t="n"/>
      <c r="I139" s="12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</row>
    <row r="140">
      <c r="A140" s="19" t="n"/>
      <c r="B140" s="41" t="n"/>
      <c r="C140" s="12" t="n"/>
      <c r="D140" s="12" t="n"/>
      <c r="E140" s="12" t="n"/>
      <c r="F140" s="12" t="n"/>
      <c r="G140" s="12" t="n"/>
      <c r="H140" s="12" t="n"/>
      <c r="I140" s="12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</row>
    <row r="141">
      <c r="A141" s="19" t="n"/>
      <c r="B141" s="41" t="n"/>
      <c r="C141" s="12" t="n"/>
      <c r="D141" s="12" t="n"/>
      <c r="E141" s="12" t="n"/>
      <c r="F141" s="12" t="n"/>
      <c r="G141" s="12" t="n"/>
      <c r="H141" s="12" t="n"/>
      <c r="I141" s="12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</row>
    <row r="142">
      <c r="A142" s="19" t="n"/>
      <c r="B142" s="41" t="n"/>
      <c r="C142" s="12" t="n"/>
      <c r="D142" s="12" t="n"/>
      <c r="E142" s="12" t="n"/>
      <c r="F142" s="12" t="n"/>
      <c r="G142" s="12" t="n"/>
      <c r="H142" s="12" t="n"/>
      <c r="I142" s="12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</row>
    <row r="143">
      <c r="A143" s="19" t="n"/>
      <c r="B143" s="41" t="n"/>
      <c r="C143" s="12" t="n"/>
      <c r="D143" s="12" t="n"/>
      <c r="E143" s="12" t="n"/>
      <c r="F143" s="12" t="n"/>
      <c r="G143" s="12" t="n"/>
      <c r="H143" s="12" t="n"/>
      <c r="I143" s="12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</row>
    <row r="144">
      <c r="A144" s="19" t="n"/>
      <c r="B144" s="41" t="n"/>
      <c r="C144" s="12" t="n"/>
      <c r="D144" s="12" t="n"/>
      <c r="E144" s="12" t="n"/>
      <c r="F144" s="12" t="n"/>
      <c r="G144" s="12" t="n"/>
      <c r="H144" s="12" t="n"/>
      <c r="I144" s="12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</row>
    <row r="145">
      <c r="A145" s="19" t="n"/>
      <c r="B145" s="41" t="n"/>
      <c r="C145" s="12" t="n"/>
      <c r="D145" s="12" t="n"/>
      <c r="E145" s="12" t="n"/>
      <c r="F145" s="12" t="n"/>
      <c r="G145" s="12" t="n"/>
      <c r="H145" s="12" t="n"/>
      <c r="I145" s="12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</row>
    <row r="146">
      <c r="A146" s="19" t="n"/>
      <c r="B146" s="41" t="n"/>
      <c r="C146" s="12" t="n"/>
      <c r="D146" s="12" t="n"/>
      <c r="E146" s="12" t="n"/>
      <c r="F146" s="12" t="n"/>
      <c r="G146" s="12" t="n"/>
      <c r="H146" s="12" t="n"/>
      <c r="I146" s="12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</row>
    <row r="147">
      <c r="A147" s="19" t="n"/>
      <c r="B147" s="41" t="n"/>
      <c r="C147" s="12" t="n"/>
      <c r="D147" s="12" t="n"/>
      <c r="E147" s="12" t="n"/>
      <c r="F147" s="12" t="n"/>
      <c r="G147" s="12" t="n"/>
      <c r="H147" s="12" t="n"/>
      <c r="I147" s="12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</row>
    <row r="148">
      <c r="A148" s="19" t="n"/>
      <c r="B148" s="41" t="n"/>
      <c r="C148" s="12" t="n"/>
      <c r="D148" s="12" t="n"/>
      <c r="E148" s="12" t="n"/>
      <c r="F148" s="12" t="n"/>
      <c r="G148" s="12" t="n"/>
      <c r="H148" s="12" t="n"/>
      <c r="I148" s="12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</row>
    <row r="149">
      <c r="A149" s="19" t="n"/>
      <c r="B149" s="41" t="n"/>
      <c r="C149" s="12" t="n"/>
      <c r="D149" s="12" t="n"/>
      <c r="E149" s="12" t="n"/>
      <c r="F149" s="12" t="n"/>
      <c r="G149" s="12" t="n"/>
      <c r="H149" s="12" t="n"/>
      <c r="I149" s="12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</row>
    <row r="150">
      <c r="A150" s="19" t="n"/>
      <c r="B150" s="41" t="n"/>
      <c r="C150" s="12" t="n"/>
      <c r="D150" s="12" t="n"/>
      <c r="E150" s="12" t="n"/>
      <c r="F150" s="12" t="n"/>
      <c r="G150" s="12" t="n"/>
      <c r="H150" s="12" t="n"/>
      <c r="I150" s="12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</row>
    <row r="151">
      <c r="A151" s="19" t="n"/>
      <c r="B151" s="41" t="n"/>
      <c r="C151" s="12" t="n"/>
      <c r="D151" s="12" t="n"/>
      <c r="E151" s="12" t="n"/>
      <c r="F151" s="12" t="n"/>
      <c r="G151" s="12" t="n"/>
      <c r="H151" s="12" t="n"/>
      <c r="I151" s="12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</row>
    <row r="152">
      <c r="A152" s="19" t="n"/>
      <c r="B152" s="41" t="n"/>
      <c r="C152" s="12" t="n"/>
      <c r="D152" s="12" t="n"/>
      <c r="E152" s="12" t="n"/>
      <c r="F152" s="12" t="n"/>
      <c r="G152" s="12" t="n"/>
      <c r="H152" s="12" t="n"/>
      <c r="I152" s="12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</row>
    <row r="153">
      <c r="A153" s="19" t="n"/>
      <c r="B153" s="41" t="n"/>
      <c r="C153" s="12" t="n"/>
      <c r="D153" s="12" t="n"/>
      <c r="E153" s="12" t="n"/>
      <c r="F153" s="12" t="n"/>
      <c r="G153" s="12" t="n"/>
      <c r="H153" s="12" t="n"/>
      <c r="I153" s="12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</row>
    <row r="154">
      <c r="A154" s="19" t="n"/>
      <c r="B154" s="41" t="n"/>
      <c r="C154" s="12" t="n"/>
      <c r="D154" s="12" t="n"/>
      <c r="E154" s="12" t="n"/>
      <c r="F154" s="12" t="n"/>
      <c r="G154" s="12" t="n"/>
      <c r="H154" s="12" t="n"/>
      <c r="I154" s="12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</row>
    <row r="155">
      <c r="A155" s="19" t="n"/>
      <c r="B155" s="41" t="n"/>
      <c r="C155" s="12" t="n"/>
      <c r="D155" s="12" t="n"/>
      <c r="E155" s="12" t="n"/>
      <c r="F155" s="12" t="n"/>
      <c r="G155" s="12" t="n"/>
      <c r="H155" s="12" t="n"/>
      <c r="I155" s="12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</row>
    <row r="156">
      <c r="A156" s="19" t="n"/>
      <c r="B156" s="41" t="n"/>
      <c r="C156" s="12" t="n"/>
      <c r="D156" s="12" t="n"/>
      <c r="E156" s="12" t="n"/>
      <c r="F156" s="12" t="n"/>
      <c r="G156" s="12" t="n"/>
      <c r="H156" s="12" t="n"/>
      <c r="I156" s="12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</row>
    <row r="157">
      <c r="A157" s="19" t="n"/>
      <c r="B157" s="41" t="n"/>
      <c r="C157" s="12" t="n"/>
      <c r="D157" s="12" t="n"/>
      <c r="E157" s="12" t="n"/>
      <c r="F157" s="12" t="n"/>
      <c r="G157" s="12" t="n"/>
      <c r="H157" s="12" t="n"/>
      <c r="I157" s="12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</row>
    <row r="158">
      <c r="A158" s="19" t="n"/>
      <c r="B158" s="41" t="n"/>
      <c r="C158" s="12" t="n"/>
      <c r="D158" s="12" t="n"/>
      <c r="E158" s="12" t="n"/>
      <c r="F158" s="12" t="n"/>
      <c r="G158" s="12" t="n"/>
      <c r="H158" s="12" t="n"/>
      <c r="I158" s="12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</row>
    <row r="159">
      <c r="A159" s="19" t="n"/>
      <c r="B159" s="41" t="n"/>
      <c r="C159" s="12" t="n"/>
      <c r="D159" s="12" t="n"/>
      <c r="E159" s="12" t="n"/>
      <c r="F159" s="12" t="n"/>
      <c r="G159" s="12" t="n"/>
      <c r="H159" s="12" t="n"/>
      <c r="I159" s="12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</row>
    <row r="160">
      <c r="A160" s="19" t="n"/>
      <c r="B160" s="41" t="n"/>
      <c r="C160" s="12" t="n"/>
      <c r="D160" s="12" t="n"/>
      <c r="E160" s="12" t="n"/>
      <c r="F160" s="12" t="n"/>
      <c r="G160" s="12" t="n"/>
      <c r="H160" s="12" t="n"/>
      <c r="I160" s="12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</row>
    <row r="161">
      <c r="A161" s="19" t="n"/>
      <c r="B161" s="41" t="n"/>
      <c r="C161" s="12" t="n"/>
      <c r="D161" s="12" t="n"/>
      <c r="E161" s="12" t="n"/>
      <c r="F161" s="12" t="n"/>
      <c r="G161" s="12" t="n"/>
      <c r="H161" s="12" t="n"/>
      <c r="I161" s="12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</row>
    <row r="162">
      <c r="A162" s="19" t="n"/>
      <c r="B162" s="41" t="n"/>
      <c r="C162" s="12" t="n"/>
      <c r="D162" s="12" t="n"/>
      <c r="E162" s="12" t="n"/>
      <c r="F162" s="12" t="n"/>
      <c r="G162" s="12" t="n"/>
      <c r="H162" s="12" t="n"/>
      <c r="I162" s="12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</row>
    <row r="163">
      <c r="A163" s="19" t="n"/>
      <c r="B163" s="41" t="n"/>
      <c r="C163" s="12" t="n"/>
      <c r="D163" s="12" t="n"/>
      <c r="E163" s="12" t="n"/>
      <c r="F163" s="12" t="n"/>
      <c r="G163" s="12" t="n"/>
      <c r="H163" s="12" t="n"/>
      <c r="I163" s="12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</row>
    <row r="164">
      <c r="A164" s="19" t="n"/>
      <c r="B164" s="41" t="n"/>
      <c r="C164" s="12" t="n"/>
      <c r="D164" s="12" t="n"/>
      <c r="E164" s="12" t="n"/>
      <c r="F164" s="12" t="n"/>
      <c r="G164" s="12" t="n"/>
      <c r="H164" s="12" t="n"/>
      <c r="I164" s="12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</row>
    <row r="165">
      <c r="A165" s="19" t="n"/>
      <c r="B165" s="41" t="n"/>
      <c r="C165" s="12" t="n"/>
      <c r="D165" s="12" t="n"/>
      <c r="E165" s="12" t="n"/>
      <c r="F165" s="12" t="n"/>
      <c r="G165" s="12" t="n"/>
      <c r="H165" s="12" t="n"/>
      <c r="I165" s="12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</row>
    <row r="166">
      <c r="A166" s="19" t="n"/>
      <c r="B166" s="41" t="n"/>
      <c r="C166" s="12" t="n"/>
      <c r="D166" s="12" t="n"/>
      <c r="E166" s="12" t="n"/>
      <c r="F166" s="12" t="n"/>
      <c r="G166" s="12" t="n"/>
      <c r="H166" s="12" t="n"/>
      <c r="I166" s="12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</row>
    <row r="167">
      <c r="A167" s="19" t="n"/>
      <c r="B167" s="41" t="n"/>
      <c r="C167" s="12" t="n"/>
      <c r="D167" s="12" t="n"/>
      <c r="E167" s="12" t="n"/>
      <c r="F167" s="12" t="n"/>
      <c r="G167" s="12" t="n"/>
      <c r="H167" s="12" t="n"/>
      <c r="I167" s="12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</row>
    <row r="168">
      <c r="A168" s="19" t="n"/>
      <c r="B168" s="41" t="n"/>
      <c r="C168" s="12" t="n"/>
      <c r="D168" s="12" t="n"/>
      <c r="E168" s="12" t="n"/>
      <c r="F168" s="12" t="n"/>
      <c r="G168" s="12" t="n"/>
      <c r="H168" s="12" t="n"/>
      <c r="I168" s="12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</row>
    <row r="169">
      <c r="A169" s="19" t="n"/>
      <c r="B169" s="41" t="n"/>
      <c r="C169" s="12" t="n"/>
      <c r="D169" s="12" t="n"/>
      <c r="E169" s="12" t="n"/>
      <c r="F169" s="12" t="n"/>
      <c r="G169" s="12" t="n"/>
      <c r="H169" s="12" t="n"/>
      <c r="I169" s="12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</row>
    <row r="170">
      <c r="A170" s="19" t="n"/>
      <c r="B170" s="41" t="n"/>
      <c r="C170" s="12" t="n"/>
      <c r="D170" s="12" t="n"/>
      <c r="E170" s="12" t="n"/>
      <c r="F170" s="12" t="n"/>
      <c r="G170" s="12" t="n"/>
      <c r="H170" s="12" t="n"/>
      <c r="I170" s="12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</row>
    <row r="171">
      <c r="A171" s="19" t="n"/>
      <c r="B171" s="41" t="n"/>
      <c r="C171" s="12" t="n"/>
      <c r="D171" s="12" t="n"/>
      <c r="E171" s="12" t="n"/>
      <c r="F171" s="12" t="n"/>
      <c r="G171" s="12" t="n"/>
      <c r="H171" s="12" t="n"/>
      <c r="I171" s="12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</row>
    <row r="172">
      <c r="A172" s="19" t="n"/>
      <c r="B172" s="41" t="n"/>
      <c r="C172" s="12" t="n"/>
      <c r="D172" s="12" t="n"/>
      <c r="E172" s="12" t="n"/>
      <c r="F172" s="12" t="n"/>
      <c r="G172" s="12" t="n"/>
      <c r="H172" s="12" t="n"/>
      <c r="I172" s="12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</row>
    <row r="173">
      <c r="A173" s="19" t="n"/>
      <c r="B173" s="41" t="n"/>
      <c r="C173" s="12" t="n"/>
      <c r="D173" s="12" t="n"/>
      <c r="E173" s="12" t="n"/>
      <c r="F173" s="12" t="n"/>
      <c r="G173" s="12" t="n"/>
      <c r="H173" s="12" t="n"/>
      <c r="I173" s="12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</row>
    <row r="174">
      <c r="A174" s="19" t="n"/>
      <c r="B174" s="41" t="n"/>
      <c r="C174" s="12" t="n"/>
      <c r="D174" s="12" t="n"/>
      <c r="E174" s="12" t="n"/>
      <c r="F174" s="12" t="n"/>
      <c r="G174" s="12" t="n"/>
      <c r="H174" s="12" t="n"/>
      <c r="I174" s="12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</row>
    <row r="175">
      <c r="A175" s="19" t="n"/>
      <c r="B175" s="41" t="n"/>
      <c r="C175" s="12" t="n"/>
      <c r="D175" s="12" t="n"/>
      <c r="E175" s="12" t="n"/>
      <c r="F175" s="12" t="n"/>
      <c r="G175" s="12" t="n"/>
      <c r="H175" s="12" t="n"/>
      <c r="I175" s="12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</row>
    <row r="176">
      <c r="A176" s="19" t="n"/>
      <c r="B176" s="41" t="n"/>
      <c r="C176" s="12" t="n"/>
      <c r="D176" s="12" t="n"/>
      <c r="E176" s="12" t="n"/>
      <c r="F176" s="12" t="n"/>
      <c r="G176" s="12" t="n"/>
      <c r="H176" s="12" t="n"/>
      <c r="I176" s="12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</row>
    <row r="177">
      <c r="A177" s="19" t="n"/>
      <c r="B177" s="41" t="n"/>
      <c r="C177" s="12" t="n"/>
      <c r="D177" s="12" t="n"/>
      <c r="E177" s="12" t="n"/>
      <c r="F177" s="12" t="n"/>
      <c r="G177" s="12" t="n"/>
      <c r="H177" s="12" t="n"/>
      <c r="I177" s="12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</row>
    <row r="178">
      <c r="A178" s="19" t="n"/>
      <c r="B178" s="41" t="n"/>
      <c r="C178" s="12" t="n"/>
      <c r="D178" s="12" t="n"/>
      <c r="E178" s="12" t="n"/>
      <c r="F178" s="12" t="n"/>
      <c r="G178" s="12" t="n"/>
      <c r="H178" s="12" t="n"/>
      <c r="I178" s="12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</row>
    <row r="179">
      <c r="A179" s="19" t="n"/>
      <c r="B179" s="41" t="n"/>
      <c r="C179" s="12" t="n"/>
      <c r="D179" s="12" t="n"/>
      <c r="E179" s="12" t="n"/>
      <c r="F179" s="12" t="n"/>
      <c r="G179" s="12" t="n"/>
      <c r="H179" s="12" t="n"/>
      <c r="I179" s="12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</row>
    <row r="180">
      <c r="A180" s="19" t="n"/>
      <c r="B180" s="41" t="n"/>
      <c r="C180" s="12" t="n"/>
      <c r="D180" s="12" t="n"/>
      <c r="E180" s="12" t="n"/>
      <c r="F180" s="12" t="n"/>
      <c r="G180" s="12" t="n"/>
      <c r="H180" s="12" t="n"/>
      <c r="I180" s="12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</row>
    <row r="181">
      <c r="A181" s="19" t="n"/>
      <c r="B181" s="41" t="n"/>
      <c r="C181" s="12" t="n"/>
      <c r="D181" s="12" t="n"/>
      <c r="E181" s="12" t="n"/>
      <c r="F181" s="12" t="n"/>
      <c r="G181" s="12" t="n"/>
      <c r="H181" s="12" t="n"/>
      <c r="I181" s="12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</row>
    <row r="182">
      <c r="A182" s="19" t="n"/>
      <c r="B182" s="41" t="n"/>
      <c r="C182" s="12" t="n"/>
      <c r="D182" s="12" t="n"/>
      <c r="E182" s="12" t="n"/>
      <c r="F182" s="12" t="n"/>
      <c r="G182" s="12" t="n"/>
      <c r="H182" s="12" t="n"/>
      <c r="I182" s="12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</row>
    <row r="183">
      <c r="A183" s="19" t="n"/>
      <c r="B183" s="41" t="n"/>
      <c r="C183" s="12" t="n"/>
      <c r="D183" s="12" t="n"/>
      <c r="E183" s="12" t="n"/>
      <c r="F183" s="12" t="n"/>
      <c r="G183" s="12" t="n"/>
      <c r="H183" s="12" t="n"/>
      <c r="I183" s="12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</row>
    <row r="184">
      <c r="A184" s="19" t="n"/>
      <c r="B184" s="41" t="n"/>
      <c r="C184" s="12" t="n"/>
      <c r="D184" s="12" t="n"/>
      <c r="E184" s="12" t="n"/>
      <c r="F184" s="12" t="n"/>
      <c r="G184" s="12" t="n"/>
      <c r="H184" s="12" t="n"/>
      <c r="I184" s="12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</row>
    <row r="185">
      <c r="A185" s="19" t="n"/>
      <c r="B185" s="41" t="n"/>
      <c r="C185" s="12" t="n"/>
      <c r="D185" s="12" t="n"/>
      <c r="E185" s="12" t="n"/>
      <c r="F185" s="12" t="n"/>
      <c r="G185" s="12" t="n"/>
      <c r="H185" s="12" t="n"/>
      <c r="I185" s="12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</row>
    <row r="186">
      <c r="A186" s="19" t="n"/>
      <c r="B186" s="41" t="n"/>
      <c r="C186" s="12" t="n"/>
      <c r="D186" s="12" t="n"/>
      <c r="E186" s="12" t="n"/>
      <c r="F186" s="12" t="n"/>
      <c r="G186" s="12" t="n"/>
      <c r="H186" s="12" t="n"/>
      <c r="I186" s="12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</row>
    <row r="187">
      <c r="A187" s="19" t="n"/>
      <c r="B187" s="41" t="n"/>
      <c r="C187" s="12" t="n"/>
      <c r="D187" s="12" t="n"/>
      <c r="E187" s="12" t="n"/>
      <c r="F187" s="12" t="n"/>
      <c r="G187" s="12" t="n"/>
      <c r="H187" s="12" t="n"/>
      <c r="I187" s="12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</row>
    <row r="188">
      <c r="A188" s="19" t="n"/>
      <c r="B188" s="41" t="n"/>
      <c r="C188" s="12" t="n"/>
      <c r="D188" s="12" t="n"/>
      <c r="E188" s="12" t="n"/>
      <c r="F188" s="12" t="n"/>
      <c r="G188" s="12" t="n"/>
      <c r="H188" s="12" t="n"/>
      <c r="I188" s="12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</row>
    <row r="189">
      <c r="A189" s="19" t="n"/>
      <c r="B189" s="41" t="n"/>
      <c r="C189" s="12" t="n"/>
      <c r="D189" s="12" t="n"/>
      <c r="E189" s="12" t="n"/>
      <c r="F189" s="12" t="n"/>
      <c r="G189" s="12" t="n"/>
      <c r="H189" s="12" t="n"/>
      <c r="I189" s="12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</row>
    <row r="190">
      <c r="A190" s="19" t="n"/>
      <c r="B190" s="41" t="n"/>
      <c r="C190" s="12" t="n"/>
      <c r="D190" s="12" t="n"/>
      <c r="E190" s="12" t="n"/>
      <c r="F190" s="12" t="n"/>
      <c r="G190" s="12" t="n"/>
      <c r="H190" s="12" t="n"/>
      <c r="I190" s="12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</row>
    <row r="191">
      <c r="A191" s="19" t="n"/>
      <c r="B191" s="41" t="n"/>
      <c r="C191" s="12" t="n"/>
      <c r="D191" s="12" t="n"/>
      <c r="E191" s="12" t="n"/>
      <c r="F191" s="12" t="n"/>
      <c r="G191" s="12" t="n"/>
      <c r="H191" s="12" t="n"/>
      <c r="I191" s="12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</row>
    <row r="192">
      <c r="A192" s="19" t="n"/>
      <c r="B192" s="41" t="n"/>
      <c r="C192" s="12" t="n"/>
      <c r="D192" s="12" t="n"/>
      <c r="E192" s="12" t="n"/>
      <c r="F192" s="12" t="n"/>
      <c r="G192" s="12" t="n"/>
      <c r="H192" s="12" t="n"/>
      <c r="I192" s="12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</row>
    <row r="193">
      <c r="A193" s="19" t="n"/>
      <c r="B193" s="41" t="n"/>
      <c r="C193" s="12" t="n"/>
      <c r="D193" s="12" t="n"/>
      <c r="E193" s="12" t="n"/>
      <c r="F193" s="12" t="n"/>
      <c r="G193" s="12" t="n"/>
      <c r="H193" s="12" t="n"/>
      <c r="I193" s="12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</row>
    <row r="194">
      <c r="A194" s="19" t="n"/>
      <c r="B194" s="41" t="n"/>
      <c r="C194" s="12" t="n"/>
      <c r="D194" s="12" t="n"/>
      <c r="E194" s="12" t="n"/>
      <c r="F194" s="12" t="n"/>
      <c r="G194" s="12" t="n"/>
      <c r="H194" s="12" t="n"/>
      <c r="I194" s="12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</row>
    <row r="195">
      <c r="A195" s="19" t="n"/>
      <c r="B195" s="41" t="n"/>
      <c r="C195" s="12" t="n"/>
      <c r="D195" s="12" t="n"/>
      <c r="E195" s="12" t="n"/>
      <c r="F195" s="12" t="n"/>
      <c r="G195" s="12" t="n"/>
      <c r="H195" s="12" t="n"/>
      <c r="I195" s="12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</row>
    <row r="196">
      <c r="A196" s="19" t="n"/>
      <c r="B196" s="41" t="n"/>
      <c r="C196" s="12" t="n"/>
      <c r="D196" s="12" t="n"/>
      <c r="E196" s="12" t="n"/>
      <c r="F196" s="12" t="n"/>
      <c r="G196" s="12" t="n"/>
      <c r="H196" s="12" t="n"/>
      <c r="I196" s="12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</row>
    <row r="197">
      <c r="A197" s="19" t="n"/>
      <c r="B197" s="41" t="n"/>
      <c r="C197" s="12" t="n"/>
      <c r="D197" s="12" t="n"/>
      <c r="E197" s="12" t="n"/>
      <c r="F197" s="12" t="n"/>
      <c r="G197" s="12" t="n"/>
      <c r="H197" s="12" t="n"/>
      <c r="I197" s="12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</row>
    <row r="198">
      <c r="A198" s="19" t="n"/>
      <c r="B198" s="41" t="n"/>
      <c r="C198" s="12" t="n"/>
      <c r="D198" s="12" t="n"/>
      <c r="E198" s="12" t="n"/>
      <c r="F198" s="12" t="n"/>
      <c r="G198" s="12" t="n"/>
      <c r="H198" s="12" t="n"/>
      <c r="I198" s="12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</row>
    <row r="199">
      <c r="A199" s="19" t="n"/>
      <c r="B199" s="41" t="n"/>
      <c r="C199" s="12" t="n"/>
      <c r="D199" s="12" t="n"/>
      <c r="E199" s="12" t="n"/>
      <c r="F199" s="12" t="n"/>
      <c r="G199" s="12" t="n"/>
      <c r="H199" s="12" t="n"/>
      <c r="I199" s="12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</row>
    <row r="200">
      <c r="A200" s="19" t="n"/>
      <c r="B200" s="41" t="n"/>
      <c r="C200" s="12" t="n"/>
      <c r="D200" s="12" t="n"/>
      <c r="E200" s="12" t="n"/>
      <c r="F200" s="12" t="n"/>
      <c r="G200" s="12" t="n"/>
      <c r="H200" s="12" t="n"/>
      <c r="I200" s="12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</row>
    <row r="201">
      <c r="A201" s="19" t="n"/>
      <c r="B201" s="41" t="n"/>
      <c r="C201" s="12" t="n"/>
      <c r="D201" s="12" t="n"/>
      <c r="E201" s="12" t="n"/>
      <c r="F201" s="12" t="n"/>
      <c r="G201" s="12" t="n"/>
      <c r="H201" s="12" t="n"/>
      <c r="I201" s="12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</row>
    <row r="202">
      <c r="A202" s="19" t="n"/>
      <c r="B202" s="41" t="n"/>
      <c r="C202" s="12" t="n"/>
      <c r="D202" s="12" t="n"/>
      <c r="E202" s="12" t="n"/>
      <c r="F202" s="12" t="n"/>
      <c r="G202" s="12" t="n"/>
      <c r="H202" s="12" t="n"/>
      <c r="I202" s="12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</row>
    <row r="203">
      <c r="A203" s="19" t="n"/>
      <c r="B203" s="41" t="n"/>
      <c r="C203" s="12" t="n"/>
      <c r="D203" s="12" t="n"/>
      <c r="E203" s="12" t="n"/>
      <c r="F203" s="12" t="n"/>
      <c r="G203" s="12" t="n"/>
      <c r="H203" s="12" t="n"/>
      <c r="I203" s="12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</row>
    <row r="204">
      <c r="A204" s="19" t="n"/>
      <c r="B204" s="41" t="n"/>
      <c r="C204" s="12" t="n"/>
      <c r="D204" s="12" t="n"/>
      <c r="E204" s="12" t="n"/>
      <c r="F204" s="12" t="n"/>
      <c r="G204" s="12" t="n"/>
      <c r="H204" s="12" t="n"/>
      <c r="I204" s="12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</row>
    <row r="205">
      <c r="A205" s="19" t="n"/>
      <c r="B205" s="41" t="n"/>
      <c r="C205" s="12" t="n"/>
      <c r="D205" s="12" t="n"/>
      <c r="E205" s="12" t="n"/>
      <c r="F205" s="12" t="n"/>
      <c r="G205" s="12" t="n"/>
      <c r="H205" s="12" t="n"/>
      <c r="I205" s="12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</row>
    <row r="206">
      <c r="A206" s="19" t="n"/>
      <c r="B206" s="41" t="n"/>
      <c r="C206" s="12" t="n"/>
      <c r="D206" s="12" t="n"/>
      <c r="E206" s="12" t="n"/>
      <c r="F206" s="12" t="n"/>
      <c r="G206" s="12" t="n"/>
      <c r="H206" s="12" t="n"/>
      <c r="I206" s="12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</row>
    <row r="207">
      <c r="A207" s="19" t="n"/>
      <c r="B207" s="41" t="n"/>
      <c r="C207" s="12" t="n"/>
      <c r="D207" s="12" t="n"/>
      <c r="E207" s="12" t="n"/>
      <c r="F207" s="12" t="n"/>
      <c r="G207" s="12" t="n"/>
      <c r="H207" s="12" t="n"/>
      <c r="I207" s="12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</row>
    <row r="208">
      <c r="A208" s="19" t="n"/>
      <c r="B208" s="41" t="n"/>
      <c r="C208" s="12" t="n"/>
      <c r="D208" s="12" t="n"/>
      <c r="E208" s="12" t="n"/>
      <c r="F208" s="12" t="n"/>
      <c r="G208" s="12" t="n"/>
      <c r="H208" s="12" t="n"/>
      <c r="I208" s="12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</row>
    <row r="209">
      <c r="A209" s="19" t="n"/>
      <c r="B209" s="41" t="n"/>
      <c r="C209" s="12" t="n"/>
      <c r="D209" s="12" t="n"/>
      <c r="E209" s="12" t="n"/>
      <c r="F209" s="12" t="n"/>
      <c r="G209" s="12" t="n"/>
      <c r="H209" s="12" t="n"/>
      <c r="I209" s="12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</row>
    <row r="210">
      <c r="A210" s="19" t="n"/>
      <c r="B210" s="41" t="n"/>
      <c r="C210" s="12" t="n"/>
      <c r="D210" s="12" t="n"/>
      <c r="E210" s="12" t="n"/>
      <c r="F210" s="12" t="n"/>
      <c r="G210" s="12" t="n"/>
      <c r="H210" s="12" t="n"/>
      <c r="I210" s="12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</row>
    <row r="211">
      <c r="A211" s="19" t="n"/>
      <c r="B211" s="41" t="n"/>
      <c r="C211" s="12" t="n"/>
      <c r="D211" s="12" t="n"/>
      <c r="E211" s="12" t="n"/>
      <c r="F211" s="12" t="n"/>
      <c r="G211" s="12" t="n"/>
      <c r="H211" s="12" t="n"/>
      <c r="I211" s="12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</row>
    <row r="212">
      <c r="A212" s="19" t="n"/>
      <c r="B212" s="41" t="n"/>
      <c r="C212" s="12" t="n"/>
      <c r="D212" s="12" t="n"/>
      <c r="E212" s="12" t="n"/>
      <c r="F212" s="12" t="n"/>
      <c r="G212" s="12" t="n"/>
      <c r="H212" s="12" t="n"/>
      <c r="I212" s="12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</row>
    <row r="213">
      <c r="A213" s="19" t="n"/>
      <c r="B213" s="41" t="n"/>
      <c r="C213" s="12" t="n"/>
      <c r="D213" s="12" t="n"/>
      <c r="E213" s="12" t="n"/>
      <c r="F213" s="12" t="n"/>
      <c r="G213" s="12" t="n"/>
      <c r="H213" s="12" t="n"/>
      <c r="I213" s="12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</row>
    <row r="214">
      <c r="A214" s="19" t="n"/>
      <c r="B214" s="41" t="n"/>
      <c r="C214" s="12" t="n"/>
      <c r="D214" s="12" t="n"/>
      <c r="E214" s="12" t="n"/>
      <c r="F214" s="12" t="n"/>
      <c r="G214" s="12" t="n"/>
      <c r="H214" s="12" t="n"/>
      <c r="I214" s="12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</row>
    <row r="215">
      <c r="A215" s="19" t="n"/>
      <c r="B215" s="41" t="n"/>
      <c r="C215" s="12" t="n"/>
      <c r="D215" s="12" t="n"/>
      <c r="E215" s="12" t="n"/>
      <c r="F215" s="12" t="n"/>
      <c r="G215" s="12" t="n"/>
      <c r="H215" s="12" t="n"/>
      <c r="I215" s="12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</row>
    <row r="216">
      <c r="A216" s="19" t="n"/>
      <c r="B216" s="41" t="n"/>
      <c r="C216" s="12" t="n"/>
      <c r="D216" s="12" t="n"/>
      <c r="E216" s="12" t="n"/>
      <c r="F216" s="12" t="n"/>
      <c r="G216" s="12" t="n"/>
      <c r="H216" s="12" t="n"/>
      <c r="I216" s="12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</row>
    <row r="217">
      <c r="A217" s="19" t="n"/>
      <c r="B217" s="41" t="n"/>
      <c r="C217" s="12" t="n"/>
      <c r="D217" s="12" t="n"/>
      <c r="E217" s="12" t="n"/>
      <c r="F217" s="12" t="n"/>
      <c r="G217" s="12" t="n"/>
      <c r="H217" s="12" t="n"/>
      <c r="I217" s="12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</row>
    <row r="218">
      <c r="A218" s="19" t="n"/>
      <c r="B218" s="41" t="n"/>
      <c r="C218" s="12" t="n"/>
      <c r="D218" s="12" t="n"/>
      <c r="E218" s="12" t="n"/>
      <c r="F218" s="12" t="n"/>
      <c r="G218" s="12" t="n"/>
      <c r="H218" s="12" t="n"/>
      <c r="I218" s="12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</row>
    <row r="219">
      <c r="A219" s="19" t="n"/>
      <c r="B219" s="41" t="n"/>
      <c r="C219" s="12" t="n"/>
      <c r="D219" s="12" t="n"/>
      <c r="E219" s="12" t="n"/>
      <c r="F219" s="12" t="n"/>
      <c r="G219" s="12" t="n"/>
      <c r="H219" s="12" t="n"/>
      <c r="I219" s="12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</row>
    <row r="220">
      <c r="A220" s="19" t="n"/>
      <c r="B220" s="41" t="n"/>
      <c r="C220" s="12" t="n"/>
      <c r="D220" s="12" t="n"/>
      <c r="E220" s="12" t="n"/>
      <c r="F220" s="12" t="n"/>
      <c r="G220" s="12" t="n"/>
      <c r="H220" s="12" t="n"/>
      <c r="I220" s="12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</row>
    <row r="221">
      <c r="A221" s="19" t="n"/>
      <c r="B221" s="41" t="n"/>
      <c r="C221" s="12" t="n"/>
      <c r="D221" s="12" t="n"/>
      <c r="E221" s="12" t="n"/>
      <c r="F221" s="12" t="n"/>
      <c r="G221" s="12" t="n"/>
      <c r="H221" s="12" t="n"/>
      <c r="I221" s="12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</row>
    <row r="222">
      <c r="A222" s="19" t="n"/>
      <c r="B222" s="41" t="n"/>
      <c r="C222" s="12" t="n"/>
      <c r="D222" s="12" t="n"/>
      <c r="E222" s="12" t="n"/>
      <c r="F222" s="12" t="n"/>
      <c r="G222" s="12" t="n"/>
      <c r="H222" s="12" t="n"/>
      <c r="I222" s="12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</row>
    <row r="223">
      <c r="A223" s="19" t="n"/>
      <c r="B223" s="41" t="n"/>
      <c r="C223" s="12" t="n"/>
      <c r="D223" s="12" t="n"/>
      <c r="E223" s="12" t="n"/>
      <c r="F223" s="12" t="n"/>
      <c r="G223" s="12" t="n"/>
      <c r="H223" s="12" t="n"/>
      <c r="I223" s="12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</row>
    <row r="224">
      <c r="A224" s="19" t="n"/>
      <c r="B224" s="41" t="n"/>
      <c r="C224" s="12" t="n"/>
      <c r="D224" s="12" t="n"/>
      <c r="E224" s="12" t="n"/>
      <c r="F224" s="12" t="n"/>
      <c r="G224" s="12" t="n"/>
      <c r="H224" s="12" t="n"/>
      <c r="I224" s="12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</row>
    <row r="225">
      <c r="A225" s="19" t="n"/>
      <c r="B225" s="41" t="n"/>
      <c r="C225" s="12" t="n"/>
      <c r="D225" s="12" t="n"/>
      <c r="E225" s="12" t="n"/>
      <c r="F225" s="12" t="n"/>
      <c r="G225" s="12" t="n"/>
      <c r="H225" s="12" t="n"/>
      <c r="I225" s="12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</row>
    <row r="226">
      <c r="A226" s="19" t="n"/>
      <c r="B226" s="41" t="n"/>
      <c r="C226" s="12" t="n"/>
      <c r="D226" s="12" t="n"/>
      <c r="E226" s="12" t="n"/>
      <c r="F226" s="12" t="n"/>
      <c r="G226" s="12" t="n"/>
      <c r="H226" s="12" t="n"/>
      <c r="I226" s="12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</row>
    <row r="227">
      <c r="A227" s="19" t="n"/>
      <c r="B227" s="41" t="n"/>
      <c r="C227" s="12" t="n"/>
      <c r="D227" s="12" t="n"/>
      <c r="E227" s="12" t="n"/>
      <c r="F227" s="12" t="n"/>
      <c r="G227" s="12" t="n"/>
      <c r="H227" s="12" t="n"/>
      <c r="I227" s="12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</row>
    <row r="228">
      <c r="A228" s="19" t="n"/>
      <c r="B228" s="41" t="n"/>
      <c r="C228" s="12" t="n"/>
      <c r="D228" s="12" t="n"/>
      <c r="E228" s="12" t="n"/>
      <c r="F228" s="12" t="n"/>
      <c r="G228" s="12" t="n"/>
      <c r="H228" s="12" t="n"/>
      <c r="I228" s="12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</row>
    <row r="229">
      <c r="A229" s="19" t="n"/>
      <c r="B229" s="41" t="n"/>
      <c r="C229" s="12" t="n"/>
      <c r="D229" s="12" t="n"/>
      <c r="E229" s="12" t="n"/>
      <c r="F229" s="12" t="n"/>
      <c r="G229" s="12" t="n"/>
      <c r="H229" s="12" t="n"/>
      <c r="I229" s="12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</row>
    <row r="230">
      <c r="A230" s="19" t="n"/>
      <c r="B230" s="41" t="n"/>
      <c r="C230" s="12" t="n"/>
      <c r="D230" s="12" t="n"/>
      <c r="E230" s="12" t="n"/>
      <c r="F230" s="12" t="n"/>
      <c r="G230" s="12" t="n"/>
      <c r="H230" s="12" t="n"/>
      <c r="I230" s="12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</row>
    <row r="231">
      <c r="A231" s="19" t="n"/>
      <c r="B231" s="41" t="n"/>
      <c r="C231" s="12" t="n"/>
      <c r="D231" s="12" t="n"/>
      <c r="E231" s="12" t="n"/>
      <c r="F231" s="12" t="n"/>
      <c r="G231" s="12" t="n"/>
      <c r="H231" s="12" t="n"/>
      <c r="I231" s="12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</row>
    <row r="232">
      <c r="A232" s="19" t="n"/>
      <c r="B232" s="41" t="n"/>
      <c r="C232" s="12" t="n"/>
      <c r="D232" s="12" t="n"/>
      <c r="E232" s="12" t="n"/>
      <c r="F232" s="12" t="n"/>
      <c r="G232" s="12" t="n"/>
      <c r="H232" s="12" t="n"/>
      <c r="I232" s="12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</row>
    <row r="233">
      <c r="A233" s="19" t="n"/>
      <c r="B233" s="41" t="n"/>
      <c r="C233" s="12" t="n"/>
      <c r="D233" s="12" t="n"/>
      <c r="E233" s="12" t="n"/>
      <c r="F233" s="12" t="n"/>
      <c r="G233" s="12" t="n"/>
      <c r="H233" s="12" t="n"/>
      <c r="I233" s="12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</row>
    <row r="234">
      <c r="A234" s="19" t="n"/>
      <c r="B234" s="41" t="n"/>
      <c r="C234" s="12" t="n"/>
      <c r="D234" s="12" t="n"/>
      <c r="E234" s="12" t="n"/>
      <c r="F234" s="12" t="n"/>
      <c r="G234" s="12" t="n"/>
      <c r="H234" s="12" t="n"/>
      <c r="I234" s="12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</row>
    <row r="235">
      <c r="A235" s="19" t="n"/>
      <c r="B235" s="41" t="n"/>
      <c r="C235" s="12" t="n"/>
      <c r="D235" s="12" t="n"/>
      <c r="E235" s="12" t="n"/>
      <c r="F235" s="12" t="n"/>
      <c r="G235" s="12" t="n"/>
      <c r="H235" s="12" t="n"/>
      <c r="I235" s="12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</row>
    <row r="236">
      <c r="A236" s="19" t="n"/>
      <c r="B236" s="41" t="n"/>
      <c r="C236" s="12" t="n"/>
      <c r="D236" s="12" t="n"/>
      <c r="E236" s="12" t="n"/>
      <c r="F236" s="12" t="n"/>
      <c r="G236" s="12" t="n"/>
      <c r="H236" s="12" t="n"/>
      <c r="I236" s="12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</row>
    <row r="237">
      <c r="A237" s="19" t="n"/>
      <c r="B237" s="41" t="n"/>
      <c r="C237" s="12" t="n"/>
      <c r="D237" s="12" t="n"/>
      <c r="E237" s="12" t="n"/>
      <c r="F237" s="12" t="n"/>
      <c r="G237" s="12" t="n"/>
      <c r="H237" s="12" t="n"/>
      <c r="I237" s="12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</row>
    <row r="238">
      <c r="A238" s="19" t="n"/>
      <c r="B238" s="41" t="n"/>
      <c r="C238" s="12" t="n"/>
      <c r="D238" s="12" t="n"/>
      <c r="E238" s="12" t="n"/>
      <c r="F238" s="12" t="n"/>
      <c r="G238" s="12" t="n"/>
      <c r="H238" s="12" t="n"/>
      <c r="I238" s="12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</row>
    <row r="239">
      <c r="A239" s="19" t="n"/>
      <c r="B239" s="41" t="n"/>
      <c r="C239" s="12" t="n"/>
      <c r="D239" s="12" t="n"/>
      <c r="E239" s="12" t="n"/>
      <c r="F239" s="12" t="n"/>
      <c r="G239" s="12" t="n"/>
      <c r="H239" s="12" t="n"/>
      <c r="I239" s="12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</row>
    <row r="240">
      <c r="A240" s="19" t="n"/>
      <c r="B240" s="41" t="n"/>
      <c r="C240" s="12" t="n"/>
      <c r="D240" s="12" t="n"/>
      <c r="E240" s="12" t="n"/>
      <c r="F240" s="12" t="n"/>
      <c r="G240" s="12" t="n"/>
      <c r="H240" s="12" t="n"/>
      <c r="I240" s="12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</row>
    <row r="241">
      <c r="A241" s="19" t="n"/>
      <c r="B241" s="41" t="n"/>
      <c r="C241" s="12" t="n"/>
      <c r="D241" s="12" t="n"/>
      <c r="E241" s="12" t="n"/>
      <c r="F241" s="12" t="n"/>
      <c r="G241" s="12" t="n"/>
      <c r="H241" s="12" t="n"/>
      <c r="I241" s="12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</row>
    <row r="242">
      <c r="A242" s="19" t="n"/>
      <c r="B242" s="41" t="n"/>
      <c r="C242" s="12" t="n"/>
      <c r="D242" s="12" t="n"/>
      <c r="E242" s="12" t="n"/>
      <c r="F242" s="12" t="n"/>
      <c r="G242" s="12" t="n"/>
      <c r="H242" s="12" t="n"/>
      <c r="I242" s="12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</row>
    <row r="243">
      <c r="A243" s="19" t="n"/>
      <c r="B243" s="41" t="n"/>
      <c r="C243" s="12" t="n"/>
      <c r="D243" s="12" t="n"/>
      <c r="E243" s="12" t="n"/>
      <c r="F243" s="12" t="n"/>
      <c r="G243" s="12" t="n"/>
      <c r="H243" s="12" t="n"/>
      <c r="I243" s="12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</row>
    <row r="244">
      <c r="A244" s="19" t="n"/>
      <c r="B244" s="41" t="n"/>
      <c r="C244" s="12" t="n"/>
      <c r="D244" s="12" t="n"/>
      <c r="E244" s="12" t="n"/>
      <c r="F244" s="12" t="n"/>
      <c r="G244" s="12" t="n"/>
      <c r="H244" s="12" t="n"/>
      <c r="I244" s="12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</row>
    <row r="245">
      <c r="A245" s="19" t="n"/>
      <c r="B245" s="41" t="n"/>
      <c r="C245" s="12" t="n"/>
      <c r="D245" s="12" t="n"/>
      <c r="E245" s="12" t="n"/>
      <c r="F245" s="12" t="n"/>
      <c r="G245" s="12" t="n"/>
      <c r="H245" s="12" t="n"/>
      <c r="I245" s="12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</row>
    <row r="246">
      <c r="A246" s="19" t="n"/>
      <c r="B246" s="41" t="n"/>
      <c r="C246" s="12" t="n"/>
      <c r="D246" s="12" t="n"/>
      <c r="E246" s="12" t="n"/>
      <c r="F246" s="12" t="n"/>
      <c r="G246" s="12" t="n"/>
      <c r="H246" s="12" t="n"/>
      <c r="I246" s="12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</row>
    <row r="247">
      <c r="A247" s="19" t="n"/>
      <c r="B247" s="41" t="n"/>
      <c r="C247" s="12" t="n"/>
      <c r="D247" s="12" t="n"/>
      <c r="E247" s="12" t="n"/>
      <c r="F247" s="12" t="n"/>
      <c r="G247" s="12" t="n"/>
      <c r="H247" s="12" t="n"/>
      <c r="I247" s="12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</row>
    <row r="248">
      <c r="A248" s="19" t="n"/>
      <c r="B248" s="41" t="n"/>
      <c r="C248" s="12" t="n"/>
      <c r="D248" s="12" t="n"/>
      <c r="E248" s="12" t="n"/>
      <c r="F248" s="12" t="n"/>
      <c r="G248" s="12" t="n"/>
      <c r="H248" s="12" t="n"/>
      <c r="I248" s="12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</row>
    <row r="249">
      <c r="A249" s="19" t="n"/>
      <c r="B249" s="41" t="n"/>
      <c r="C249" s="12" t="n"/>
      <c r="D249" s="12" t="n"/>
      <c r="E249" s="12" t="n"/>
      <c r="F249" s="12" t="n"/>
      <c r="G249" s="12" t="n"/>
      <c r="H249" s="12" t="n"/>
      <c r="I249" s="12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</row>
    <row r="250">
      <c r="A250" s="19" t="n"/>
      <c r="B250" s="41" t="n"/>
      <c r="C250" s="12" t="n"/>
      <c r="D250" s="12" t="n"/>
      <c r="E250" s="12" t="n"/>
      <c r="F250" s="12" t="n"/>
      <c r="G250" s="12" t="n"/>
      <c r="H250" s="12" t="n"/>
      <c r="I250" s="12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</row>
    <row r="251">
      <c r="A251" s="19" t="n"/>
      <c r="B251" s="41" t="n"/>
      <c r="C251" s="12" t="n"/>
      <c r="D251" s="12" t="n"/>
      <c r="E251" s="12" t="n"/>
      <c r="F251" s="12" t="n"/>
      <c r="G251" s="12" t="n"/>
      <c r="H251" s="12" t="n"/>
      <c r="I251" s="12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</row>
    <row r="252">
      <c r="A252" s="19" t="n"/>
      <c r="B252" s="41" t="n"/>
      <c r="C252" s="12" t="n"/>
      <c r="D252" s="12" t="n"/>
      <c r="E252" s="12" t="n"/>
      <c r="F252" s="12" t="n"/>
      <c r="G252" s="12" t="n"/>
      <c r="H252" s="12" t="n"/>
      <c r="I252" s="12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</row>
    <row r="253">
      <c r="A253" s="19" t="n"/>
      <c r="B253" s="41" t="n"/>
      <c r="C253" s="12" t="n"/>
      <c r="D253" s="12" t="n"/>
      <c r="E253" s="12" t="n"/>
      <c r="F253" s="12" t="n"/>
      <c r="G253" s="12" t="n"/>
      <c r="H253" s="12" t="n"/>
      <c r="I253" s="12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</row>
    <row r="254">
      <c r="A254" s="19" t="n"/>
      <c r="B254" s="41" t="n"/>
      <c r="C254" s="12" t="n"/>
      <c r="D254" s="12" t="n"/>
      <c r="E254" s="12" t="n"/>
      <c r="F254" s="12" t="n"/>
      <c r="G254" s="12" t="n"/>
      <c r="H254" s="12" t="n"/>
      <c r="I254" s="12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</row>
    <row r="255">
      <c r="A255" s="19" t="n"/>
      <c r="B255" s="41" t="n"/>
      <c r="C255" s="12" t="n"/>
      <c r="D255" s="12" t="n"/>
      <c r="E255" s="12" t="n"/>
      <c r="F255" s="12" t="n"/>
      <c r="G255" s="12" t="n"/>
      <c r="H255" s="12" t="n"/>
      <c r="I255" s="12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</row>
    <row r="256">
      <c r="A256" s="19" t="n"/>
      <c r="B256" s="41" t="n"/>
      <c r="C256" s="12" t="n"/>
      <c r="D256" s="12" t="n"/>
      <c r="E256" s="12" t="n"/>
      <c r="F256" s="12" t="n"/>
      <c r="G256" s="12" t="n"/>
      <c r="H256" s="12" t="n"/>
      <c r="I256" s="12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</row>
    <row r="257">
      <c r="A257" s="19" t="n"/>
      <c r="B257" s="41" t="n"/>
      <c r="C257" s="12" t="n"/>
      <c r="D257" s="12" t="n"/>
      <c r="E257" s="12" t="n"/>
      <c r="F257" s="12" t="n"/>
      <c r="G257" s="12" t="n"/>
      <c r="H257" s="12" t="n"/>
      <c r="I257" s="12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</row>
    <row r="258">
      <c r="A258" s="19" t="n"/>
      <c r="B258" s="41" t="n"/>
      <c r="C258" s="12" t="n"/>
      <c r="D258" s="12" t="n"/>
      <c r="E258" s="12" t="n"/>
      <c r="F258" s="12" t="n"/>
      <c r="G258" s="12" t="n"/>
      <c r="H258" s="12" t="n"/>
      <c r="I258" s="12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</row>
    <row r="259">
      <c r="A259" s="19" t="n"/>
      <c r="B259" s="41" t="n"/>
      <c r="C259" s="12" t="n"/>
      <c r="D259" s="12" t="n"/>
      <c r="E259" s="12" t="n"/>
      <c r="F259" s="12" t="n"/>
      <c r="G259" s="12" t="n"/>
      <c r="H259" s="12" t="n"/>
      <c r="I259" s="12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</row>
    <row r="260">
      <c r="A260" s="19" t="n"/>
      <c r="B260" s="41" t="n"/>
      <c r="C260" s="12" t="n"/>
      <c r="D260" s="12" t="n"/>
      <c r="E260" s="12" t="n"/>
      <c r="F260" s="12" t="n"/>
      <c r="G260" s="12" t="n"/>
      <c r="H260" s="12" t="n"/>
      <c r="I260" s="12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</row>
    <row r="261">
      <c r="A261" s="19" t="n"/>
      <c r="B261" s="41" t="n"/>
      <c r="C261" s="12" t="n"/>
      <c r="D261" s="12" t="n"/>
      <c r="E261" s="12" t="n"/>
      <c r="F261" s="12" t="n"/>
      <c r="G261" s="12" t="n"/>
      <c r="H261" s="12" t="n"/>
      <c r="I261" s="12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</row>
    <row r="262">
      <c r="A262" s="19" t="n"/>
      <c r="B262" s="41" t="n"/>
      <c r="C262" s="12" t="n"/>
      <c r="D262" s="12" t="n"/>
      <c r="E262" s="12" t="n"/>
      <c r="F262" s="12" t="n"/>
      <c r="G262" s="12" t="n"/>
      <c r="H262" s="12" t="n"/>
      <c r="I262" s="12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</row>
    <row r="263">
      <c r="A263" s="19" t="n"/>
      <c r="B263" s="41" t="n"/>
      <c r="C263" s="12" t="n"/>
      <c r="D263" s="12" t="n"/>
      <c r="E263" s="12" t="n"/>
      <c r="F263" s="12" t="n"/>
      <c r="G263" s="12" t="n"/>
      <c r="H263" s="12" t="n"/>
      <c r="I263" s="12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</row>
    <row r="264">
      <c r="A264" s="19" t="n"/>
      <c r="B264" s="41" t="n"/>
      <c r="C264" s="12" t="n"/>
      <c r="D264" s="12" t="n"/>
      <c r="E264" s="12" t="n"/>
      <c r="F264" s="12" t="n"/>
      <c r="G264" s="12" t="n"/>
      <c r="H264" s="12" t="n"/>
      <c r="I264" s="12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</row>
    <row r="265">
      <c r="A265" s="19" t="n"/>
      <c r="B265" s="41" t="n"/>
      <c r="C265" s="12" t="n"/>
      <c r="D265" s="12" t="n"/>
      <c r="E265" s="12" t="n"/>
      <c r="F265" s="12" t="n"/>
      <c r="G265" s="12" t="n"/>
      <c r="H265" s="12" t="n"/>
      <c r="I265" s="12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</row>
    <row r="266">
      <c r="A266" s="19" t="n"/>
      <c r="B266" s="41" t="n"/>
      <c r="C266" s="12" t="n"/>
      <c r="D266" s="12" t="n"/>
      <c r="E266" s="12" t="n"/>
      <c r="F266" s="12" t="n"/>
      <c r="G266" s="12" t="n"/>
      <c r="H266" s="12" t="n"/>
      <c r="I266" s="12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</row>
    <row r="267">
      <c r="A267" s="19" t="n"/>
      <c r="B267" s="41" t="n"/>
      <c r="C267" s="12" t="n"/>
      <c r="D267" s="12" t="n"/>
      <c r="E267" s="12" t="n"/>
      <c r="F267" s="12" t="n"/>
      <c r="G267" s="12" t="n"/>
      <c r="H267" s="12" t="n"/>
      <c r="I267" s="12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</row>
    <row r="268">
      <c r="A268" s="19" t="n"/>
      <c r="B268" s="41" t="n"/>
      <c r="C268" s="12" t="n"/>
      <c r="D268" s="12" t="n"/>
      <c r="E268" s="12" t="n"/>
      <c r="F268" s="12" t="n"/>
      <c r="G268" s="12" t="n"/>
      <c r="H268" s="12" t="n"/>
      <c r="I268" s="12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</row>
    <row r="269">
      <c r="A269" s="19" t="n"/>
      <c r="B269" s="41" t="n"/>
      <c r="C269" s="12" t="n"/>
      <c r="D269" s="12" t="n"/>
      <c r="E269" s="12" t="n"/>
      <c r="F269" s="12" t="n"/>
      <c r="G269" s="12" t="n"/>
      <c r="H269" s="12" t="n"/>
      <c r="I269" s="12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</row>
    <row r="270">
      <c r="A270" s="19" t="n"/>
      <c r="B270" s="41" t="n"/>
      <c r="C270" s="12" t="n"/>
      <c r="D270" s="12" t="n"/>
      <c r="E270" s="12" t="n"/>
      <c r="F270" s="12" t="n"/>
      <c r="G270" s="12" t="n"/>
      <c r="H270" s="12" t="n"/>
      <c r="I270" s="12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</row>
    <row r="271">
      <c r="A271" s="19" t="n"/>
      <c r="B271" s="41" t="n"/>
      <c r="C271" s="12" t="n"/>
      <c r="D271" s="12" t="n"/>
      <c r="E271" s="12" t="n"/>
      <c r="F271" s="12" t="n"/>
      <c r="G271" s="12" t="n"/>
      <c r="H271" s="12" t="n"/>
      <c r="I271" s="12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</row>
    <row r="272">
      <c r="A272" s="19" t="n"/>
      <c r="B272" s="41" t="n"/>
      <c r="C272" s="12" t="n"/>
      <c r="D272" s="12" t="n"/>
      <c r="E272" s="12" t="n"/>
      <c r="F272" s="12" t="n"/>
      <c r="G272" s="12" t="n"/>
      <c r="H272" s="12" t="n"/>
      <c r="I272" s="12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</row>
    <row r="273">
      <c r="A273" s="19" t="n"/>
      <c r="B273" s="41" t="n"/>
      <c r="C273" s="12" t="n"/>
      <c r="D273" s="12" t="n"/>
      <c r="E273" s="12" t="n"/>
      <c r="F273" s="12" t="n"/>
      <c r="G273" s="12" t="n"/>
      <c r="H273" s="12" t="n"/>
      <c r="I273" s="12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</row>
    <row r="274">
      <c r="A274" s="19" t="n"/>
      <c r="B274" s="41" t="n"/>
      <c r="C274" s="12" t="n"/>
      <c r="D274" s="12" t="n"/>
      <c r="E274" s="12" t="n"/>
      <c r="F274" s="12" t="n"/>
      <c r="G274" s="12" t="n"/>
      <c r="H274" s="12" t="n"/>
      <c r="I274" s="12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</row>
    <row r="275">
      <c r="A275" s="19" t="n"/>
      <c r="B275" s="41" t="n"/>
      <c r="C275" s="12" t="n"/>
      <c r="D275" s="12" t="n"/>
      <c r="E275" s="12" t="n"/>
      <c r="F275" s="12" t="n"/>
      <c r="G275" s="12" t="n"/>
      <c r="H275" s="12" t="n"/>
      <c r="I275" s="12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</row>
    <row r="276">
      <c r="A276" s="19" t="n"/>
      <c r="B276" s="41" t="n"/>
      <c r="C276" s="12" t="n"/>
      <c r="D276" s="12" t="n"/>
      <c r="E276" s="12" t="n"/>
      <c r="F276" s="12" t="n"/>
      <c r="G276" s="12" t="n"/>
      <c r="H276" s="12" t="n"/>
      <c r="I276" s="12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</row>
    <row r="277">
      <c r="A277" s="19" t="n"/>
      <c r="B277" s="41" t="n"/>
      <c r="C277" s="12" t="n"/>
      <c r="D277" s="12" t="n"/>
      <c r="E277" s="12" t="n"/>
      <c r="F277" s="12" t="n"/>
      <c r="G277" s="12" t="n"/>
      <c r="H277" s="12" t="n"/>
      <c r="I277" s="12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</row>
    <row r="278">
      <c r="A278" s="19" t="n"/>
      <c r="B278" s="41" t="n"/>
      <c r="C278" s="12" t="n"/>
      <c r="D278" s="12" t="n"/>
      <c r="E278" s="12" t="n"/>
      <c r="F278" s="12" t="n"/>
      <c r="G278" s="12" t="n"/>
      <c r="H278" s="12" t="n"/>
      <c r="I278" s="12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</row>
    <row r="279">
      <c r="A279" s="19" t="n"/>
      <c r="B279" s="41" t="n"/>
      <c r="C279" s="12" t="n"/>
      <c r="D279" s="12" t="n"/>
      <c r="E279" s="12" t="n"/>
      <c r="F279" s="12" t="n"/>
      <c r="G279" s="12" t="n"/>
      <c r="H279" s="12" t="n"/>
      <c r="I279" s="12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</row>
    <row r="280">
      <c r="A280" s="19" t="n"/>
      <c r="B280" s="41" t="n"/>
      <c r="C280" s="12" t="n"/>
      <c r="D280" s="12" t="n"/>
      <c r="E280" s="12" t="n"/>
      <c r="F280" s="12" t="n"/>
      <c r="G280" s="12" t="n"/>
      <c r="H280" s="12" t="n"/>
      <c r="I280" s="12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</row>
    <row r="281">
      <c r="A281" s="19" t="n"/>
      <c r="B281" s="41" t="n"/>
      <c r="C281" s="12" t="n"/>
      <c r="D281" s="12" t="n"/>
      <c r="E281" s="12" t="n"/>
      <c r="F281" s="12" t="n"/>
      <c r="G281" s="12" t="n"/>
      <c r="H281" s="12" t="n"/>
      <c r="I281" s="12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</row>
    <row r="282">
      <c r="A282" s="19" t="n"/>
      <c r="B282" s="41" t="n"/>
      <c r="C282" s="12" t="n"/>
      <c r="D282" s="12" t="n"/>
      <c r="E282" s="12" t="n"/>
      <c r="F282" s="12" t="n"/>
      <c r="G282" s="12" t="n"/>
      <c r="H282" s="12" t="n"/>
      <c r="I282" s="12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</row>
    <row r="283">
      <c r="A283" s="19" t="n"/>
      <c r="B283" s="41" t="n"/>
      <c r="C283" s="12" t="n"/>
      <c r="D283" s="12" t="n"/>
      <c r="E283" s="12" t="n"/>
      <c r="F283" s="12" t="n"/>
      <c r="G283" s="12" t="n"/>
      <c r="H283" s="12" t="n"/>
      <c r="I283" s="12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</row>
    <row r="284">
      <c r="A284" s="19" t="n"/>
      <c r="B284" s="41" t="n"/>
      <c r="C284" s="12" t="n"/>
      <c r="D284" s="12" t="n"/>
      <c r="E284" s="12" t="n"/>
      <c r="F284" s="12" t="n"/>
      <c r="G284" s="12" t="n"/>
      <c r="H284" s="12" t="n"/>
      <c r="I284" s="12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</row>
    <row r="285">
      <c r="A285" s="19" t="n"/>
      <c r="B285" s="41" t="n"/>
      <c r="C285" s="12" t="n"/>
      <c r="D285" s="12" t="n"/>
      <c r="E285" s="12" t="n"/>
      <c r="F285" s="12" t="n"/>
      <c r="G285" s="12" t="n"/>
      <c r="H285" s="12" t="n"/>
      <c r="I285" s="12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</row>
    <row r="286">
      <c r="A286" s="19" t="n"/>
      <c r="B286" s="41" t="n"/>
      <c r="C286" s="12" t="n"/>
      <c r="D286" s="12" t="n"/>
      <c r="E286" s="12" t="n"/>
      <c r="F286" s="12" t="n"/>
      <c r="G286" s="12" t="n"/>
      <c r="H286" s="12" t="n"/>
      <c r="I286" s="12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</row>
    <row r="287">
      <c r="A287" s="19" t="n"/>
      <c r="B287" s="41" t="n"/>
      <c r="C287" s="12" t="n"/>
      <c r="D287" s="12" t="n"/>
      <c r="E287" s="12" t="n"/>
      <c r="F287" s="12" t="n"/>
      <c r="G287" s="12" t="n"/>
      <c r="H287" s="12" t="n"/>
      <c r="I287" s="12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</row>
    <row r="288">
      <c r="A288" s="19" t="n"/>
      <c r="B288" s="41" t="n"/>
      <c r="C288" s="12" t="n"/>
      <c r="D288" s="12" t="n"/>
      <c r="E288" s="12" t="n"/>
      <c r="F288" s="12" t="n"/>
      <c r="G288" s="12" t="n"/>
      <c r="H288" s="12" t="n"/>
      <c r="I288" s="12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</row>
    <row r="289">
      <c r="A289" s="19" t="n"/>
      <c r="B289" s="41" t="n"/>
      <c r="C289" s="12" t="n"/>
      <c r="D289" s="12" t="n"/>
      <c r="E289" s="12" t="n"/>
      <c r="F289" s="12" t="n"/>
      <c r="G289" s="12" t="n"/>
      <c r="H289" s="12" t="n"/>
      <c r="I289" s="12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</row>
    <row r="290">
      <c r="A290" s="19" t="n"/>
      <c r="B290" s="41" t="n"/>
      <c r="C290" s="12" t="n"/>
      <c r="D290" s="12" t="n"/>
      <c r="E290" s="12" t="n"/>
      <c r="F290" s="12" t="n"/>
      <c r="G290" s="12" t="n"/>
      <c r="H290" s="12" t="n"/>
      <c r="I290" s="12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</row>
    <row r="291">
      <c r="A291" s="19" t="n"/>
      <c r="B291" s="41" t="n"/>
      <c r="C291" s="12" t="n"/>
      <c r="D291" s="12" t="n"/>
      <c r="E291" s="12" t="n"/>
      <c r="F291" s="12" t="n"/>
      <c r="G291" s="12" t="n"/>
      <c r="H291" s="12" t="n"/>
      <c r="I291" s="12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</row>
    <row r="292">
      <c r="A292" s="19" t="n"/>
      <c r="B292" s="41" t="n"/>
      <c r="C292" s="12" t="n"/>
      <c r="D292" s="12" t="n"/>
      <c r="E292" s="12" t="n"/>
      <c r="F292" s="12" t="n"/>
      <c r="G292" s="12" t="n"/>
      <c r="H292" s="12" t="n"/>
      <c r="I292" s="12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</row>
    <row r="293">
      <c r="A293" s="19" t="n"/>
      <c r="B293" s="41" t="n"/>
      <c r="C293" s="12" t="n"/>
      <c r="D293" s="12" t="n"/>
      <c r="E293" s="12" t="n"/>
      <c r="F293" s="12" t="n"/>
      <c r="G293" s="12" t="n"/>
      <c r="H293" s="12" t="n"/>
      <c r="I293" s="12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</row>
    <row r="294">
      <c r="A294" s="19" t="n"/>
      <c r="B294" s="41" t="n"/>
      <c r="C294" s="12" t="n"/>
      <c r="D294" s="12" t="n"/>
      <c r="E294" s="12" t="n"/>
      <c r="F294" s="12" t="n"/>
      <c r="G294" s="12" t="n"/>
      <c r="H294" s="12" t="n"/>
      <c r="I294" s="12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</row>
    <row r="295">
      <c r="A295" s="19" t="n"/>
      <c r="B295" s="41" t="n"/>
      <c r="C295" s="12" t="n"/>
      <c r="D295" s="12" t="n"/>
      <c r="E295" s="12" t="n"/>
      <c r="F295" s="12" t="n"/>
      <c r="G295" s="12" t="n"/>
      <c r="H295" s="12" t="n"/>
      <c r="I295" s="12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</row>
    <row r="296">
      <c r="A296" s="19" t="n"/>
      <c r="B296" s="41" t="n"/>
      <c r="C296" s="12" t="n"/>
      <c r="D296" s="12" t="n"/>
      <c r="E296" s="12" t="n"/>
      <c r="F296" s="12" t="n"/>
      <c r="G296" s="12" t="n"/>
      <c r="H296" s="12" t="n"/>
      <c r="I296" s="12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</row>
    <row r="297">
      <c r="A297" s="19" t="n"/>
      <c r="B297" s="41" t="n"/>
      <c r="C297" s="12" t="n"/>
      <c r="D297" s="12" t="n"/>
      <c r="E297" s="12" t="n"/>
      <c r="F297" s="12" t="n"/>
      <c r="G297" s="12" t="n"/>
      <c r="H297" s="12" t="n"/>
      <c r="I297" s="12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</row>
    <row r="298">
      <c r="A298" s="19" t="n"/>
      <c r="B298" s="41" t="n"/>
      <c r="C298" s="12" t="n"/>
      <c r="D298" s="12" t="n"/>
      <c r="E298" s="12" t="n"/>
      <c r="F298" s="12" t="n"/>
      <c r="G298" s="12" t="n"/>
      <c r="H298" s="12" t="n"/>
      <c r="I298" s="12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</row>
    <row r="299">
      <c r="A299" s="19" t="n"/>
      <c r="B299" s="41" t="n"/>
      <c r="C299" s="12" t="n"/>
      <c r="D299" s="12" t="n"/>
      <c r="E299" s="12" t="n"/>
      <c r="F299" s="12" t="n"/>
      <c r="G299" s="12" t="n"/>
      <c r="H299" s="12" t="n"/>
      <c r="I299" s="12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</row>
    <row r="300">
      <c r="A300" s="19" t="n"/>
      <c r="B300" s="41" t="n"/>
      <c r="C300" s="12" t="n"/>
      <c r="D300" s="12" t="n"/>
      <c r="E300" s="12" t="n"/>
      <c r="F300" s="12" t="n"/>
      <c r="G300" s="12" t="n"/>
      <c r="H300" s="12" t="n"/>
      <c r="I300" s="12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</row>
    <row r="301">
      <c r="A301" s="19" t="n"/>
      <c r="B301" s="41" t="n"/>
      <c r="C301" s="12" t="n"/>
      <c r="D301" s="12" t="n"/>
      <c r="E301" s="12" t="n"/>
      <c r="F301" s="12" t="n"/>
      <c r="G301" s="12" t="n"/>
      <c r="H301" s="12" t="n"/>
      <c r="I301" s="12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</row>
    <row r="302">
      <c r="A302" s="19" t="n"/>
      <c r="B302" s="41" t="n"/>
      <c r="C302" s="12" t="n"/>
      <c r="D302" s="12" t="n"/>
      <c r="E302" s="12" t="n"/>
      <c r="F302" s="12" t="n"/>
      <c r="G302" s="12" t="n"/>
      <c r="H302" s="12" t="n"/>
      <c r="I302" s="12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</row>
    <row r="303">
      <c r="A303" s="19" t="n"/>
      <c r="B303" s="41" t="n"/>
      <c r="C303" s="12" t="n"/>
      <c r="D303" s="12" t="n"/>
      <c r="E303" s="12" t="n"/>
      <c r="F303" s="12" t="n"/>
      <c r="G303" s="12" t="n"/>
      <c r="H303" s="12" t="n"/>
      <c r="I303" s="12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</row>
    <row r="304">
      <c r="A304" s="19" t="n"/>
      <c r="B304" s="41" t="n"/>
      <c r="C304" s="12" t="n"/>
      <c r="D304" s="12" t="n"/>
      <c r="E304" s="12" t="n"/>
      <c r="F304" s="12" t="n"/>
      <c r="G304" s="12" t="n"/>
      <c r="H304" s="12" t="n"/>
      <c r="I304" s="12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</row>
    <row r="305">
      <c r="A305" s="19" t="n"/>
      <c r="B305" s="41" t="n"/>
      <c r="C305" s="12" t="n"/>
      <c r="D305" s="12" t="n"/>
      <c r="E305" s="12" t="n"/>
      <c r="F305" s="12" t="n"/>
      <c r="G305" s="12" t="n"/>
      <c r="H305" s="12" t="n"/>
      <c r="I305" s="12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</row>
    <row r="306">
      <c r="A306" s="19" t="n"/>
      <c r="B306" s="41" t="n"/>
      <c r="C306" s="12" t="n"/>
      <c r="D306" s="12" t="n"/>
      <c r="E306" s="12" t="n"/>
      <c r="F306" s="12" t="n"/>
      <c r="G306" s="12" t="n"/>
      <c r="H306" s="12" t="n"/>
      <c r="I306" s="12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</row>
    <row r="307">
      <c r="A307" s="19" t="n"/>
      <c r="B307" s="41" t="n"/>
      <c r="C307" s="12" t="n"/>
      <c r="D307" s="12" t="n"/>
      <c r="E307" s="12" t="n"/>
      <c r="F307" s="12" t="n"/>
      <c r="G307" s="12" t="n"/>
      <c r="H307" s="12" t="n"/>
      <c r="I307" s="12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</row>
    <row r="308">
      <c r="A308" s="19" t="n"/>
      <c r="B308" s="41" t="n"/>
      <c r="C308" s="12" t="n"/>
      <c r="D308" s="12" t="n"/>
      <c r="E308" s="12" t="n"/>
      <c r="F308" s="12" t="n"/>
      <c r="G308" s="12" t="n"/>
      <c r="H308" s="12" t="n"/>
      <c r="I308" s="12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</row>
    <row r="309">
      <c r="A309" s="19" t="n"/>
      <c r="B309" s="41" t="n"/>
      <c r="C309" s="12" t="n"/>
      <c r="D309" s="12" t="n"/>
      <c r="E309" s="12" t="n"/>
      <c r="F309" s="12" t="n"/>
      <c r="G309" s="12" t="n"/>
      <c r="H309" s="12" t="n"/>
      <c r="I309" s="12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</row>
    <row r="310">
      <c r="A310" s="19" t="n"/>
      <c r="B310" s="41" t="n"/>
      <c r="C310" s="12" t="n"/>
      <c r="D310" s="12" t="n"/>
      <c r="E310" s="12" t="n"/>
      <c r="F310" s="12" t="n"/>
      <c r="G310" s="12" t="n"/>
      <c r="H310" s="12" t="n"/>
      <c r="I310" s="12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</row>
    <row r="311">
      <c r="A311" s="19" t="n"/>
      <c r="B311" s="41" t="n"/>
      <c r="C311" s="12" t="n"/>
      <c r="D311" s="12" t="n"/>
      <c r="E311" s="12" t="n"/>
      <c r="F311" s="12" t="n"/>
      <c r="G311" s="12" t="n"/>
      <c r="H311" s="12" t="n"/>
      <c r="I311" s="12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</row>
    <row r="312">
      <c r="A312" s="19" t="n"/>
      <c r="B312" s="41" t="n"/>
      <c r="C312" s="12" t="n"/>
      <c r="D312" s="12" t="n"/>
      <c r="E312" s="12" t="n"/>
      <c r="F312" s="12" t="n"/>
      <c r="G312" s="12" t="n"/>
      <c r="H312" s="12" t="n"/>
      <c r="I312" s="12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</row>
    <row r="313">
      <c r="A313" s="19" t="n"/>
      <c r="B313" s="41" t="n"/>
      <c r="C313" s="12" t="n"/>
      <c r="D313" s="12" t="n"/>
      <c r="E313" s="12" t="n"/>
      <c r="F313" s="12" t="n"/>
      <c r="G313" s="12" t="n"/>
      <c r="H313" s="12" t="n"/>
      <c r="I313" s="12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</row>
    <row r="314">
      <c r="A314" s="19" t="n"/>
      <c r="B314" s="41" t="n"/>
      <c r="C314" s="12" t="n"/>
      <c r="D314" s="12" t="n"/>
      <c r="E314" s="12" t="n"/>
      <c r="F314" s="12" t="n"/>
      <c r="G314" s="12" t="n"/>
      <c r="H314" s="12" t="n"/>
      <c r="I314" s="12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</row>
    <row r="315">
      <c r="A315" s="19" t="n"/>
      <c r="B315" s="41" t="n"/>
      <c r="C315" s="12" t="n"/>
      <c r="D315" s="12" t="n"/>
      <c r="E315" s="12" t="n"/>
      <c r="F315" s="12" t="n"/>
      <c r="G315" s="12" t="n"/>
      <c r="H315" s="12" t="n"/>
      <c r="I315" s="12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</row>
    <row r="316">
      <c r="A316" s="19" t="n"/>
      <c r="B316" s="41" t="n"/>
      <c r="C316" s="12" t="n"/>
      <c r="D316" s="12" t="n"/>
      <c r="E316" s="12" t="n"/>
      <c r="F316" s="12" t="n"/>
      <c r="G316" s="12" t="n"/>
      <c r="H316" s="12" t="n"/>
      <c r="I316" s="12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</row>
    <row r="317">
      <c r="A317" s="19" t="n"/>
      <c r="B317" s="41" t="n"/>
      <c r="C317" s="12" t="n"/>
      <c r="D317" s="12" t="n"/>
      <c r="E317" s="12" t="n"/>
      <c r="F317" s="12" t="n"/>
      <c r="G317" s="12" t="n"/>
      <c r="H317" s="12" t="n"/>
      <c r="I317" s="12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</row>
    <row r="318">
      <c r="A318" s="19" t="n"/>
      <c r="B318" s="41" t="n"/>
      <c r="C318" s="12" t="n"/>
      <c r="D318" s="12" t="n"/>
      <c r="E318" s="12" t="n"/>
      <c r="F318" s="12" t="n"/>
      <c r="G318" s="12" t="n"/>
      <c r="H318" s="12" t="n"/>
      <c r="I318" s="12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</row>
    <row r="319">
      <c r="A319" s="19" t="n"/>
      <c r="B319" s="41" t="n"/>
      <c r="C319" s="12" t="n"/>
      <c r="D319" s="12" t="n"/>
      <c r="E319" s="12" t="n"/>
      <c r="F319" s="12" t="n"/>
      <c r="G319" s="12" t="n"/>
      <c r="H319" s="12" t="n"/>
      <c r="I319" s="12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</row>
    <row r="320">
      <c r="A320" s="19" t="n"/>
      <c r="B320" s="41" t="n"/>
      <c r="C320" s="12" t="n"/>
      <c r="D320" s="12" t="n"/>
      <c r="E320" s="12" t="n"/>
      <c r="F320" s="12" t="n"/>
      <c r="G320" s="12" t="n"/>
      <c r="H320" s="12" t="n"/>
      <c r="I320" s="12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</row>
    <row r="321">
      <c r="A321" s="19" t="n"/>
      <c r="B321" s="41" t="n"/>
      <c r="C321" s="12" t="n"/>
      <c r="D321" s="12" t="n"/>
      <c r="E321" s="12" t="n"/>
      <c r="F321" s="12" t="n"/>
      <c r="G321" s="12" t="n"/>
      <c r="H321" s="12" t="n"/>
      <c r="I321" s="12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</row>
    <row r="322">
      <c r="A322" s="19" t="n"/>
      <c r="B322" s="41" t="n"/>
      <c r="C322" s="12" t="n"/>
      <c r="D322" s="12" t="n"/>
      <c r="E322" s="12" t="n"/>
      <c r="F322" s="12" t="n"/>
      <c r="G322" s="12" t="n"/>
      <c r="H322" s="12" t="n"/>
      <c r="I322" s="12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</row>
    <row r="323">
      <c r="A323" s="19" t="n"/>
      <c r="B323" s="41" t="n"/>
      <c r="C323" s="12" t="n"/>
      <c r="D323" s="12" t="n"/>
      <c r="E323" s="12" t="n"/>
      <c r="F323" s="12" t="n"/>
      <c r="G323" s="12" t="n"/>
      <c r="H323" s="12" t="n"/>
      <c r="I323" s="12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</row>
    <row r="324">
      <c r="A324" s="19" t="n"/>
      <c r="B324" s="41" t="n"/>
      <c r="C324" s="12" t="n"/>
      <c r="D324" s="12" t="n"/>
      <c r="E324" s="12" t="n"/>
      <c r="F324" s="12" t="n"/>
      <c r="G324" s="12" t="n"/>
      <c r="H324" s="12" t="n"/>
      <c r="I324" s="12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</row>
    <row r="325">
      <c r="A325" s="19" t="n"/>
      <c r="B325" s="41" t="n"/>
      <c r="C325" s="12" t="n"/>
      <c r="D325" s="12" t="n"/>
      <c r="E325" s="12" t="n"/>
      <c r="F325" s="12" t="n"/>
      <c r="G325" s="12" t="n"/>
      <c r="H325" s="12" t="n"/>
      <c r="I325" s="12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</row>
    <row r="326">
      <c r="A326" s="19" t="n"/>
      <c r="B326" s="41" t="n"/>
      <c r="C326" s="12" t="n"/>
      <c r="D326" s="12" t="n"/>
      <c r="E326" s="12" t="n"/>
      <c r="F326" s="12" t="n"/>
      <c r="G326" s="12" t="n"/>
      <c r="H326" s="12" t="n"/>
      <c r="I326" s="12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</row>
    <row r="327">
      <c r="A327" s="19" t="n"/>
      <c r="B327" s="41" t="n"/>
      <c r="C327" s="12" t="n"/>
      <c r="D327" s="12" t="n"/>
      <c r="E327" s="12" t="n"/>
      <c r="F327" s="12" t="n"/>
      <c r="G327" s="12" t="n"/>
      <c r="H327" s="12" t="n"/>
      <c r="I327" s="12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</row>
    <row r="328">
      <c r="A328" s="19" t="n"/>
      <c r="B328" s="41" t="n"/>
      <c r="C328" s="12" t="n"/>
      <c r="D328" s="12" t="n"/>
      <c r="E328" s="12" t="n"/>
      <c r="F328" s="12" t="n"/>
      <c r="G328" s="12" t="n"/>
      <c r="H328" s="12" t="n"/>
      <c r="I328" s="12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</row>
    <row r="329">
      <c r="A329" s="19" t="n"/>
      <c r="B329" s="41" t="n"/>
      <c r="C329" s="12" t="n"/>
      <c r="D329" s="12" t="n"/>
      <c r="E329" s="12" t="n"/>
      <c r="F329" s="12" t="n"/>
      <c r="G329" s="12" t="n"/>
      <c r="H329" s="12" t="n"/>
      <c r="I329" s="12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</row>
    <row r="330">
      <c r="A330" s="19" t="n"/>
      <c r="B330" s="41" t="n"/>
      <c r="C330" s="12" t="n"/>
      <c r="D330" s="12" t="n"/>
      <c r="E330" s="12" t="n"/>
      <c r="F330" s="12" t="n"/>
      <c r="G330" s="12" t="n"/>
      <c r="H330" s="12" t="n"/>
      <c r="I330" s="12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</row>
    <row r="331">
      <c r="A331" s="19" t="n"/>
      <c r="B331" s="41" t="n"/>
      <c r="C331" s="12" t="n"/>
      <c r="D331" s="12" t="n"/>
      <c r="E331" s="12" t="n"/>
      <c r="F331" s="12" t="n"/>
      <c r="G331" s="12" t="n"/>
      <c r="H331" s="12" t="n"/>
      <c r="I331" s="12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</row>
    <row r="332">
      <c r="A332" s="19" t="n"/>
      <c r="B332" s="41" t="n"/>
      <c r="C332" s="12" t="n"/>
      <c r="D332" s="12" t="n"/>
      <c r="E332" s="12" t="n"/>
      <c r="F332" s="12" t="n"/>
      <c r="G332" s="12" t="n"/>
      <c r="H332" s="12" t="n"/>
      <c r="I332" s="12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</row>
    <row r="333">
      <c r="A333" s="19" t="n"/>
      <c r="B333" s="41" t="n"/>
      <c r="C333" s="12" t="n"/>
      <c r="D333" s="12" t="n"/>
      <c r="E333" s="12" t="n"/>
      <c r="F333" s="12" t="n"/>
      <c r="G333" s="12" t="n"/>
      <c r="H333" s="12" t="n"/>
      <c r="I333" s="12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</row>
    <row r="334">
      <c r="A334" s="19" t="n"/>
      <c r="B334" s="41" t="n"/>
      <c r="C334" s="12" t="n"/>
      <c r="D334" s="12" t="n"/>
      <c r="E334" s="12" t="n"/>
      <c r="F334" s="12" t="n"/>
      <c r="G334" s="12" t="n"/>
      <c r="H334" s="12" t="n"/>
      <c r="I334" s="12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</row>
    <row r="335">
      <c r="A335" s="19" t="n"/>
      <c r="B335" s="41" t="n"/>
      <c r="C335" s="12" t="n"/>
      <c r="D335" s="12" t="n"/>
      <c r="E335" s="12" t="n"/>
      <c r="F335" s="12" t="n"/>
      <c r="G335" s="12" t="n"/>
      <c r="H335" s="12" t="n"/>
      <c r="I335" s="12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</row>
    <row r="336">
      <c r="A336" s="19" t="n"/>
      <c r="B336" s="41" t="n"/>
      <c r="C336" s="12" t="n"/>
      <c r="D336" s="12" t="n"/>
      <c r="E336" s="12" t="n"/>
      <c r="F336" s="12" t="n"/>
      <c r="G336" s="12" t="n"/>
      <c r="H336" s="12" t="n"/>
      <c r="I336" s="12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</row>
    <row r="337">
      <c r="A337" s="19" t="n"/>
      <c r="B337" s="41" t="n"/>
      <c r="C337" s="12" t="n"/>
      <c r="D337" s="12" t="n"/>
      <c r="E337" s="12" t="n"/>
      <c r="F337" s="12" t="n"/>
      <c r="G337" s="12" t="n"/>
      <c r="H337" s="12" t="n"/>
      <c r="I337" s="12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</row>
    <row r="338">
      <c r="A338" s="19" t="n"/>
      <c r="B338" s="41" t="n"/>
      <c r="C338" s="12" t="n"/>
      <c r="D338" s="12" t="n"/>
      <c r="E338" s="12" t="n"/>
      <c r="F338" s="12" t="n"/>
      <c r="G338" s="12" t="n"/>
      <c r="H338" s="12" t="n"/>
      <c r="I338" s="12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</row>
    <row r="339">
      <c r="A339" s="19" t="n"/>
      <c r="B339" s="41" t="n"/>
      <c r="C339" s="12" t="n"/>
      <c r="D339" s="12" t="n"/>
      <c r="E339" s="12" t="n"/>
      <c r="F339" s="12" t="n"/>
      <c r="G339" s="12" t="n"/>
      <c r="H339" s="12" t="n"/>
      <c r="I339" s="12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</row>
    <row r="340">
      <c r="A340" s="19" t="n"/>
      <c r="B340" s="41" t="n"/>
      <c r="C340" s="12" t="n"/>
      <c r="D340" s="12" t="n"/>
      <c r="E340" s="12" t="n"/>
      <c r="F340" s="12" t="n"/>
      <c r="G340" s="12" t="n"/>
      <c r="H340" s="12" t="n"/>
      <c r="I340" s="12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</row>
    <row r="341">
      <c r="A341" s="19" t="n"/>
      <c r="B341" s="41" t="n"/>
      <c r="C341" s="12" t="n"/>
      <c r="D341" s="12" t="n"/>
      <c r="E341" s="12" t="n"/>
      <c r="F341" s="12" t="n"/>
      <c r="G341" s="12" t="n"/>
      <c r="H341" s="12" t="n"/>
      <c r="I341" s="12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</row>
    <row r="342">
      <c r="A342" s="19" t="n"/>
      <c r="B342" s="41" t="n"/>
      <c r="C342" s="12" t="n"/>
      <c r="D342" s="12" t="n"/>
      <c r="E342" s="12" t="n"/>
      <c r="F342" s="12" t="n"/>
      <c r="G342" s="12" t="n"/>
      <c r="H342" s="12" t="n"/>
      <c r="I342" s="12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</row>
    <row r="343">
      <c r="A343" s="19" t="n"/>
      <c r="B343" s="41" t="n"/>
      <c r="C343" s="12" t="n"/>
      <c r="D343" s="12" t="n"/>
      <c r="E343" s="12" t="n"/>
      <c r="F343" s="12" t="n"/>
      <c r="G343" s="12" t="n"/>
      <c r="H343" s="12" t="n"/>
      <c r="I343" s="12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</row>
    <row r="344">
      <c r="A344" s="19" t="n"/>
      <c r="B344" s="41" t="n"/>
      <c r="C344" s="12" t="n"/>
      <c r="D344" s="12" t="n"/>
      <c r="E344" s="12" t="n"/>
      <c r="F344" s="12" t="n"/>
      <c r="G344" s="12" t="n"/>
      <c r="H344" s="12" t="n"/>
      <c r="I344" s="12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</row>
    <row r="345">
      <c r="A345" s="19" t="n"/>
      <c r="B345" s="41" t="n"/>
      <c r="C345" s="12" t="n"/>
      <c r="D345" s="12" t="n"/>
      <c r="E345" s="12" t="n"/>
      <c r="F345" s="12" t="n"/>
      <c r="G345" s="12" t="n"/>
      <c r="H345" s="12" t="n"/>
      <c r="I345" s="12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</row>
    <row r="346">
      <c r="A346" s="19" t="n"/>
      <c r="B346" s="41" t="n"/>
      <c r="C346" s="12" t="n"/>
      <c r="D346" s="12" t="n"/>
      <c r="E346" s="12" t="n"/>
      <c r="F346" s="12" t="n"/>
      <c r="G346" s="12" t="n"/>
      <c r="H346" s="12" t="n"/>
      <c r="I346" s="12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</row>
    <row r="347">
      <c r="A347" s="19" t="n"/>
      <c r="B347" s="41" t="n"/>
      <c r="C347" s="12" t="n"/>
      <c r="D347" s="12" t="n"/>
      <c r="E347" s="12" t="n"/>
      <c r="F347" s="12" t="n"/>
      <c r="G347" s="12" t="n"/>
      <c r="H347" s="12" t="n"/>
      <c r="I347" s="12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</row>
    <row r="348">
      <c r="A348" s="19" t="n"/>
      <c r="B348" s="41" t="n"/>
      <c r="C348" s="12" t="n"/>
      <c r="D348" s="12" t="n"/>
      <c r="E348" s="12" t="n"/>
      <c r="F348" s="12" t="n"/>
      <c r="G348" s="12" t="n"/>
      <c r="H348" s="12" t="n"/>
      <c r="I348" s="12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</row>
    <row r="349">
      <c r="A349" s="19" t="n"/>
      <c r="B349" s="41" t="n"/>
      <c r="C349" s="12" t="n"/>
      <c r="D349" s="12" t="n"/>
      <c r="E349" s="12" t="n"/>
      <c r="F349" s="12" t="n"/>
      <c r="G349" s="12" t="n"/>
      <c r="H349" s="12" t="n"/>
      <c r="I349" s="12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</row>
    <row r="350">
      <c r="A350" s="19" t="n"/>
      <c r="B350" s="41" t="n"/>
      <c r="C350" s="12" t="n"/>
      <c r="D350" s="12" t="n"/>
      <c r="E350" s="12" t="n"/>
      <c r="F350" s="12" t="n"/>
      <c r="G350" s="12" t="n"/>
      <c r="H350" s="12" t="n"/>
      <c r="I350" s="12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</row>
    <row r="351">
      <c r="A351" s="19" t="n"/>
      <c r="B351" s="41" t="n"/>
      <c r="C351" s="12" t="n"/>
      <c r="D351" s="12" t="n"/>
      <c r="E351" s="12" t="n"/>
      <c r="F351" s="12" t="n"/>
      <c r="G351" s="12" t="n"/>
      <c r="H351" s="12" t="n"/>
      <c r="I351" s="12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</row>
    <row r="352">
      <c r="A352" s="19" t="n"/>
      <c r="B352" s="41" t="n"/>
      <c r="C352" s="12" t="n"/>
      <c r="D352" s="12" t="n"/>
      <c r="E352" s="12" t="n"/>
      <c r="F352" s="12" t="n"/>
      <c r="G352" s="12" t="n"/>
      <c r="H352" s="12" t="n"/>
      <c r="I352" s="12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</row>
    <row r="353">
      <c r="A353" s="19" t="n"/>
      <c r="B353" s="41" t="n"/>
      <c r="C353" s="12" t="n"/>
      <c r="D353" s="12" t="n"/>
      <c r="E353" s="12" t="n"/>
      <c r="F353" s="12" t="n"/>
      <c r="G353" s="12" t="n"/>
      <c r="H353" s="12" t="n"/>
      <c r="I353" s="12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</row>
    <row r="354">
      <c r="A354" s="19" t="n"/>
      <c r="B354" s="41" t="n"/>
      <c r="C354" s="12" t="n"/>
      <c r="D354" s="12" t="n"/>
      <c r="E354" s="12" t="n"/>
      <c r="F354" s="12" t="n"/>
      <c r="G354" s="12" t="n"/>
      <c r="H354" s="12" t="n"/>
      <c r="I354" s="12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</row>
    <row r="355">
      <c r="A355" s="19" t="n"/>
      <c r="B355" s="41" t="n"/>
      <c r="C355" s="12" t="n"/>
      <c r="D355" s="12" t="n"/>
      <c r="E355" s="12" t="n"/>
      <c r="F355" s="12" t="n"/>
      <c r="G355" s="12" t="n"/>
      <c r="H355" s="12" t="n"/>
      <c r="I355" s="12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</row>
    <row r="356">
      <c r="A356" s="19" t="n"/>
      <c r="B356" s="41" t="n"/>
      <c r="C356" s="12" t="n"/>
      <c r="D356" s="12" t="n"/>
      <c r="E356" s="12" t="n"/>
      <c r="F356" s="12" t="n"/>
      <c r="G356" s="12" t="n"/>
      <c r="H356" s="12" t="n"/>
      <c r="I356" s="12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</row>
    <row r="357">
      <c r="A357" s="19" t="n"/>
      <c r="B357" s="41" t="n"/>
      <c r="C357" s="12" t="n"/>
      <c r="D357" s="12" t="n"/>
      <c r="E357" s="12" t="n"/>
      <c r="F357" s="12" t="n"/>
      <c r="G357" s="12" t="n"/>
      <c r="H357" s="12" t="n"/>
      <c r="I357" s="12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</row>
    <row r="358">
      <c r="A358" s="19" t="n"/>
      <c r="B358" s="41" t="n"/>
      <c r="C358" s="12" t="n"/>
      <c r="D358" s="12" t="n"/>
      <c r="E358" s="12" t="n"/>
      <c r="F358" s="12" t="n"/>
      <c r="G358" s="12" t="n"/>
      <c r="H358" s="12" t="n"/>
      <c r="I358" s="12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</row>
    <row r="359">
      <c r="A359" s="19" t="n"/>
      <c r="B359" s="41" t="n"/>
      <c r="C359" s="12" t="n"/>
      <c r="D359" s="12" t="n"/>
      <c r="E359" s="12" t="n"/>
      <c r="F359" s="12" t="n"/>
      <c r="G359" s="12" t="n"/>
      <c r="H359" s="12" t="n"/>
      <c r="I359" s="12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</row>
    <row r="360">
      <c r="A360" s="19" t="n"/>
      <c r="B360" s="41" t="n"/>
      <c r="C360" s="12" t="n"/>
      <c r="D360" s="12" t="n"/>
      <c r="E360" s="12" t="n"/>
      <c r="F360" s="12" t="n"/>
      <c r="G360" s="12" t="n"/>
      <c r="H360" s="12" t="n"/>
      <c r="I360" s="12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</row>
    <row r="361">
      <c r="A361" s="19" t="n"/>
      <c r="B361" s="41" t="n"/>
      <c r="C361" s="12" t="n"/>
      <c r="D361" s="12" t="n"/>
      <c r="E361" s="12" t="n"/>
      <c r="F361" s="12" t="n"/>
      <c r="G361" s="12" t="n"/>
      <c r="H361" s="12" t="n"/>
      <c r="I361" s="12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</row>
    <row r="362">
      <c r="A362" s="19" t="n"/>
      <c r="B362" s="41" t="n"/>
      <c r="C362" s="12" t="n"/>
      <c r="D362" s="12" t="n"/>
      <c r="E362" s="12" t="n"/>
      <c r="F362" s="12" t="n"/>
      <c r="G362" s="12" t="n"/>
      <c r="H362" s="12" t="n"/>
      <c r="I362" s="12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</row>
    <row r="363">
      <c r="A363" s="19" t="n"/>
      <c r="B363" s="41" t="n"/>
      <c r="C363" s="12" t="n"/>
      <c r="D363" s="12" t="n"/>
      <c r="E363" s="12" t="n"/>
      <c r="F363" s="12" t="n"/>
      <c r="G363" s="12" t="n"/>
      <c r="H363" s="12" t="n"/>
      <c r="I363" s="12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</row>
    <row r="364">
      <c r="A364" s="19" t="n"/>
      <c r="B364" s="41" t="n"/>
      <c r="C364" s="12" t="n"/>
      <c r="D364" s="12" t="n"/>
      <c r="E364" s="12" t="n"/>
      <c r="F364" s="12" t="n"/>
      <c r="G364" s="12" t="n"/>
      <c r="H364" s="12" t="n"/>
      <c r="I364" s="12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</row>
    <row r="365">
      <c r="A365" s="19" t="n"/>
      <c r="B365" s="41" t="n"/>
      <c r="C365" s="12" t="n"/>
      <c r="D365" s="12" t="n"/>
      <c r="E365" s="12" t="n"/>
      <c r="F365" s="12" t="n"/>
      <c r="G365" s="12" t="n"/>
      <c r="H365" s="12" t="n"/>
      <c r="I365" s="12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</row>
    <row r="366">
      <c r="A366" s="19" t="n"/>
      <c r="B366" s="41" t="n"/>
      <c r="C366" s="12" t="n"/>
      <c r="D366" s="12" t="n"/>
      <c r="E366" s="12" t="n"/>
      <c r="F366" s="12" t="n"/>
      <c r="G366" s="12" t="n"/>
      <c r="H366" s="12" t="n"/>
      <c r="I366" s="12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</row>
    <row r="367">
      <c r="A367" s="19" t="n"/>
      <c r="B367" s="41" t="n"/>
      <c r="C367" s="12" t="n"/>
      <c r="D367" s="12" t="n"/>
      <c r="E367" s="12" t="n"/>
      <c r="F367" s="12" t="n"/>
      <c r="G367" s="12" t="n"/>
      <c r="H367" s="12" t="n"/>
      <c r="I367" s="12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</row>
    <row r="368">
      <c r="A368" s="19" t="n"/>
      <c r="B368" s="41" t="n"/>
      <c r="C368" s="12" t="n"/>
      <c r="D368" s="12" t="n"/>
      <c r="E368" s="12" t="n"/>
      <c r="F368" s="12" t="n"/>
      <c r="G368" s="12" t="n"/>
      <c r="H368" s="12" t="n"/>
      <c r="I368" s="12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</row>
    <row r="369">
      <c r="A369" s="19" t="n"/>
      <c r="B369" s="41" t="n"/>
      <c r="C369" s="12" t="n"/>
      <c r="D369" s="12" t="n"/>
      <c r="E369" s="12" t="n"/>
      <c r="F369" s="12" t="n"/>
      <c r="G369" s="12" t="n"/>
      <c r="H369" s="12" t="n"/>
      <c r="I369" s="12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</row>
    <row r="370">
      <c r="A370" s="19" t="n"/>
      <c r="B370" s="41" t="n"/>
      <c r="C370" s="12" t="n"/>
      <c r="D370" s="12" t="n"/>
      <c r="E370" s="12" t="n"/>
      <c r="F370" s="12" t="n"/>
      <c r="G370" s="12" t="n"/>
      <c r="H370" s="12" t="n"/>
      <c r="I370" s="12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</row>
    <row r="371">
      <c r="A371" s="19" t="n"/>
      <c r="B371" s="41" t="n"/>
      <c r="C371" s="12" t="n"/>
      <c r="D371" s="12" t="n"/>
      <c r="E371" s="12" t="n"/>
      <c r="F371" s="12" t="n"/>
      <c r="G371" s="12" t="n"/>
      <c r="H371" s="12" t="n"/>
      <c r="I371" s="12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</row>
    <row r="372">
      <c r="A372" s="19" t="n"/>
      <c r="B372" s="41" t="n"/>
      <c r="C372" s="12" t="n"/>
      <c r="D372" s="12" t="n"/>
      <c r="E372" s="12" t="n"/>
      <c r="F372" s="12" t="n"/>
      <c r="G372" s="12" t="n"/>
      <c r="H372" s="12" t="n"/>
      <c r="I372" s="12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</row>
    <row r="373">
      <c r="A373" s="19" t="n"/>
      <c r="B373" s="41" t="n"/>
      <c r="C373" s="12" t="n"/>
      <c r="D373" s="12" t="n"/>
      <c r="E373" s="12" t="n"/>
      <c r="F373" s="12" t="n"/>
      <c r="G373" s="12" t="n"/>
      <c r="H373" s="12" t="n"/>
      <c r="I373" s="12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</row>
    <row r="374">
      <c r="A374" s="19" t="n"/>
      <c r="B374" s="41" t="n"/>
      <c r="C374" s="12" t="n"/>
      <c r="D374" s="12" t="n"/>
      <c r="E374" s="12" t="n"/>
      <c r="F374" s="12" t="n"/>
      <c r="G374" s="12" t="n"/>
      <c r="H374" s="12" t="n"/>
      <c r="I374" s="12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</row>
    <row r="375">
      <c r="A375" s="19" t="n"/>
      <c r="B375" s="41" t="n"/>
      <c r="C375" s="12" t="n"/>
      <c r="D375" s="12" t="n"/>
      <c r="E375" s="12" t="n"/>
      <c r="F375" s="12" t="n"/>
      <c r="G375" s="12" t="n"/>
      <c r="H375" s="12" t="n"/>
      <c r="I375" s="12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</row>
    <row r="376">
      <c r="A376" s="19" t="n"/>
      <c r="B376" s="41" t="n"/>
      <c r="C376" s="12" t="n"/>
      <c r="D376" s="12" t="n"/>
      <c r="E376" s="12" t="n"/>
      <c r="F376" s="12" t="n"/>
      <c r="G376" s="12" t="n"/>
      <c r="H376" s="12" t="n"/>
      <c r="I376" s="12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</row>
    <row r="377">
      <c r="A377" s="19" t="n"/>
      <c r="B377" s="41" t="n"/>
      <c r="C377" s="12" t="n"/>
      <c r="D377" s="12" t="n"/>
      <c r="E377" s="12" t="n"/>
      <c r="F377" s="12" t="n"/>
      <c r="G377" s="12" t="n"/>
      <c r="H377" s="12" t="n"/>
      <c r="I377" s="12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</row>
    <row r="378">
      <c r="A378" s="19" t="n"/>
      <c r="B378" s="41" t="n"/>
      <c r="C378" s="12" t="n"/>
      <c r="D378" s="12" t="n"/>
      <c r="E378" s="12" t="n"/>
      <c r="F378" s="12" t="n"/>
      <c r="G378" s="12" t="n"/>
      <c r="H378" s="12" t="n"/>
      <c r="I378" s="12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</row>
    <row r="379">
      <c r="A379" s="19" t="n"/>
      <c r="B379" s="41" t="n"/>
      <c r="C379" s="12" t="n"/>
      <c r="D379" s="12" t="n"/>
      <c r="E379" s="12" t="n"/>
      <c r="F379" s="12" t="n"/>
      <c r="G379" s="12" t="n"/>
      <c r="H379" s="12" t="n"/>
      <c r="I379" s="12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</row>
    <row r="380">
      <c r="A380" s="19" t="n"/>
      <c r="B380" s="41" t="n"/>
      <c r="C380" s="12" t="n"/>
      <c r="D380" s="12" t="n"/>
      <c r="E380" s="12" t="n"/>
      <c r="F380" s="12" t="n"/>
      <c r="G380" s="12" t="n"/>
      <c r="H380" s="12" t="n"/>
      <c r="I380" s="12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</row>
    <row r="381">
      <c r="A381" s="19" t="n"/>
      <c r="B381" s="41" t="n"/>
      <c r="C381" s="12" t="n"/>
      <c r="D381" s="12" t="n"/>
      <c r="E381" s="12" t="n"/>
      <c r="F381" s="12" t="n"/>
      <c r="G381" s="12" t="n"/>
      <c r="H381" s="12" t="n"/>
      <c r="I381" s="12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</row>
    <row r="382">
      <c r="A382" s="19" t="n"/>
      <c r="B382" s="41" t="n"/>
      <c r="C382" s="12" t="n"/>
      <c r="D382" s="12" t="n"/>
      <c r="E382" s="12" t="n"/>
      <c r="F382" s="12" t="n"/>
      <c r="G382" s="12" t="n"/>
      <c r="H382" s="12" t="n"/>
      <c r="I382" s="12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</row>
    <row r="383">
      <c r="A383" s="19" t="n"/>
      <c r="B383" s="41" t="n"/>
      <c r="C383" s="12" t="n"/>
      <c r="D383" s="12" t="n"/>
      <c r="E383" s="12" t="n"/>
      <c r="F383" s="12" t="n"/>
      <c r="G383" s="12" t="n"/>
      <c r="H383" s="12" t="n"/>
      <c r="I383" s="12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</row>
    <row r="384">
      <c r="A384" s="19" t="n"/>
      <c r="B384" s="41" t="n"/>
      <c r="C384" s="12" t="n"/>
      <c r="D384" s="12" t="n"/>
      <c r="E384" s="12" t="n"/>
      <c r="F384" s="12" t="n"/>
      <c r="G384" s="12" t="n"/>
      <c r="H384" s="12" t="n"/>
      <c r="I384" s="12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</row>
    <row r="385">
      <c r="A385" s="19" t="n"/>
      <c r="B385" s="41" t="n"/>
      <c r="C385" s="12" t="n"/>
      <c r="D385" s="12" t="n"/>
      <c r="E385" s="12" t="n"/>
      <c r="F385" s="12" t="n"/>
      <c r="G385" s="12" t="n"/>
      <c r="H385" s="12" t="n"/>
      <c r="I385" s="12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</row>
    <row r="386">
      <c r="A386" s="19" t="n"/>
      <c r="B386" s="41" t="n"/>
      <c r="C386" s="12" t="n"/>
      <c r="D386" s="12" t="n"/>
      <c r="E386" s="12" t="n"/>
      <c r="F386" s="12" t="n"/>
      <c r="G386" s="12" t="n"/>
      <c r="H386" s="12" t="n"/>
      <c r="I386" s="12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</row>
    <row r="387">
      <c r="A387" s="19" t="n"/>
      <c r="B387" s="41" t="n"/>
      <c r="C387" s="12" t="n"/>
      <c r="D387" s="12" t="n"/>
      <c r="E387" s="12" t="n"/>
      <c r="F387" s="12" t="n"/>
      <c r="G387" s="12" t="n"/>
      <c r="H387" s="12" t="n"/>
      <c r="I387" s="12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</row>
    <row r="388">
      <c r="A388" s="19" t="n"/>
      <c r="B388" s="41" t="n"/>
      <c r="C388" s="12" t="n"/>
      <c r="D388" s="12" t="n"/>
      <c r="E388" s="12" t="n"/>
      <c r="F388" s="12" t="n"/>
      <c r="G388" s="12" t="n"/>
      <c r="H388" s="12" t="n"/>
      <c r="I388" s="12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</row>
    <row r="389">
      <c r="A389" s="19" t="n"/>
      <c r="B389" s="41" t="n"/>
      <c r="C389" s="12" t="n"/>
      <c r="D389" s="12" t="n"/>
      <c r="E389" s="12" t="n"/>
      <c r="F389" s="12" t="n"/>
      <c r="G389" s="12" t="n"/>
      <c r="H389" s="12" t="n"/>
      <c r="I389" s="12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</row>
    <row r="390">
      <c r="A390" s="19" t="n"/>
      <c r="B390" s="41" t="n"/>
      <c r="C390" s="12" t="n"/>
      <c r="D390" s="12" t="n"/>
      <c r="E390" s="12" t="n"/>
      <c r="F390" s="12" t="n"/>
      <c r="G390" s="12" t="n"/>
      <c r="H390" s="12" t="n"/>
      <c r="I390" s="12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</row>
    <row r="391">
      <c r="A391" s="19" t="n"/>
      <c r="B391" s="41" t="n"/>
      <c r="C391" s="12" t="n"/>
      <c r="D391" s="12" t="n"/>
      <c r="E391" s="12" t="n"/>
      <c r="F391" s="12" t="n"/>
      <c r="G391" s="12" t="n"/>
      <c r="H391" s="12" t="n"/>
      <c r="I391" s="12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</row>
    <row r="392">
      <c r="A392" s="19" t="n"/>
      <c r="B392" s="41" t="n"/>
      <c r="C392" s="12" t="n"/>
      <c r="D392" s="12" t="n"/>
      <c r="E392" s="12" t="n"/>
      <c r="F392" s="12" t="n"/>
      <c r="G392" s="12" t="n"/>
      <c r="H392" s="12" t="n"/>
      <c r="I392" s="12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</row>
    <row r="393">
      <c r="A393" s="19" t="n"/>
      <c r="B393" s="41" t="n"/>
      <c r="C393" s="12" t="n"/>
      <c r="D393" s="12" t="n"/>
      <c r="E393" s="12" t="n"/>
      <c r="F393" s="12" t="n"/>
      <c r="G393" s="12" t="n"/>
      <c r="H393" s="12" t="n"/>
      <c r="I393" s="12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</row>
    <row r="394">
      <c r="A394" s="19" t="n"/>
      <c r="B394" s="41" t="n"/>
      <c r="C394" s="12" t="n"/>
      <c r="D394" s="12" t="n"/>
      <c r="E394" s="12" t="n"/>
      <c r="F394" s="12" t="n"/>
      <c r="G394" s="12" t="n"/>
      <c r="H394" s="12" t="n"/>
      <c r="I394" s="12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</row>
    <row r="395">
      <c r="A395" s="19" t="n"/>
      <c r="B395" s="41" t="n"/>
      <c r="C395" s="12" t="n"/>
      <c r="D395" s="12" t="n"/>
      <c r="E395" s="12" t="n"/>
      <c r="F395" s="12" t="n"/>
      <c r="G395" s="12" t="n"/>
      <c r="H395" s="12" t="n"/>
      <c r="I395" s="12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</row>
    <row r="396">
      <c r="A396" s="19" t="n"/>
      <c r="B396" s="41" t="n"/>
      <c r="C396" s="12" t="n"/>
      <c r="D396" s="12" t="n"/>
      <c r="E396" s="12" t="n"/>
      <c r="F396" s="12" t="n"/>
      <c r="G396" s="12" t="n"/>
      <c r="H396" s="12" t="n"/>
      <c r="I396" s="12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</row>
    <row r="397">
      <c r="A397" s="19" t="n"/>
      <c r="B397" s="41" t="n"/>
      <c r="C397" s="12" t="n"/>
      <c r="D397" s="12" t="n"/>
      <c r="E397" s="12" t="n"/>
      <c r="F397" s="12" t="n"/>
      <c r="G397" s="12" t="n"/>
      <c r="H397" s="12" t="n"/>
      <c r="I397" s="12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</row>
    <row r="398">
      <c r="A398" s="19" t="n"/>
      <c r="B398" s="41" t="n"/>
      <c r="C398" s="12" t="n"/>
      <c r="D398" s="12" t="n"/>
      <c r="E398" s="12" t="n"/>
      <c r="F398" s="12" t="n"/>
      <c r="G398" s="12" t="n"/>
      <c r="H398" s="12" t="n"/>
      <c r="I398" s="12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</row>
    <row r="399">
      <c r="A399" s="19" t="n"/>
      <c r="B399" s="41" t="n"/>
      <c r="C399" s="12" t="n"/>
      <c r="D399" s="12" t="n"/>
      <c r="E399" s="12" t="n"/>
      <c r="F399" s="12" t="n"/>
      <c r="G399" s="12" t="n"/>
      <c r="H399" s="12" t="n"/>
      <c r="I399" s="12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</row>
    <row r="400">
      <c r="A400" s="19" t="n"/>
      <c r="B400" s="41" t="n"/>
      <c r="C400" s="12" t="n"/>
      <c r="D400" s="12" t="n"/>
      <c r="E400" s="12" t="n"/>
      <c r="F400" s="12" t="n"/>
      <c r="G400" s="12" t="n"/>
      <c r="H400" s="12" t="n"/>
      <c r="I400" s="12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</row>
    <row r="401">
      <c r="A401" s="19" t="n"/>
      <c r="B401" s="41" t="n"/>
      <c r="C401" s="12" t="n"/>
      <c r="D401" s="12" t="n"/>
      <c r="E401" s="12" t="n"/>
      <c r="F401" s="12" t="n"/>
      <c r="G401" s="12" t="n"/>
      <c r="H401" s="12" t="n"/>
      <c r="I401" s="12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</row>
    <row r="402">
      <c r="A402" s="19" t="n"/>
      <c r="B402" s="41" t="n"/>
      <c r="C402" s="12" t="n"/>
      <c r="D402" s="12" t="n"/>
      <c r="E402" s="12" t="n"/>
      <c r="F402" s="12" t="n"/>
      <c r="G402" s="12" t="n"/>
      <c r="H402" s="12" t="n"/>
      <c r="I402" s="12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</row>
    <row r="403">
      <c r="A403" s="19" t="n"/>
      <c r="B403" s="41" t="n"/>
      <c r="C403" s="12" t="n"/>
      <c r="D403" s="12" t="n"/>
      <c r="E403" s="12" t="n"/>
      <c r="F403" s="12" t="n"/>
      <c r="G403" s="12" t="n"/>
      <c r="H403" s="12" t="n"/>
      <c r="I403" s="12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</row>
    <row r="404">
      <c r="A404" s="19" t="n"/>
      <c r="B404" s="41" t="n"/>
      <c r="C404" s="12" t="n"/>
      <c r="D404" s="12" t="n"/>
      <c r="E404" s="12" t="n"/>
      <c r="F404" s="12" t="n"/>
      <c r="G404" s="12" t="n"/>
      <c r="H404" s="12" t="n"/>
      <c r="I404" s="12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</row>
    <row r="405">
      <c r="A405" s="19" t="n"/>
      <c r="B405" s="41" t="n"/>
      <c r="C405" s="12" t="n"/>
      <c r="D405" s="12" t="n"/>
      <c r="E405" s="12" t="n"/>
      <c r="F405" s="12" t="n"/>
      <c r="G405" s="12" t="n"/>
      <c r="H405" s="12" t="n"/>
      <c r="I405" s="12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</row>
    <row r="406">
      <c r="A406" s="19" t="n"/>
      <c r="B406" s="41" t="n"/>
      <c r="C406" s="12" t="n"/>
      <c r="D406" s="12" t="n"/>
      <c r="E406" s="12" t="n"/>
      <c r="F406" s="12" t="n"/>
      <c r="G406" s="12" t="n"/>
      <c r="H406" s="12" t="n"/>
      <c r="I406" s="12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</row>
    <row r="407">
      <c r="A407" s="19" t="n"/>
      <c r="B407" s="41" t="n"/>
      <c r="C407" s="12" t="n"/>
      <c r="D407" s="12" t="n"/>
      <c r="E407" s="12" t="n"/>
      <c r="F407" s="12" t="n"/>
      <c r="G407" s="12" t="n"/>
      <c r="H407" s="12" t="n"/>
      <c r="I407" s="12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</row>
    <row r="408">
      <c r="A408" s="19" t="n"/>
      <c r="B408" s="41" t="n"/>
      <c r="C408" s="12" t="n"/>
      <c r="D408" s="12" t="n"/>
      <c r="E408" s="12" t="n"/>
      <c r="F408" s="12" t="n"/>
      <c r="G408" s="12" t="n"/>
      <c r="H408" s="12" t="n"/>
      <c r="I408" s="12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</row>
    <row r="409">
      <c r="A409" s="19" t="n"/>
      <c r="B409" s="41" t="n"/>
      <c r="C409" s="12" t="n"/>
      <c r="D409" s="12" t="n"/>
      <c r="E409" s="12" t="n"/>
      <c r="F409" s="12" t="n"/>
      <c r="G409" s="12" t="n"/>
      <c r="H409" s="12" t="n"/>
      <c r="I409" s="12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</row>
    <row r="410">
      <c r="A410" s="19" t="n"/>
      <c r="B410" s="41" t="n"/>
      <c r="C410" s="12" t="n"/>
      <c r="D410" s="12" t="n"/>
      <c r="E410" s="12" t="n"/>
      <c r="F410" s="12" t="n"/>
      <c r="G410" s="12" t="n"/>
      <c r="H410" s="12" t="n"/>
      <c r="I410" s="12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</row>
    <row r="411">
      <c r="A411" s="19" t="n"/>
      <c r="B411" s="41" t="n"/>
      <c r="C411" s="12" t="n"/>
      <c r="D411" s="12" t="n"/>
      <c r="E411" s="12" t="n"/>
      <c r="F411" s="12" t="n"/>
      <c r="G411" s="12" t="n"/>
      <c r="H411" s="12" t="n"/>
      <c r="I411" s="12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</row>
    <row r="412">
      <c r="A412" s="19" t="n"/>
      <c r="B412" s="41" t="n"/>
      <c r="C412" s="12" t="n"/>
      <c r="D412" s="12" t="n"/>
      <c r="E412" s="12" t="n"/>
      <c r="F412" s="12" t="n"/>
      <c r="G412" s="12" t="n"/>
      <c r="H412" s="12" t="n"/>
      <c r="I412" s="12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</row>
    <row r="413">
      <c r="A413" s="19" t="n"/>
      <c r="B413" s="41" t="n"/>
      <c r="C413" s="12" t="n"/>
      <c r="D413" s="12" t="n"/>
      <c r="E413" s="12" t="n"/>
      <c r="F413" s="12" t="n"/>
      <c r="G413" s="12" t="n"/>
      <c r="H413" s="12" t="n"/>
      <c r="I413" s="12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</row>
    <row r="414">
      <c r="A414" s="19" t="n"/>
      <c r="B414" s="41" t="n"/>
      <c r="C414" s="12" t="n"/>
      <c r="D414" s="12" t="n"/>
      <c r="E414" s="12" t="n"/>
      <c r="F414" s="12" t="n"/>
      <c r="G414" s="12" t="n"/>
      <c r="H414" s="12" t="n"/>
      <c r="I414" s="12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</row>
    <row r="415">
      <c r="A415" s="19" t="n"/>
      <c r="B415" s="41" t="n"/>
      <c r="C415" s="12" t="n"/>
      <c r="D415" s="12" t="n"/>
      <c r="E415" s="12" t="n"/>
      <c r="F415" s="12" t="n"/>
      <c r="G415" s="12" t="n"/>
      <c r="H415" s="12" t="n"/>
      <c r="I415" s="12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</row>
    <row r="416">
      <c r="A416" s="19" t="n"/>
      <c r="B416" s="41" t="n"/>
      <c r="C416" s="12" t="n"/>
      <c r="D416" s="12" t="n"/>
      <c r="E416" s="12" t="n"/>
      <c r="F416" s="12" t="n"/>
      <c r="G416" s="12" t="n"/>
      <c r="H416" s="12" t="n"/>
      <c r="I416" s="12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</row>
    <row r="417">
      <c r="A417" s="19" t="n"/>
      <c r="B417" s="41" t="n"/>
      <c r="C417" s="12" t="n"/>
      <c r="D417" s="12" t="n"/>
      <c r="E417" s="12" t="n"/>
      <c r="F417" s="12" t="n"/>
      <c r="G417" s="12" t="n"/>
      <c r="H417" s="12" t="n"/>
      <c r="I417" s="12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</row>
    <row r="418">
      <c r="A418" s="19" t="n"/>
      <c r="B418" s="41" t="n"/>
      <c r="C418" s="12" t="n"/>
      <c r="D418" s="12" t="n"/>
      <c r="E418" s="12" t="n"/>
      <c r="F418" s="12" t="n"/>
      <c r="G418" s="12" t="n"/>
      <c r="H418" s="12" t="n"/>
      <c r="I418" s="12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</row>
    <row r="419">
      <c r="A419" s="19" t="n"/>
      <c r="B419" s="41" t="n"/>
      <c r="C419" s="12" t="n"/>
      <c r="D419" s="12" t="n"/>
      <c r="E419" s="12" t="n"/>
      <c r="F419" s="12" t="n"/>
      <c r="G419" s="12" t="n"/>
      <c r="H419" s="12" t="n"/>
      <c r="I419" s="12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</row>
    <row r="420">
      <c r="A420" s="19" t="n"/>
      <c r="B420" s="41" t="n"/>
      <c r="C420" s="12" t="n"/>
      <c r="D420" s="12" t="n"/>
      <c r="E420" s="12" t="n"/>
      <c r="F420" s="12" t="n"/>
      <c r="G420" s="12" t="n"/>
      <c r="H420" s="12" t="n"/>
      <c r="I420" s="12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</row>
    <row r="421">
      <c r="A421" s="19" t="n"/>
      <c r="B421" s="41" t="n"/>
      <c r="C421" s="12" t="n"/>
      <c r="D421" s="12" t="n"/>
      <c r="E421" s="12" t="n"/>
      <c r="F421" s="12" t="n"/>
      <c r="G421" s="12" t="n"/>
      <c r="H421" s="12" t="n"/>
      <c r="I421" s="12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</row>
    <row r="422">
      <c r="A422" s="19" t="n"/>
      <c r="B422" s="41" t="n"/>
      <c r="C422" s="12" t="n"/>
      <c r="D422" s="12" t="n"/>
      <c r="E422" s="12" t="n"/>
      <c r="F422" s="12" t="n"/>
      <c r="G422" s="12" t="n"/>
      <c r="H422" s="12" t="n"/>
      <c r="I422" s="12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</row>
    <row r="423">
      <c r="A423" s="19" t="n"/>
      <c r="B423" s="41" t="n"/>
      <c r="C423" s="12" t="n"/>
      <c r="D423" s="12" t="n"/>
      <c r="E423" s="12" t="n"/>
      <c r="F423" s="12" t="n"/>
      <c r="G423" s="12" t="n"/>
      <c r="H423" s="12" t="n"/>
      <c r="I423" s="12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</row>
    <row r="424">
      <c r="A424" s="19" t="n"/>
      <c r="B424" s="41" t="n"/>
      <c r="C424" s="12" t="n"/>
      <c r="D424" s="12" t="n"/>
      <c r="E424" s="12" t="n"/>
      <c r="F424" s="12" t="n"/>
      <c r="G424" s="12" t="n"/>
      <c r="H424" s="12" t="n"/>
      <c r="I424" s="12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</row>
    <row r="425">
      <c r="A425" s="19" t="n"/>
      <c r="B425" s="41" t="n"/>
      <c r="C425" s="12" t="n"/>
      <c r="D425" s="12" t="n"/>
      <c r="E425" s="12" t="n"/>
      <c r="F425" s="12" t="n"/>
      <c r="G425" s="12" t="n"/>
      <c r="H425" s="12" t="n"/>
      <c r="I425" s="12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</row>
    <row r="426">
      <c r="A426" s="19" t="n"/>
      <c r="B426" s="41" t="n"/>
      <c r="C426" s="12" t="n"/>
      <c r="D426" s="12" t="n"/>
      <c r="E426" s="12" t="n"/>
      <c r="F426" s="12" t="n"/>
      <c r="G426" s="12" t="n"/>
      <c r="H426" s="12" t="n"/>
      <c r="I426" s="12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</row>
    <row r="427">
      <c r="A427" s="19" t="n"/>
      <c r="B427" s="41" t="n"/>
      <c r="C427" s="12" t="n"/>
      <c r="D427" s="12" t="n"/>
      <c r="E427" s="12" t="n"/>
      <c r="F427" s="12" t="n"/>
      <c r="G427" s="12" t="n"/>
      <c r="H427" s="12" t="n"/>
      <c r="I427" s="12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</row>
    <row r="428">
      <c r="A428" s="19" t="n"/>
      <c r="B428" s="41" t="n"/>
      <c r="C428" s="12" t="n"/>
      <c r="D428" s="12" t="n"/>
      <c r="E428" s="12" t="n"/>
      <c r="F428" s="12" t="n"/>
      <c r="G428" s="12" t="n"/>
      <c r="H428" s="12" t="n"/>
      <c r="I428" s="12" t="n"/>
      <c r="J428" s="19" t="n"/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</row>
    <row r="429">
      <c r="A429" s="19" t="n"/>
      <c r="B429" s="41" t="n"/>
      <c r="C429" s="12" t="n"/>
      <c r="D429" s="12" t="n"/>
      <c r="E429" s="12" t="n"/>
      <c r="F429" s="12" t="n"/>
      <c r="G429" s="12" t="n"/>
      <c r="H429" s="12" t="n"/>
      <c r="I429" s="12" t="n"/>
      <c r="J429" s="19" t="n"/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</row>
    <row r="430">
      <c r="A430" s="19" t="n"/>
      <c r="B430" s="41" t="n"/>
      <c r="C430" s="12" t="n"/>
      <c r="D430" s="12" t="n"/>
      <c r="E430" s="12" t="n"/>
      <c r="F430" s="12" t="n"/>
      <c r="G430" s="12" t="n"/>
      <c r="H430" s="12" t="n"/>
      <c r="I430" s="12" t="n"/>
      <c r="J430" s="19" t="n"/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</row>
    <row r="431">
      <c r="A431" s="19" t="n"/>
      <c r="B431" s="41" t="n"/>
      <c r="C431" s="12" t="n"/>
      <c r="D431" s="12" t="n"/>
      <c r="E431" s="12" t="n"/>
      <c r="F431" s="12" t="n"/>
      <c r="G431" s="12" t="n"/>
      <c r="H431" s="12" t="n"/>
      <c r="I431" s="12" t="n"/>
      <c r="J431" s="19" t="n"/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</row>
    <row r="432">
      <c r="A432" s="19" t="n"/>
      <c r="B432" s="41" t="n"/>
      <c r="C432" s="12" t="n"/>
      <c r="D432" s="12" t="n"/>
      <c r="E432" s="12" t="n"/>
      <c r="F432" s="12" t="n"/>
      <c r="G432" s="12" t="n"/>
      <c r="H432" s="12" t="n"/>
      <c r="I432" s="12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</row>
    <row r="433">
      <c r="A433" s="19" t="n"/>
      <c r="B433" s="41" t="n"/>
      <c r="C433" s="12" t="n"/>
      <c r="D433" s="12" t="n"/>
      <c r="E433" s="12" t="n"/>
      <c r="F433" s="12" t="n"/>
      <c r="G433" s="12" t="n"/>
      <c r="H433" s="12" t="n"/>
      <c r="I433" s="12" t="n"/>
      <c r="J433" s="19" t="n"/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</row>
    <row r="434">
      <c r="A434" s="19" t="n"/>
      <c r="B434" s="41" t="n"/>
      <c r="C434" s="12" t="n"/>
      <c r="D434" s="12" t="n"/>
      <c r="E434" s="12" t="n"/>
      <c r="F434" s="12" t="n"/>
      <c r="G434" s="12" t="n"/>
      <c r="H434" s="12" t="n"/>
      <c r="I434" s="12" t="n"/>
      <c r="J434" s="19" t="n"/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</row>
    <row r="435">
      <c r="A435" s="19" t="n"/>
      <c r="B435" s="41" t="n"/>
      <c r="C435" s="12" t="n"/>
      <c r="D435" s="12" t="n"/>
      <c r="E435" s="12" t="n"/>
      <c r="F435" s="12" t="n"/>
      <c r="G435" s="12" t="n"/>
      <c r="H435" s="12" t="n"/>
      <c r="I435" s="12" t="n"/>
      <c r="J435" s="19" t="n"/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</row>
    <row r="436">
      <c r="A436" s="19" t="n"/>
      <c r="B436" s="41" t="n"/>
      <c r="C436" s="12" t="n"/>
      <c r="D436" s="12" t="n"/>
      <c r="E436" s="12" t="n"/>
      <c r="F436" s="12" t="n"/>
      <c r="G436" s="12" t="n"/>
      <c r="H436" s="12" t="n"/>
      <c r="I436" s="12" t="n"/>
      <c r="J436" s="19" t="n"/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</row>
    <row r="437">
      <c r="A437" s="19" t="n"/>
      <c r="B437" s="41" t="n"/>
      <c r="C437" s="12" t="n"/>
      <c r="D437" s="12" t="n"/>
      <c r="E437" s="12" t="n"/>
      <c r="F437" s="12" t="n"/>
      <c r="G437" s="12" t="n"/>
      <c r="H437" s="12" t="n"/>
      <c r="I437" s="12" t="n"/>
      <c r="J437" s="19" t="n"/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</row>
    <row r="438">
      <c r="A438" s="19" t="n"/>
      <c r="B438" s="41" t="n"/>
      <c r="C438" s="12" t="n"/>
      <c r="D438" s="12" t="n"/>
      <c r="E438" s="12" t="n"/>
      <c r="F438" s="12" t="n"/>
      <c r="G438" s="12" t="n"/>
      <c r="H438" s="12" t="n"/>
      <c r="I438" s="12" t="n"/>
      <c r="J438" s="19" t="n"/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</row>
    <row r="439">
      <c r="A439" s="19" t="n"/>
      <c r="B439" s="41" t="n"/>
      <c r="C439" s="12" t="n"/>
      <c r="D439" s="12" t="n"/>
      <c r="E439" s="12" t="n"/>
      <c r="F439" s="12" t="n"/>
      <c r="G439" s="12" t="n"/>
      <c r="H439" s="12" t="n"/>
      <c r="I439" s="12" t="n"/>
      <c r="J439" s="19" t="n"/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</row>
    <row r="440">
      <c r="A440" s="19" t="n"/>
      <c r="B440" s="41" t="n"/>
      <c r="C440" s="12" t="n"/>
      <c r="D440" s="12" t="n"/>
      <c r="E440" s="12" t="n"/>
      <c r="F440" s="12" t="n"/>
      <c r="G440" s="12" t="n"/>
      <c r="H440" s="12" t="n"/>
      <c r="I440" s="12" t="n"/>
      <c r="J440" s="19" t="n"/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</row>
    <row r="441">
      <c r="A441" s="19" t="n"/>
      <c r="B441" s="41" t="n"/>
      <c r="C441" s="12" t="n"/>
      <c r="D441" s="12" t="n"/>
      <c r="E441" s="12" t="n"/>
      <c r="F441" s="12" t="n"/>
      <c r="G441" s="12" t="n"/>
      <c r="H441" s="12" t="n"/>
      <c r="I441" s="12" t="n"/>
      <c r="J441" s="19" t="n"/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</row>
    <row r="442">
      <c r="A442" s="19" t="n"/>
      <c r="B442" s="41" t="n"/>
      <c r="C442" s="12" t="n"/>
      <c r="D442" s="12" t="n"/>
      <c r="E442" s="12" t="n"/>
      <c r="F442" s="12" t="n"/>
      <c r="G442" s="12" t="n"/>
      <c r="H442" s="12" t="n"/>
      <c r="I442" s="12" t="n"/>
      <c r="J442" s="19" t="n"/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</row>
    <row r="443">
      <c r="A443" s="19" t="n"/>
      <c r="B443" s="41" t="n"/>
      <c r="C443" s="12" t="n"/>
      <c r="D443" s="12" t="n"/>
      <c r="E443" s="12" t="n"/>
      <c r="F443" s="12" t="n"/>
      <c r="G443" s="12" t="n"/>
      <c r="H443" s="12" t="n"/>
      <c r="I443" s="12" t="n"/>
      <c r="J443" s="19" t="n"/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</row>
    <row r="444">
      <c r="A444" s="19" t="n"/>
      <c r="B444" s="41" t="n"/>
      <c r="C444" s="12" t="n"/>
      <c r="D444" s="12" t="n"/>
      <c r="E444" s="12" t="n"/>
      <c r="F444" s="12" t="n"/>
      <c r="G444" s="12" t="n"/>
      <c r="H444" s="12" t="n"/>
      <c r="I444" s="12" t="n"/>
      <c r="J444" s="19" t="n"/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</row>
    <row r="445">
      <c r="A445" s="19" t="n"/>
      <c r="B445" s="41" t="n"/>
      <c r="C445" s="12" t="n"/>
      <c r="D445" s="12" t="n"/>
      <c r="E445" s="12" t="n"/>
      <c r="F445" s="12" t="n"/>
      <c r="G445" s="12" t="n"/>
      <c r="H445" s="12" t="n"/>
      <c r="I445" s="12" t="n"/>
      <c r="J445" s="19" t="n"/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</row>
    <row r="446">
      <c r="A446" s="19" t="n"/>
      <c r="B446" s="41" t="n"/>
      <c r="C446" s="12" t="n"/>
      <c r="D446" s="12" t="n"/>
      <c r="E446" s="12" t="n"/>
      <c r="F446" s="12" t="n"/>
      <c r="G446" s="12" t="n"/>
      <c r="H446" s="12" t="n"/>
      <c r="I446" s="12" t="n"/>
      <c r="J446" s="19" t="n"/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</row>
    <row r="447">
      <c r="A447" s="19" t="n"/>
      <c r="B447" s="41" t="n"/>
      <c r="C447" s="12" t="n"/>
      <c r="D447" s="12" t="n"/>
      <c r="E447" s="12" t="n"/>
      <c r="F447" s="12" t="n"/>
      <c r="G447" s="12" t="n"/>
      <c r="H447" s="12" t="n"/>
      <c r="I447" s="12" t="n"/>
      <c r="J447" s="19" t="n"/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</row>
    <row r="448">
      <c r="A448" s="19" t="n"/>
      <c r="B448" s="41" t="n"/>
      <c r="C448" s="12" t="n"/>
      <c r="D448" s="12" t="n"/>
      <c r="E448" s="12" t="n"/>
      <c r="F448" s="12" t="n"/>
      <c r="G448" s="12" t="n"/>
      <c r="H448" s="12" t="n"/>
      <c r="I448" s="12" t="n"/>
      <c r="J448" s="19" t="n"/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</row>
    <row r="449">
      <c r="A449" s="19" t="n"/>
      <c r="B449" s="41" t="n"/>
      <c r="C449" s="12" t="n"/>
      <c r="D449" s="12" t="n"/>
      <c r="E449" s="12" t="n"/>
      <c r="F449" s="12" t="n"/>
      <c r="G449" s="12" t="n"/>
      <c r="H449" s="12" t="n"/>
      <c r="I449" s="12" t="n"/>
      <c r="J449" s="19" t="n"/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</row>
    <row r="450">
      <c r="A450" s="19" t="n"/>
      <c r="B450" s="41" t="n"/>
      <c r="C450" s="12" t="n"/>
      <c r="D450" s="12" t="n"/>
      <c r="E450" s="12" t="n"/>
      <c r="F450" s="12" t="n"/>
      <c r="G450" s="12" t="n"/>
      <c r="H450" s="12" t="n"/>
      <c r="I450" s="12" t="n"/>
      <c r="J450" s="19" t="n"/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</row>
    <row r="451">
      <c r="A451" s="19" t="n"/>
      <c r="B451" s="41" t="n"/>
      <c r="C451" s="12" t="n"/>
      <c r="D451" s="12" t="n"/>
      <c r="E451" s="12" t="n"/>
      <c r="F451" s="12" t="n"/>
      <c r="G451" s="12" t="n"/>
      <c r="H451" s="12" t="n"/>
      <c r="I451" s="12" t="n"/>
      <c r="J451" s="19" t="n"/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</row>
    <row r="452">
      <c r="A452" s="19" t="n"/>
      <c r="B452" s="41" t="n"/>
      <c r="C452" s="12" t="n"/>
      <c r="D452" s="12" t="n"/>
      <c r="E452" s="12" t="n"/>
      <c r="F452" s="12" t="n"/>
      <c r="G452" s="12" t="n"/>
      <c r="H452" s="12" t="n"/>
      <c r="I452" s="12" t="n"/>
      <c r="J452" s="19" t="n"/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</row>
    <row r="453">
      <c r="A453" s="19" t="n"/>
      <c r="B453" s="41" t="n"/>
      <c r="C453" s="12" t="n"/>
      <c r="D453" s="12" t="n"/>
      <c r="E453" s="12" t="n"/>
      <c r="F453" s="12" t="n"/>
      <c r="G453" s="12" t="n"/>
      <c r="H453" s="12" t="n"/>
      <c r="I453" s="12" t="n"/>
      <c r="J453" s="19" t="n"/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</row>
    <row r="454">
      <c r="A454" s="19" t="n"/>
      <c r="B454" s="41" t="n"/>
      <c r="C454" s="12" t="n"/>
      <c r="D454" s="12" t="n"/>
      <c r="E454" s="12" t="n"/>
      <c r="F454" s="12" t="n"/>
      <c r="G454" s="12" t="n"/>
      <c r="H454" s="12" t="n"/>
      <c r="I454" s="12" t="n"/>
      <c r="J454" s="19" t="n"/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</row>
    <row r="455">
      <c r="A455" s="19" t="n"/>
      <c r="B455" s="41" t="n"/>
      <c r="C455" s="12" t="n"/>
      <c r="D455" s="12" t="n"/>
      <c r="E455" s="12" t="n"/>
      <c r="F455" s="12" t="n"/>
      <c r="G455" s="12" t="n"/>
      <c r="H455" s="12" t="n"/>
      <c r="I455" s="12" t="n"/>
      <c r="J455" s="19" t="n"/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</row>
    <row r="456">
      <c r="A456" s="19" t="n"/>
      <c r="B456" s="41" t="n"/>
      <c r="C456" s="12" t="n"/>
      <c r="D456" s="12" t="n"/>
      <c r="E456" s="12" t="n"/>
      <c r="F456" s="12" t="n"/>
      <c r="G456" s="12" t="n"/>
      <c r="H456" s="12" t="n"/>
      <c r="I456" s="12" t="n"/>
      <c r="J456" s="19" t="n"/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</row>
    <row r="457">
      <c r="A457" s="19" t="n"/>
      <c r="B457" s="41" t="n"/>
      <c r="C457" s="12" t="n"/>
      <c r="D457" s="12" t="n"/>
      <c r="E457" s="12" t="n"/>
      <c r="F457" s="12" t="n"/>
      <c r="G457" s="12" t="n"/>
      <c r="H457" s="12" t="n"/>
      <c r="I457" s="12" t="n"/>
      <c r="J457" s="19" t="n"/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</row>
    <row r="458">
      <c r="A458" s="19" t="n"/>
      <c r="B458" s="41" t="n"/>
      <c r="C458" s="12" t="n"/>
      <c r="D458" s="12" t="n"/>
      <c r="E458" s="12" t="n"/>
      <c r="F458" s="12" t="n"/>
      <c r="G458" s="12" t="n"/>
      <c r="H458" s="12" t="n"/>
      <c r="I458" s="12" t="n"/>
      <c r="J458" s="19" t="n"/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</row>
    <row r="459">
      <c r="A459" s="19" t="n"/>
      <c r="B459" s="41" t="n"/>
      <c r="C459" s="12" t="n"/>
      <c r="D459" s="12" t="n"/>
      <c r="E459" s="12" t="n"/>
      <c r="F459" s="12" t="n"/>
      <c r="G459" s="12" t="n"/>
      <c r="H459" s="12" t="n"/>
      <c r="I459" s="12" t="n"/>
      <c r="J459" s="19" t="n"/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</row>
    <row r="460">
      <c r="A460" s="19" t="n"/>
      <c r="B460" s="41" t="n"/>
      <c r="C460" s="12" t="n"/>
      <c r="D460" s="12" t="n"/>
      <c r="E460" s="12" t="n"/>
      <c r="F460" s="12" t="n"/>
      <c r="G460" s="12" t="n"/>
      <c r="H460" s="12" t="n"/>
      <c r="I460" s="12" t="n"/>
      <c r="J460" s="19" t="n"/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</row>
    <row r="461">
      <c r="A461" s="19" t="n"/>
      <c r="B461" s="41" t="n"/>
      <c r="C461" s="12" t="n"/>
      <c r="D461" s="12" t="n"/>
      <c r="E461" s="12" t="n"/>
      <c r="F461" s="12" t="n"/>
      <c r="G461" s="12" t="n"/>
      <c r="H461" s="12" t="n"/>
      <c r="I461" s="12" t="n"/>
      <c r="J461" s="19" t="n"/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</row>
    <row r="462">
      <c r="A462" s="19" t="n"/>
      <c r="B462" s="41" t="n"/>
      <c r="C462" s="12" t="n"/>
      <c r="D462" s="12" t="n"/>
      <c r="E462" s="12" t="n"/>
      <c r="F462" s="12" t="n"/>
      <c r="G462" s="12" t="n"/>
      <c r="H462" s="12" t="n"/>
      <c r="I462" s="12" t="n"/>
      <c r="J462" s="19" t="n"/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</row>
    <row r="463">
      <c r="A463" s="19" t="n"/>
      <c r="B463" s="41" t="n"/>
      <c r="C463" s="12" t="n"/>
      <c r="D463" s="12" t="n"/>
      <c r="E463" s="12" t="n"/>
      <c r="F463" s="12" t="n"/>
      <c r="G463" s="12" t="n"/>
      <c r="H463" s="12" t="n"/>
      <c r="I463" s="12" t="n"/>
      <c r="J463" s="19" t="n"/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</row>
    <row r="464">
      <c r="A464" s="19" t="n"/>
      <c r="B464" s="41" t="n"/>
      <c r="C464" s="12" t="n"/>
      <c r="D464" s="12" t="n"/>
      <c r="E464" s="12" t="n"/>
      <c r="F464" s="12" t="n"/>
      <c r="G464" s="12" t="n"/>
      <c r="H464" s="12" t="n"/>
      <c r="I464" s="12" t="n"/>
      <c r="J464" s="19" t="n"/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</row>
    <row r="465">
      <c r="A465" s="19" t="n"/>
      <c r="B465" s="41" t="n"/>
      <c r="C465" s="12" t="n"/>
      <c r="D465" s="12" t="n"/>
      <c r="E465" s="12" t="n"/>
      <c r="F465" s="12" t="n"/>
      <c r="G465" s="12" t="n"/>
      <c r="H465" s="12" t="n"/>
      <c r="I465" s="12" t="n"/>
      <c r="J465" s="19" t="n"/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</row>
    <row r="466">
      <c r="A466" s="19" t="n"/>
      <c r="B466" s="41" t="n"/>
      <c r="C466" s="12" t="n"/>
      <c r="D466" s="12" t="n"/>
      <c r="E466" s="12" t="n"/>
      <c r="F466" s="12" t="n"/>
      <c r="G466" s="12" t="n"/>
      <c r="H466" s="12" t="n"/>
      <c r="I466" s="12" t="n"/>
      <c r="J466" s="19" t="n"/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</row>
    <row r="467">
      <c r="A467" s="19" t="n"/>
      <c r="B467" s="41" t="n"/>
      <c r="C467" s="12" t="n"/>
      <c r="D467" s="12" t="n"/>
      <c r="E467" s="12" t="n"/>
      <c r="F467" s="12" t="n"/>
      <c r="G467" s="12" t="n"/>
      <c r="H467" s="12" t="n"/>
      <c r="I467" s="12" t="n"/>
      <c r="J467" s="19" t="n"/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</row>
    <row r="468">
      <c r="A468" s="19" t="n"/>
      <c r="B468" s="41" t="n"/>
      <c r="C468" s="12" t="n"/>
      <c r="D468" s="12" t="n"/>
      <c r="E468" s="12" t="n"/>
      <c r="F468" s="12" t="n"/>
      <c r="G468" s="12" t="n"/>
      <c r="H468" s="12" t="n"/>
      <c r="I468" s="12" t="n"/>
      <c r="J468" s="19" t="n"/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</row>
    <row r="469">
      <c r="A469" s="19" t="n"/>
      <c r="B469" s="41" t="n"/>
      <c r="C469" s="12" t="n"/>
      <c r="D469" s="12" t="n"/>
      <c r="E469" s="12" t="n"/>
      <c r="F469" s="12" t="n"/>
      <c r="G469" s="12" t="n"/>
      <c r="H469" s="12" t="n"/>
      <c r="I469" s="12" t="n"/>
      <c r="J469" s="19" t="n"/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</row>
    <row r="470">
      <c r="A470" s="19" t="n"/>
      <c r="B470" s="41" t="n"/>
      <c r="C470" s="12" t="n"/>
      <c r="D470" s="12" t="n"/>
      <c r="E470" s="12" t="n"/>
      <c r="F470" s="12" t="n"/>
      <c r="G470" s="12" t="n"/>
      <c r="H470" s="12" t="n"/>
      <c r="I470" s="12" t="n"/>
      <c r="J470" s="19" t="n"/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</row>
    <row r="471">
      <c r="A471" s="19" t="n"/>
      <c r="B471" s="41" t="n"/>
      <c r="C471" s="12" t="n"/>
      <c r="D471" s="12" t="n"/>
      <c r="E471" s="12" t="n"/>
      <c r="F471" s="12" t="n"/>
      <c r="G471" s="12" t="n"/>
      <c r="H471" s="12" t="n"/>
      <c r="I471" s="12" t="n"/>
      <c r="J471" s="19" t="n"/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</row>
    <row r="472">
      <c r="A472" s="19" t="n"/>
      <c r="B472" s="41" t="n"/>
      <c r="C472" s="12" t="n"/>
      <c r="D472" s="12" t="n"/>
      <c r="E472" s="12" t="n"/>
      <c r="F472" s="12" t="n"/>
      <c r="G472" s="12" t="n"/>
      <c r="H472" s="12" t="n"/>
      <c r="I472" s="12" t="n"/>
      <c r="J472" s="19" t="n"/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</row>
    <row r="473">
      <c r="A473" s="19" t="n"/>
      <c r="B473" s="41" t="n"/>
      <c r="C473" s="12" t="n"/>
      <c r="D473" s="12" t="n"/>
      <c r="E473" s="12" t="n"/>
      <c r="F473" s="12" t="n"/>
      <c r="G473" s="12" t="n"/>
      <c r="H473" s="12" t="n"/>
      <c r="I473" s="12" t="n"/>
      <c r="J473" s="19" t="n"/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</row>
    <row r="474">
      <c r="A474" s="19" t="n"/>
      <c r="B474" s="41" t="n"/>
      <c r="C474" s="12" t="n"/>
      <c r="D474" s="12" t="n"/>
      <c r="E474" s="12" t="n"/>
      <c r="F474" s="12" t="n"/>
      <c r="G474" s="12" t="n"/>
      <c r="H474" s="12" t="n"/>
      <c r="I474" s="12" t="n"/>
      <c r="J474" s="19" t="n"/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</row>
    <row r="475">
      <c r="A475" s="19" t="n"/>
      <c r="B475" s="41" t="n"/>
      <c r="C475" s="12" t="n"/>
      <c r="D475" s="12" t="n"/>
      <c r="E475" s="12" t="n"/>
      <c r="F475" s="12" t="n"/>
      <c r="G475" s="12" t="n"/>
      <c r="H475" s="12" t="n"/>
      <c r="I475" s="12" t="n"/>
      <c r="J475" s="19" t="n"/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</row>
    <row r="476">
      <c r="A476" s="19" t="n"/>
      <c r="B476" s="41" t="n"/>
      <c r="C476" s="12" t="n"/>
      <c r="D476" s="12" t="n"/>
      <c r="E476" s="12" t="n"/>
      <c r="F476" s="12" t="n"/>
      <c r="G476" s="12" t="n"/>
      <c r="H476" s="12" t="n"/>
      <c r="I476" s="12" t="n"/>
      <c r="J476" s="19" t="n"/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</row>
    <row r="477">
      <c r="A477" s="19" t="n"/>
      <c r="B477" s="41" t="n"/>
      <c r="C477" s="12" t="n"/>
      <c r="D477" s="12" t="n"/>
      <c r="E477" s="12" t="n"/>
      <c r="F477" s="12" t="n"/>
      <c r="G477" s="12" t="n"/>
      <c r="H477" s="12" t="n"/>
      <c r="I477" s="12" t="n"/>
      <c r="J477" s="19" t="n"/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</row>
    <row r="478">
      <c r="A478" s="19" t="n"/>
      <c r="B478" s="41" t="n"/>
      <c r="C478" s="12" t="n"/>
      <c r="D478" s="12" t="n"/>
      <c r="E478" s="12" t="n"/>
      <c r="F478" s="12" t="n"/>
      <c r="G478" s="12" t="n"/>
      <c r="H478" s="12" t="n"/>
      <c r="I478" s="12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</row>
    <row r="479">
      <c r="A479" s="19" t="n"/>
      <c r="B479" s="41" t="n"/>
      <c r="C479" s="12" t="n"/>
      <c r="D479" s="12" t="n"/>
      <c r="E479" s="12" t="n"/>
      <c r="F479" s="12" t="n"/>
      <c r="G479" s="12" t="n"/>
      <c r="H479" s="12" t="n"/>
      <c r="I479" s="12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</row>
    <row r="480">
      <c r="A480" s="19" t="n"/>
      <c r="B480" s="41" t="n"/>
      <c r="C480" s="12" t="n"/>
      <c r="D480" s="12" t="n"/>
      <c r="E480" s="12" t="n"/>
      <c r="F480" s="12" t="n"/>
      <c r="G480" s="12" t="n"/>
      <c r="H480" s="12" t="n"/>
      <c r="I480" s="12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</row>
    <row r="481">
      <c r="A481" s="19" t="n"/>
      <c r="B481" s="41" t="n"/>
      <c r="C481" s="12" t="n"/>
      <c r="D481" s="12" t="n"/>
      <c r="E481" s="12" t="n"/>
      <c r="F481" s="12" t="n"/>
      <c r="G481" s="12" t="n"/>
      <c r="H481" s="12" t="n"/>
      <c r="I481" s="12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</row>
    <row r="482">
      <c r="A482" s="19" t="n"/>
      <c r="B482" s="41" t="n"/>
      <c r="C482" s="12" t="n"/>
      <c r="D482" s="12" t="n"/>
      <c r="E482" s="12" t="n"/>
      <c r="F482" s="12" t="n"/>
      <c r="G482" s="12" t="n"/>
      <c r="H482" s="12" t="n"/>
      <c r="I482" s="12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</row>
    <row r="483">
      <c r="A483" s="19" t="n"/>
      <c r="B483" s="41" t="n"/>
      <c r="C483" s="12" t="n"/>
      <c r="D483" s="12" t="n"/>
      <c r="E483" s="12" t="n"/>
      <c r="F483" s="12" t="n"/>
      <c r="G483" s="12" t="n"/>
      <c r="H483" s="12" t="n"/>
      <c r="I483" s="12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</row>
    <row r="484">
      <c r="A484" s="19" t="n"/>
      <c r="B484" s="41" t="n"/>
      <c r="C484" s="12" t="n"/>
      <c r="D484" s="12" t="n"/>
      <c r="E484" s="12" t="n"/>
      <c r="F484" s="12" t="n"/>
      <c r="G484" s="12" t="n"/>
      <c r="H484" s="12" t="n"/>
      <c r="I484" s="12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</row>
    <row r="485">
      <c r="A485" s="19" t="n"/>
      <c r="B485" s="41" t="n"/>
      <c r="C485" s="12" t="n"/>
      <c r="D485" s="12" t="n"/>
      <c r="E485" s="12" t="n"/>
      <c r="F485" s="12" t="n"/>
      <c r="G485" s="12" t="n"/>
      <c r="H485" s="12" t="n"/>
      <c r="I485" s="12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</row>
    <row r="486">
      <c r="A486" s="19" t="n"/>
      <c r="B486" s="41" t="n"/>
      <c r="C486" s="12" t="n"/>
      <c r="D486" s="12" t="n"/>
      <c r="E486" s="12" t="n"/>
      <c r="F486" s="12" t="n"/>
      <c r="G486" s="12" t="n"/>
      <c r="H486" s="12" t="n"/>
      <c r="I486" s="12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</row>
    <row r="487">
      <c r="A487" s="19" t="n"/>
      <c r="B487" s="41" t="n"/>
      <c r="C487" s="12" t="n"/>
      <c r="D487" s="12" t="n"/>
      <c r="E487" s="12" t="n"/>
      <c r="F487" s="12" t="n"/>
      <c r="G487" s="12" t="n"/>
      <c r="H487" s="12" t="n"/>
      <c r="I487" s="12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</row>
    <row r="488">
      <c r="A488" s="19" t="n"/>
      <c r="B488" s="41" t="n"/>
      <c r="C488" s="12" t="n"/>
      <c r="D488" s="12" t="n"/>
      <c r="E488" s="12" t="n"/>
      <c r="F488" s="12" t="n"/>
      <c r="G488" s="12" t="n"/>
      <c r="H488" s="12" t="n"/>
      <c r="I488" s="12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</row>
    <row r="489">
      <c r="A489" s="19" t="n"/>
      <c r="B489" s="41" t="n"/>
      <c r="C489" s="12" t="n"/>
      <c r="D489" s="12" t="n"/>
      <c r="E489" s="12" t="n"/>
      <c r="F489" s="12" t="n"/>
      <c r="G489" s="12" t="n"/>
      <c r="H489" s="12" t="n"/>
      <c r="I489" s="12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</row>
    <row r="490">
      <c r="A490" s="19" t="n"/>
      <c r="B490" s="41" t="n"/>
      <c r="C490" s="12" t="n"/>
      <c r="D490" s="12" t="n"/>
      <c r="E490" s="12" t="n"/>
      <c r="F490" s="12" t="n"/>
      <c r="G490" s="12" t="n"/>
      <c r="H490" s="12" t="n"/>
      <c r="I490" s="12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</row>
    <row r="491">
      <c r="A491" s="19" t="n"/>
      <c r="B491" s="41" t="n"/>
      <c r="C491" s="12" t="n"/>
      <c r="D491" s="12" t="n"/>
      <c r="E491" s="12" t="n"/>
      <c r="F491" s="12" t="n"/>
      <c r="G491" s="12" t="n"/>
      <c r="H491" s="12" t="n"/>
      <c r="I491" s="12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</row>
    <row r="492">
      <c r="A492" s="19" t="n"/>
      <c r="B492" s="41" t="n"/>
      <c r="C492" s="12" t="n"/>
      <c r="D492" s="12" t="n"/>
      <c r="E492" s="12" t="n"/>
      <c r="F492" s="12" t="n"/>
      <c r="G492" s="12" t="n"/>
      <c r="H492" s="12" t="n"/>
      <c r="I492" s="12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</row>
    <row r="493">
      <c r="A493" s="19" t="n"/>
      <c r="B493" s="41" t="n"/>
      <c r="C493" s="12" t="n"/>
      <c r="D493" s="12" t="n"/>
      <c r="E493" s="12" t="n"/>
      <c r="F493" s="12" t="n"/>
      <c r="G493" s="12" t="n"/>
      <c r="H493" s="12" t="n"/>
      <c r="I493" s="12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</row>
    <row r="494">
      <c r="A494" s="19" t="n"/>
      <c r="B494" s="41" t="n"/>
      <c r="C494" s="12" t="n"/>
      <c r="D494" s="12" t="n"/>
      <c r="E494" s="12" t="n"/>
      <c r="F494" s="12" t="n"/>
      <c r="G494" s="12" t="n"/>
      <c r="H494" s="12" t="n"/>
      <c r="I494" s="12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</row>
    <row r="495">
      <c r="A495" s="19" t="n"/>
      <c r="B495" s="41" t="n"/>
      <c r="C495" s="12" t="n"/>
      <c r="D495" s="12" t="n"/>
      <c r="E495" s="12" t="n"/>
      <c r="F495" s="12" t="n"/>
      <c r="G495" s="12" t="n"/>
      <c r="H495" s="12" t="n"/>
      <c r="I495" s="12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</row>
    <row r="496">
      <c r="A496" s="19" t="n"/>
      <c r="B496" s="41" t="n"/>
      <c r="C496" s="12" t="n"/>
      <c r="D496" s="12" t="n"/>
      <c r="E496" s="12" t="n"/>
      <c r="F496" s="12" t="n"/>
      <c r="G496" s="12" t="n"/>
      <c r="H496" s="12" t="n"/>
      <c r="I496" s="12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</row>
    <row r="497">
      <c r="A497" s="19" t="n"/>
      <c r="B497" s="41" t="n"/>
      <c r="C497" s="12" t="n"/>
      <c r="D497" s="12" t="n"/>
      <c r="E497" s="12" t="n"/>
      <c r="F497" s="12" t="n"/>
      <c r="G497" s="12" t="n"/>
      <c r="H497" s="12" t="n"/>
      <c r="I497" s="12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</row>
    <row r="498">
      <c r="A498" s="19" t="n"/>
      <c r="B498" s="41" t="n"/>
      <c r="C498" s="12" t="n"/>
      <c r="D498" s="12" t="n"/>
      <c r="E498" s="12" t="n"/>
      <c r="F498" s="12" t="n"/>
      <c r="G498" s="12" t="n"/>
      <c r="H498" s="12" t="n"/>
      <c r="I498" s="12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</row>
    <row r="499">
      <c r="A499" s="19" t="n"/>
      <c r="B499" s="41" t="n"/>
      <c r="C499" s="12" t="n"/>
      <c r="D499" s="12" t="n"/>
      <c r="E499" s="12" t="n"/>
      <c r="F499" s="12" t="n"/>
      <c r="G499" s="12" t="n"/>
      <c r="H499" s="12" t="n"/>
      <c r="I499" s="12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</row>
    <row r="500">
      <c r="A500" s="19" t="n"/>
      <c r="B500" s="41" t="n"/>
      <c r="C500" s="12" t="n"/>
      <c r="D500" s="12" t="n"/>
      <c r="E500" s="12" t="n"/>
      <c r="F500" s="12" t="n"/>
      <c r="G500" s="12" t="n"/>
      <c r="H500" s="12" t="n"/>
      <c r="I500" s="12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</row>
    <row r="501">
      <c r="A501" s="19" t="n"/>
      <c r="B501" s="41" t="n"/>
      <c r="C501" s="12" t="n"/>
      <c r="D501" s="12" t="n"/>
      <c r="E501" s="12" t="n"/>
      <c r="F501" s="12" t="n"/>
      <c r="G501" s="12" t="n"/>
      <c r="H501" s="12" t="n"/>
      <c r="I501" s="12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</row>
    <row r="502">
      <c r="A502" s="19" t="n"/>
      <c r="B502" s="41" t="n"/>
      <c r="C502" s="12" t="n"/>
      <c r="D502" s="12" t="n"/>
      <c r="E502" s="12" t="n"/>
      <c r="F502" s="12" t="n"/>
      <c r="G502" s="12" t="n"/>
      <c r="H502" s="12" t="n"/>
      <c r="I502" s="12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</row>
    <row r="503">
      <c r="A503" s="19" t="n"/>
      <c r="B503" s="41" t="n"/>
      <c r="C503" s="12" t="n"/>
      <c r="D503" s="12" t="n"/>
      <c r="E503" s="12" t="n"/>
      <c r="F503" s="12" t="n"/>
      <c r="G503" s="12" t="n"/>
      <c r="H503" s="12" t="n"/>
      <c r="I503" s="12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</row>
    <row r="504">
      <c r="A504" s="19" t="n"/>
      <c r="B504" s="41" t="n"/>
      <c r="C504" s="12" t="n"/>
      <c r="D504" s="12" t="n"/>
      <c r="E504" s="12" t="n"/>
      <c r="F504" s="12" t="n"/>
      <c r="G504" s="12" t="n"/>
      <c r="H504" s="12" t="n"/>
      <c r="I504" s="12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</row>
    <row r="505">
      <c r="A505" s="19" t="n"/>
      <c r="B505" s="41" t="n"/>
      <c r="C505" s="12" t="n"/>
      <c r="D505" s="12" t="n"/>
      <c r="E505" s="12" t="n"/>
      <c r="F505" s="12" t="n"/>
      <c r="G505" s="12" t="n"/>
      <c r="H505" s="12" t="n"/>
      <c r="I505" s="12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</row>
    <row r="506">
      <c r="A506" s="19" t="n"/>
      <c r="B506" s="41" t="n"/>
      <c r="C506" s="12" t="n"/>
      <c r="D506" s="12" t="n"/>
      <c r="E506" s="12" t="n"/>
      <c r="F506" s="12" t="n"/>
      <c r="G506" s="12" t="n"/>
      <c r="H506" s="12" t="n"/>
      <c r="I506" s="12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</row>
    <row r="507">
      <c r="A507" s="19" t="n"/>
      <c r="B507" s="41" t="n"/>
      <c r="C507" s="12" t="n"/>
      <c r="D507" s="12" t="n"/>
      <c r="E507" s="12" t="n"/>
      <c r="F507" s="12" t="n"/>
      <c r="G507" s="12" t="n"/>
      <c r="H507" s="12" t="n"/>
      <c r="I507" s="12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</row>
    <row r="508">
      <c r="A508" s="19" t="n"/>
      <c r="B508" s="41" t="n"/>
      <c r="C508" s="12" t="n"/>
      <c r="D508" s="12" t="n"/>
      <c r="E508" s="12" t="n"/>
      <c r="F508" s="12" t="n"/>
      <c r="G508" s="12" t="n"/>
      <c r="H508" s="12" t="n"/>
      <c r="I508" s="12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</row>
    <row r="509">
      <c r="A509" s="19" t="n"/>
      <c r="B509" s="41" t="n"/>
      <c r="C509" s="12" t="n"/>
      <c r="D509" s="12" t="n"/>
      <c r="E509" s="12" t="n"/>
      <c r="F509" s="12" t="n"/>
      <c r="G509" s="12" t="n"/>
      <c r="H509" s="12" t="n"/>
      <c r="I509" s="12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</row>
    <row r="510">
      <c r="A510" s="19" t="n"/>
      <c r="B510" s="41" t="n"/>
      <c r="C510" s="12" t="n"/>
      <c r="D510" s="12" t="n"/>
      <c r="E510" s="12" t="n"/>
      <c r="F510" s="12" t="n"/>
      <c r="G510" s="12" t="n"/>
      <c r="H510" s="12" t="n"/>
      <c r="I510" s="12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</row>
    <row r="511">
      <c r="A511" s="19" t="n"/>
      <c r="B511" s="41" t="n"/>
      <c r="C511" s="12" t="n"/>
      <c r="D511" s="12" t="n"/>
      <c r="E511" s="12" t="n"/>
      <c r="F511" s="12" t="n"/>
      <c r="G511" s="12" t="n"/>
      <c r="H511" s="12" t="n"/>
      <c r="I511" s="12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</row>
    <row r="512">
      <c r="A512" s="19" t="n"/>
      <c r="B512" s="41" t="n"/>
      <c r="C512" s="12" t="n"/>
      <c r="D512" s="12" t="n"/>
      <c r="E512" s="12" t="n"/>
      <c r="F512" s="12" t="n"/>
      <c r="G512" s="12" t="n"/>
      <c r="H512" s="12" t="n"/>
      <c r="I512" s="12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</row>
    <row r="513">
      <c r="A513" s="19" t="n"/>
      <c r="B513" s="41" t="n"/>
      <c r="C513" s="12" t="n"/>
      <c r="D513" s="12" t="n"/>
      <c r="E513" s="12" t="n"/>
      <c r="F513" s="12" t="n"/>
      <c r="G513" s="12" t="n"/>
      <c r="H513" s="12" t="n"/>
      <c r="I513" s="12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</row>
    <row r="514">
      <c r="A514" s="19" t="n"/>
      <c r="B514" s="41" t="n"/>
      <c r="C514" s="12" t="n"/>
      <c r="D514" s="12" t="n"/>
      <c r="E514" s="12" t="n"/>
      <c r="F514" s="12" t="n"/>
      <c r="G514" s="12" t="n"/>
      <c r="H514" s="12" t="n"/>
      <c r="I514" s="12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</row>
    <row r="515">
      <c r="A515" s="19" t="n"/>
      <c r="B515" s="41" t="n"/>
      <c r="C515" s="12" t="n"/>
      <c r="D515" s="12" t="n"/>
      <c r="E515" s="12" t="n"/>
      <c r="F515" s="12" t="n"/>
      <c r="G515" s="12" t="n"/>
      <c r="H515" s="12" t="n"/>
      <c r="I515" s="12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</row>
    <row r="516">
      <c r="A516" s="19" t="n"/>
      <c r="B516" s="41" t="n"/>
      <c r="C516" s="12" t="n"/>
      <c r="D516" s="12" t="n"/>
      <c r="E516" s="12" t="n"/>
      <c r="F516" s="12" t="n"/>
      <c r="G516" s="12" t="n"/>
      <c r="H516" s="12" t="n"/>
      <c r="I516" s="12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</row>
    <row r="517">
      <c r="A517" s="19" t="n"/>
      <c r="B517" s="41" t="n"/>
      <c r="C517" s="12" t="n"/>
      <c r="D517" s="12" t="n"/>
      <c r="E517" s="12" t="n"/>
      <c r="F517" s="12" t="n"/>
      <c r="G517" s="12" t="n"/>
      <c r="H517" s="12" t="n"/>
      <c r="I517" s="12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</row>
    <row r="518">
      <c r="A518" s="19" t="n"/>
      <c r="B518" s="41" t="n"/>
      <c r="C518" s="12" t="n"/>
      <c r="D518" s="12" t="n"/>
      <c r="E518" s="12" t="n"/>
      <c r="F518" s="12" t="n"/>
      <c r="G518" s="12" t="n"/>
      <c r="H518" s="12" t="n"/>
      <c r="I518" s="12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</row>
    <row r="519">
      <c r="A519" s="19" t="n"/>
      <c r="B519" s="41" t="n"/>
      <c r="C519" s="12" t="n"/>
      <c r="D519" s="12" t="n"/>
      <c r="E519" s="12" t="n"/>
      <c r="F519" s="12" t="n"/>
      <c r="G519" s="12" t="n"/>
      <c r="H519" s="12" t="n"/>
      <c r="I519" s="12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</row>
    <row r="520">
      <c r="A520" s="19" t="n"/>
      <c r="B520" s="41" t="n"/>
      <c r="C520" s="12" t="n"/>
      <c r="D520" s="12" t="n"/>
      <c r="E520" s="12" t="n"/>
      <c r="F520" s="12" t="n"/>
      <c r="G520" s="12" t="n"/>
      <c r="H520" s="12" t="n"/>
      <c r="I520" s="12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</row>
    <row r="521">
      <c r="A521" s="19" t="n"/>
      <c r="B521" s="41" t="n"/>
      <c r="C521" s="12" t="n"/>
      <c r="D521" s="12" t="n"/>
      <c r="E521" s="12" t="n"/>
      <c r="F521" s="12" t="n"/>
      <c r="G521" s="12" t="n"/>
      <c r="H521" s="12" t="n"/>
      <c r="I521" s="12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</row>
    <row r="522">
      <c r="A522" s="19" t="n"/>
      <c r="B522" s="41" t="n"/>
      <c r="C522" s="12" t="n"/>
      <c r="D522" s="12" t="n"/>
      <c r="E522" s="12" t="n"/>
      <c r="F522" s="12" t="n"/>
      <c r="G522" s="12" t="n"/>
      <c r="H522" s="12" t="n"/>
      <c r="I522" s="12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</row>
    <row r="523">
      <c r="A523" s="19" t="n"/>
      <c r="B523" s="41" t="n"/>
      <c r="C523" s="12" t="n"/>
      <c r="D523" s="12" t="n"/>
      <c r="E523" s="12" t="n"/>
      <c r="F523" s="12" t="n"/>
      <c r="G523" s="12" t="n"/>
      <c r="H523" s="12" t="n"/>
      <c r="I523" s="12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</row>
    <row r="524">
      <c r="A524" s="19" t="n"/>
      <c r="B524" s="41" t="n"/>
      <c r="C524" s="12" t="n"/>
      <c r="D524" s="12" t="n"/>
      <c r="E524" s="12" t="n"/>
      <c r="F524" s="12" t="n"/>
      <c r="G524" s="12" t="n"/>
      <c r="H524" s="12" t="n"/>
      <c r="I524" s="12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</row>
    <row r="525">
      <c r="A525" s="19" t="n"/>
      <c r="B525" s="41" t="n"/>
      <c r="C525" s="12" t="n"/>
      <c r="D525" s="12" t="n"/>
      <c r="E525" s="12" t="n"/>
      <c r="F525" s="12" t="n"/>
      <c r="G525" s="12" t="n"/>
      <c r="H525" s="12" t="n"/>
      <c r="I525" s="12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</row>
    <row r="526">
      <c r="A526" s="19" t="n"/>
      <c r="B526" s="41" t="n"/>
      <c r="C526" s="12" t="n"/>
      <c r="D526" s="12" t="n"/>
      <c r="E526" s="12" t="n"/>
      <c r="F526" s="12" t="n"/>
      <c r="G526" s="12" t="n"/>
      <c r="H526" s="12" t="n"/>
      <c r="I526" s="12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</row>
    <row r="527">
      <c r="A527" s="19" t="n"/>
      <c r="B527" s="41" t="n"/>
      <c r="C527" s="12" t="n"/>
      <c r="D527" s="12" t="n"/>
      <c r="E527" s="12" t="n"/>
      <c r="F527" s="12" t="n"/>
      <c r="G527" s="12" t="n"/>
      <c r="H527" s="12" t="n"/>
      <c r="I527" s="12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</row>
    <row r="528">
      <c r="A528" s="19" t="n"/>
      <c r="B528" s="41" t="n"/>
      <c r="C528" s="12" t="n"/>
      <c r="D528" s="12" t="n"/>
      <c r="E528" s="12" t="n"/>
      <c r="F528" s="12" t="n"/>
      <c r="G528" s="12" t="n"/>
      <c r="H528" s="12" t="n"/>
      <c r="I528" s="12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</row>
    <row r="529">
      <c r="A529" s="19" t="n"/>
      <c r="B529" s="41" t="n"/>
      <c r="C529" s="12" t="n"/>
      <c r="D529" s="12" t="n"/>
      <c r="E529" s="12" t="n"/>
      <c r="F529" s="12" t="n"/>
      <c r="G529" s="12" t="n"/>
      <c r="H529" s="12" t="n"/>
      <c r="I529" s="12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</row>
    <row r="530">
      <c r="A530" s="19" t="n"/>
      <c r="B530" s="41" t="n"/>
      <c r="C530" s="12" t="n"/>
      <c r="D530" s="12" t="n"/>
      <c r="E530" s="12" t="n"/>
      <c r="F530" s="12" t="n"/>
      <c r="G530" s="12" t="n"/>
      <c r="H530" s="12" t="n"/>
      <c r="I530" s="12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</row>
    <row r="531">
      <c r="A531" s="19" t="n"/>
      <c r="B531" s="41" t="n"/>
      <c r="C531" s="12" t="n"/>
      <c r="D531" s="12" t="n"/>
      <c r="E531" s="12" t="n"/>
      <c r="F531" s="12" t="n"/>
      <c r="G531" s="12" t="n"/>
      <c r="H531" s="12" t="n"/>
      <c r="I531" s="12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</row>
    <row r="532">
      <c r="A532" s="19" t="n"/>
      <c r="B532" s="41" t="n"/>
      <c r="C532" s="12" t="n"/>
      <c r="D532" s="12" t="n"/>
      <c r="E532" s="12" t="n"/>
      <c r="F532" s="12" t="n"/>
      <c r="G532" s="12" t="n"/>
      <c r="H532" s="12" t="n"/>
      <c r="I532" s="12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</row>
    <row r="533">
      <c r="A533" s="19" t="n"/>
      <c r="B533" s="41" t="n"/>
      <c r="C533" s="12" t="n"/>
      <c r="D533" s="12" t="n"/>
      <c r="E533" s="12" t="n"/>
      <c r="F533" s="12" t="n"/>
      <c r="G533" s="12" t="n"/>
      <c r="H533" s="12" t="n"/>
      <c r="I533" s="12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</row>
    <row r="534">
      <c r="A534" s="19" t="n"/>
      <c r="B534" s="41" t="n"/>
      <c r="C534" s="12" t="n"/>
      <c r="D534" s="12" t="n"/>
      <c r="E534" s="12" t="n"/>
      <c r="F534" s="12" t="n"/>
      <c r="G534" s="12" t="n"/>
      <c r="H534" s="12" t="n"/>
      <c r="I534" s="12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</row>
    <row r="535">
      <c r="A535" s="19" t="n"/>
      <c r="B535" s="41" t="n"/>
      <c r="C535" s="12" t="n"/>
      <c r="D535" s="12" t="n"/>
      <c r="E535" s="12" t="n"/>
      <c r="F535" s="12" t="n"/>
      <c r="G535" s="12" t="n"/>
      <c r="H535" s="12" t="n"/>
      <c r="I535" s="12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</row>
    <row r="536">
      <c r="A536" s="19" t="n"/>
      <c r="B536" s="41" t="n"/>
      <c r="C536" s="12" t="n"/>
      <c r="D536" s="12" t="n"/>
      <c r="E536" s="12" t="n"/>
      <c r="F536" s="12" t="n"/>
      <c r="G536" s="12" t="n"/>
      <c r="H536" s="12" t="n"/>
      <c r="I536" s="12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</row>
    <row r="537">
      <c r="A537" s="19" t="n"/>
      <c r="B537" s="41" t="n"/>
      <c r="C537" s="12" t="n"/>
      <c r="D537" s="12" t="n"/>
      <c r="E537" s="12" t="n"/>
      <c r="F537" s="12" t="n"/>
      <c r="G537" s="12" t="n"/>
      <c r="H537" s="12" t="n"/>
      <c r="I537" s="12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</row>
    <row r="538">
      <c r="A538" s="19" t="n"/>
      <c r="B538" s="41" t="n"/>
      <c r="C538" s="12" t="n"/>
      <c r="D538" s="12" t="n"/>
      <c r="E538" s="12" t="n"/>
      <c r="F538" s="12" t="n"/>
      <c r="G538" s="12" t="n"/>
      <c r="H538" s="12" t="n"/>
      <c r="I538" s="12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</row>
    <row r="539">
      <c r="A539" s="19" t="n"/>
      <c r="B539" s="41" t="n"/>
      <c r="C539" s="12" t="n"/>
      <c r="D539" s="12" t="n"/>
      <c r="E539" s="12" t="n"/>
      <c r="F539" s="12" t="n"/>
      <c r="G539" s="12" t="n"/>
      <c r="H539" s="12" t="n"/>
      <c r="I539" s="12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</row>
    <row r="540">
      <c r="A540" s="19" t="n"/>
      <c r="B540" s="41" t="n"/>
      <c r="C540" s="12" t="n"/>
      <c r="D540" s="12" t="n"/>
      <c r="E540" s="12" t="n"/>
      <c r="F540" s="12" t="n"/>
      <c r="G540" s="12" t="n"/>
      <c r="H540" s="12" t="n"/>
      <c r="I540" s="12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</row>
    <row r="541">
      <c r="A541" s="19" t="n"/>
      <c r="B541" s="41" t="n"/>
      <c r="C541" s="12" t="n"/>
      <c r="D541" s="12" t="n"/>
      <c r="E541" s="12" t="n"/>
      <c r="F541" s="12" t="n"/>
      <c r="G541" s="12" t="n"/>
      <c r="H541" s="12" t="n"/>
      <c r="I541" s="12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</row>
    <row r="542">
      <c r="A542" s="19" t="n"/>
      <c r="B542" s="41" t="n"/>
      <c r="C542" s="12" t="n"/>
      <c r="D542" s="12" t="n"/>
      <c r="E542" s="12" t="n"/>
      <c r="F542" s="12" t="n"/>
      <c r="G542" s="12" t="n"/>
      <c r="H542" s="12" t="n"/>
      <c r="I542" s="12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</row>
    <row r="543">
      <c r="A543" s="19" t="n"/>
      <c r="B543" s="41" t="n"/>
      <c r="C543" s="12" t="n"/>
      <c r="D543" s="12" t="n"/>
      <c r="E543" s="12" t="n"/>
      <c r="F543" s="12" t="n"/>
      <c r="G543" s="12" t="n"/>
      <c r="H543" s="12" t="n"/>
      <c r="I543" s="12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</row>
    <row r="544">
      <c r="A544" s="19" t="n"/>
      <c r="B544" s="41" t="n"/>
      <c r="C544" s="12" t="n"/>
      <c r="D544" s="12" t="n"/>
      <c r="E544" s="12" t="n"/>
      <c r="F544" s="12" t="n"/>
      <c r="G544" s="12" t="n"/>
      <c r="H544" s="12" t="n"/>
      <c r="I544" s="12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</row>
    <row r="545">
      <c r="A545" s="19" t="n"/>
      <c r="B545" s="41" t="n"/>
      <c r="C545" s="12" t="n"/>
      <c r="D545" s="12" t="n"/>
      <c r="E545" s="12" t="n"/>
      <c r="F545" s="12" t="n"/>
      <c r="G545" s="12" t="n"/>
      <c r="H545" s="12" t="n"/>
      <c r="I545" s="12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</row>
    <row r="546">
      <c r="A546" s="19" t="n"/>
      <c r="B546" s="41" t="n"/>
      <c r="C546" s="12" t="n"/>
      <c r="D546" s="12" t="n"/>
      <c r="E546" s="12" t="n"/>
      <c r="F546" s="12" t="n"/>
      <c r="G546" s="12" t="n"/>
      <c r="H546" s="12" t="n"/>
      <c r="I546" s="12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</row>
    <row r="547">
      <c r="A547" s="19" t="n"/>
      <c r="B547" s="41" t="n"/>
      <c r="C547" s="12" t="n"/>
      <c r="D547" s="12" t="n"/>
      <c r="E547" s="12" t="n"/>
      <c r="F547" s="12" t="n"/>
      <c r="G547" s="12" t="n"/>
      <c r="H547" s="12" t="n"/>
      <c r="I547" s="12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</row>
    <row r="548">
      <c r="A548" s="19" t="n"/>
      <c r="B548" s="41" t="n"/>
      <c r="C548" s="12" t="n"/>
      <c r="D548" s="12" t="n"/>
      <c r="E548" s="12" t="n"/>
      <c r="F548" s="12" t="n"/>
      <c r="G548" s="12" t="n"/>
      <c r="H548" s="12" t="n"/>
      <c r="I548" s="12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</row>
    <row r="549">
      <c r="A549" s="19" t="n"/>
      <c r="B549" s="41" t="n"/>
      <c r="C549" s="12" t="n"/>
      <c r="D549" s="12" t="n"/>
      <c r="E549" s="12" t="n"/>
      <c r="F549" s="12" t="n"/>
      <c r="G549" s="12" t="n"/>
      <c r="H549" s="12" t="n"/>
      <c r="I549" s="12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</row>
    <row r="550">
      <c r="A550" s="19" t="n"/>
      <c r="B550" s="41" t="n"/>
      <c r="C550" s="12" t="n"/>
      <c r="D550" s="12" t="n"/>
      <c r="E550" s="12" t="n"/>
      <c r="F550" s="12" t="n"/>
      <c r="G550" s="12" t="n"/>
      <c r="H550" s="12" t="n"/>
      <c r="I550" s="12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</row>
    <row r="551">
      <c r="A551" s="19" t="n"/>
      <c r="B551" s="41" t="n"/>
      <c r="C551" s="12" t="n"/>
      <c r="D551" s="12" t="n"/>
      <c r="E551" s="12" t="n"/>
      <c r="F551" s="12" t="n"/>
      <c r="G551" s="12" t="n"/>
      <c r="H551" s="12" t="n"/>
      <c r="I551" s="12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</row>
    <row r="552">
      <c r="A552" s="19" t="n"/>
      <c r="B552" s="41" t="n"/>
      <c r="C552" s="12" t="n"/>
      <c r="D552" s="12" t="n"/>
      <c r="E552" s="12" t="n"/>
      <c r="F552" s="12" t="n"/>
      <c r="G552" s="12" t="n"/>
      <c r="H552" s="12" t="n"/>
      <c r="I552" s="12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</row>
    <row r="553">
      <c r="A553" s="19" t="n"/>
      <c r="B553" s="41" t="n"/>
      <c r="C553" s="12" t="n"/>
      <c r="D553" s="12" t="n"/>
      <c r="E553" s="12" t="n"/>
      <c r="F553" s="12" t="n"/>
      <c r="G553" s="12" t="n"/>
      <c r="H553" s="12" t="n"/>
      <c r="I553" s="12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</row>
    <row r="554">
      <c r="A554" s="19" t="n"/>
      <c r="B554" s="41" t="n"/>
      <c r="C554" s="12" t="n"/>
      <c r="D554" s="12" t="n"/>
      <c r="E554" s="12" t="n"/>
      <c r="F554" s="12" t="n"/>
      <c r="G554" s="12" t="n"/>
      <c r="H554" s="12" t="n"/>
      <c r="I554" s="12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</row>
    <row r="555">
      <c r="A555" s="19" t="n"/>
      <c r="B555" s="41" t="n"/>
      <c r="C555" s="12" t="n"/>
      <c r="D555" s="12" t="n"/>
      <c r="E555" s="12" t="n"/>
      <c r="F555" s="12" t="n"/>
      <c r="G555" s="12" t="n"/>
      <c r="H555" s="12" t="n"/>
      <c r="I555" s="12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</row>
    <row r="556">
      <c r="A556" s="19" t="n"/>
      <c r="B556" s="41" t="n"/>
      <c r="C556" s="12" t="n"/>
      <c r="D556" s="12" t="n"/>
      <c r="E556" s="12" t="n"/>
      <c r="F556" s="12" t="n"/>
      <c r="G556" s="12" t="n"/>
      <c r="H556" s="12" t="n"/>
      <c r="I556" s="12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</row>
    <row r="557">
      <c r="A557" s="19" t="n"/>
      <c r="B557" s="41" t="n"/>
      <c r="C557" s="12" t="n"/>
      <c r="D557" s="12" t="n"/>
      <c r="E557" s="12" t="n"/>
      <c r="F557" s="12" t="n"/>
      <c r="G557" s="12" t="n"/>
      <c r="H557" s="12" t="n"/>
      <c r="I557" s="12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</row>
    <row r="558">
      <c r="A558" s="19" t="n"/>
      <c r="B558" s="41" t="n"/>
      <c r="C558" s="12" t="n"/>
      <c r="D558" s="12" t="n"/>
      <c r="E558" s="12" t="n"/>
      <c r="F558" s="12" t="n"/>
      <c r="G558" s="12" t="n"/>
      <c r="H558" s="12" t="n"/>
      <c r="I558" s="12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</row>
    <row r="559">
      <c r="A559" s="19" t="n"/>
      <c r="B559" s="41" t="n"/>
      <c r="C559" s="12" t="n"/>
      <c r="D559" s="12" t="n"/>
      <c r="E559" s="12" t="n"/>
      <c r="F559" s="12" t="n"/>
      <c r="G559" s="12" t="n"/>
      <c r="H559" s="12" t="n"/>
      <c r="I559" s="12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</row>
    <row r="560">
      <c r="A560" s="19" t="n"/>
      <c r="B560" s="41" t="n"/>
      <c r="C560" s="12" t="n"/>
      <c r="D560" s="12" t="n"/>
      <c r="E560" s="12" t="n"/>
      <c r="F560" s="12" t="n"/>
      <c r="G560" s="12" t="n"/>
      <c r="H560" s="12" t="n"/>
      <c r="I560" s="12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</row>
    <row r="561">
      <c r="A561" s="19" t="n"/>
      <c r="B561" s="41" t="n"/>
      <c r="C561" s="12" t="n"/>
      <c r="D561" s="12" t="n"/>
      <c r="E561" s="12" t="n"/>
      <c r="F561" s="12" t="n"/>
      <c r="G561" s="12" t="n"/>
      <c r="H561" s="12" t="n"/>
      <c r="I561" s="12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</row>
    <row r="562">
      <c r="A562" s="19" t="n"/>
      <c r="B562" s="41" t="n"/>
      <c r="C562" s="12" t="n"/>
      <c r="D562" s="12" t="n"/>
      <c r="E562" s="12" t="n"/>
      <c r="F562" s="12" t="n"/>
      <c r="G562" s="12" t="n"/>
      <c r="H562" s="12" t="n"/>
      <c r="I562" s="12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</row>
    <row r="563">
      <c r="A563" s="19" t="n"/>
      <c r="B563" s="41" t="n"/>
      <c r="C563" s="12" t="n"/>
      <c r="D563" s="12" t="n"/>
      <c r="E563" s="12" t="n"/>
      <c r="F563" s="12" t="n"/>
      <c r="G563" s="12" t="n"/>
      <c r="H563" s="12" t="n"/>
      <c r="I563" s="12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</row>
    <row r="564">
      <c r="A564" s="19" t="n"/>
      <c r="B564" s="41" t="n"/>
      <c r="C564" s="12" t="n"/>
      <c r="D564" s="12" t="n"/>
      <c r="E564" s="12" t="n"/>
      <c r="F564" s="12" t="n"/>
      <c r="G564" s="12" t="n"/>
      <c r="H564" s="12" t="n"/>
      <c r="I564" s="12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</row>
    <row r="565">
      <c r="A565" s="19" t="n"/>
      <c r="B565" s="41" t="n"/>
      <c r="C565" s="12" t="n"/>
      <c r="D565" s="12" t="n"/>
      <c r="E565" s="12" t="n"/>
      <c r="F565" s="12" t="n"/>
      <c r="G565" s="12" t="n"/>
      <c r="H565" s="12" t="n"/>
      <c r="I565" s="12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</row>
    <row r="566">
      <c r="A566" s="19" t="n"/>
      <c r="B566" s="41" t="n"/>
      <c r="C566" s="12" t="n"/>
      <c r="D566" s="12" t="n"/>
      <c r="E566" s="12" t="n"/>
      <c r="F566" s="12" t="n"/>
      <c r="G566" s="12" t="n"/>
      <c r="H566" s="12" t="n"/>
      <c r="I566" s="12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</row>
    <row r="567">
      <c r="A567" s="19" t="n"/>
      <c r="B567" s="41" t="n"/>
      <c r="C567" s="12" t="n"/>
      <c r="D567" s="12" t="n"/>
      <c r="E567" s="12" t="n"/>
      <c r="F567" s="12" t="n"/>
      <c r="G567" s="12" t="n"/>
      <c r="H567" s="12" t="n"/>
      <c r="I567" s="12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</row>
    <row r="568">
      <c r="A568" s="19" t="n"/>
      <c r="B568" s="41" t="n"/>
      <c r="C568" s="12" t="n"/>
      <c r="D568" s="12" t="n"/>
      <c r="E568" s="12" t="n"/>
      <c r="F568" s="12" t="n"/>
      <c r="G568" s="12" t="n"/>
      <c r="H568" s="12" t="n"/>
      <c r="I568" s="12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</row>
    <row r="569">
      <c r="A569" s="19" t="n"/>
      <c r="B569" s="41" t="n"/>
      <c r="C569" s="12" t="n"/>
      <c r="D569" s="12" t="n"/>
      <c r="E569" s="12" t="n"/>
      <c r="F569" s="12" t="n"/>
      <c r="G569" s="12" t="n"/>
      <c r="H569" s="12" t="n"/>
      <c r="I569" s="12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</row>
    <row r="570">
      <c r="A570" s="19" t="n"/>
      <c r="B570" s="41" t="n"/>
      <c r="C570" s="12" t="n"/>
      <c r="D570" s="12" t="n"/>
      <c r="E570" s="12" t="n"/>
      <c r="F570" s="12" t="n"/>
      <c r="G570" s="12" t="n"/>
      <c r="H570" s="12" t="n"/>
      <c r="I570" s="12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</row>
    <row r="571">
      <c r="A571" s="19" t="n"/>
      <c r="B571" s="41" t="n"/>
      <c r="C571" s="12" t="n"/>
      <c r="D571" s="12" t="n"/>
      <c r="E571" s="12" t="n"/>
      <c r="F571" s="12" t="n"/>
      <c r="G571" s="12" t="n"/>
      <c r="H571" s="12" t="n"/>
      <c r="I571" s="12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</row>
    <row r="572">
      <c r="A572" s="19" t="n"/>
      <c r="B572" s="41" t="n"/>
      <c r="C572" s="12" t="n"/>
      <c r="D572" s="12" t="n"/>
      <c r="E572" s="12" t="n"/>
      <c r="F572" s="12" t="n"/>
      <c r="G572" s="12" t="n"/>
      <c r="H572" s="12" t="n"/>
      <c r="I572" s="12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</row>
    <row r="573">
      <c r="A573" s="19" t="n"/>
      <c r="B573" s="41" t="n"/>
      <c r="C573" s="12" t="n"/>
      <c r="D573" s="12" t="n"/>
      <c r="E573" s="12" t="n"/>
      <c r="F573" s="12" t="n"/>
      <c r="G573" s="12" t="n"/>
      <c r="H573" s="12" t="n"/>
      <c r="I573" s="12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</row>
    <row r="574">
      <c r="A574" s="19" t="n"/>
      <c r="B574" s="41" t="n"/>
      <c r="C574" s="12" t="n"/>
      <c r="D574" s="12" t="n"/>
      <c r="E574" s="12" t="n"/>
      <c r="F574" s="12" t="n"/>
      <c r="G574" s="12" t="n"/>
      <c r="H574" s="12" t="n"/>
      <c r="I574" s="12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</row>
    <row r="575">
      <c r="A575" s="19" t="n"/>
      <c r="B575" s="41" t="n"/>
      <c r="C575" s="12" t="n"/>
      <c r="D575" s="12" t="n"/>
      <c r="E575" s="12" t="n"/>
      <c r="F575" s="12" t="n"/>
      <c r="G575" s="12" t="n"/>
      <c r="H575" s="12" t="n"/>
      <c r="I575" s="12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</row>
    <row r="576">
      <c r="A576" s="19" t="n"/>
      <c r="B576" s="41" t="n"/>
      <c r="C576" s="12" t="n"/>
      <c r="D576" s="12" t="n"/>
      <c r="E576" s="12" t="n"/>
      <c r="F576" s="12" t="n"/>
      <c r="G576" s="12" t="n"/>
      <c r="H576" s="12" t="n"/>
      <c r="I576" s="12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</row>
    <row r="577">
      <c r="A577" s="19" t="n"/>
      <c r="B577" s="41" t="n"/>
      <c r="C577" s="12" t="n"/>
      <c r="D577" s="12" t="n"/>
      <c r="E577" s="12" t="n"/>
      <c r="F577" s="12" t="n"/>
      <c r="G577" s="12" t="n"/>
      <c r="H577" s="12" t="n"/>
      <c r="I577" s="12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</row>
    <row r="578">
      <c r="A578" s="19" t="n"/>
      <c r="B578" s="41" t="n"/>
      <c r="C578" s="12" t="n"/>
      <c r="D578" s="12" t="n"/>
      <c r="E578" s="12" t="n"/>
      <c r="F578" s="12" t="n"/>
      <c r="G578" s="12" t="n"/>
      <c r="H578" s="12" t="n"/>
      <c r="I578" s="12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</row>
    <row r="579">
      <c r="A579" s="19" t="n"/>
      <c r="B579" s="41" t="n"/>
      <c r="C579" s="12" t="n"/>
      <c r="D579" s="12" t="n"/>
      <c r="E579" s="12" t="n"/>
      <c r="F579" s="12" t="n"/>
      <c r="G579" s="12" t="n"/>
      <c r="H579" s="12" t="n"/>
      <c r="I579" s="12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</row>
    <row r="580">
      <c r="A580" s="19" t="n"/>
      <c r="B580" s="41" t="n"/>
      <c r="C580" s="12" t="n"/>
      <c r="D580" s="12" t="n"/>
      <c r="E580" s="12" t="n"/>
      <c r="F580" s="12" t="n"/>
      <c r="G580" s="12" t="n"/>
      <c r="H580" s="12" t="n"/>
      <c r="I580" s="12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</row>
    <row r="581">
      <c r="A581" s="19" t="n"/>
      <c r="B581" s="41" t="n"/>
      <c r="C581" s="12" t="n"/>
      <c r="D581" s="12" t="n"/>
      <c r="E581" s="12" t="n"/>
      <c r="F581" s="12" t="n"/>
      <c r="G581" s="12" t="n"/>
      <c r="H581" s="12" t="n"/>
      <c r="I581" s="12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</row>
    <row r="582">
      <c r="A582" s="19" t="n"/>
      <c r="B582" s="41" t="n"/>
      <c r="C582" s="12" t="n"/>
      <c r="D582" s="12" t="n"/>
      <c r="E582" s="12" t="n"/>
      <c r="F582" s="12" t="n"/>
      <c r="G582" s="12" t="n"/>
      <c r="H582" s="12" t="n"/>
      <c r="I582" s="12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</row>
    <row r="583">
      <c r="A583" s="19" t="n"/>
      <c r="B583" s="41" t="n"/>
      <c r="C583" s="12" t="n"/>
      <c r="D583" s="12" t="n"/>
      <c r="E583" s="12" t="n"/>
      <c r="F583" s="12" t="n"/>
      <c r="G583" s="12" t="n"/>
      <c r="H583" s="12" t="n"/>
      <c r="I583" s="12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</row>
    <row r="584">
      <c r="A584" s="19" t="n"/>
      <c r="B584" s="41" t="n"/>
      <c r="C584" s="12" t="n"/>
      <c r="D584" s="12" t="n"/>
      <c r="E584" s="12" t="n"/>
      <c r="F584" s="12" t="n"/>
      <c r="G584" s="12" t="n"/>
      <c r="H584" s="12" t="n"/>
      <c r="I584" s="12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</row>
    <row r="585">
      <c r="A585" s="19" t="n"/>
      <c r="B585" s="41" t="n"/>
      <c r="C585" s="12" t="n"/>
      <c r="D585" s="12" t="n"/>
      <c r="E585" s="12" t="n"/>
      <c r="F585" s="12" t="n"/>
      <c r="G585" s="12" t="n"/>
      <c r="H585" s="12" t="n"/>
      <c r="I585" s="12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</row>
    <row r="586">
      <c r="A586" s="19" t="n"/>
      <c r="B586" s="41" t="n"/>
      <c r="C586" s="12" t="n"/>
      <c r="D586" s="12" t="n"/>
      <c r="E586" s="12" t="n"/>
      <c r="F586" s="12" t="n"/>
      <c r="G586" s="12" t="n"/>
      <c r="H586" s="12" t="n"/>
      <c r="I586" s="12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</row>
    <row r="587">
      <c r="A587" s="19" t="n"/>
      <c r="B587" s="41" t="n"/>
      <c r="C587" s="12" t="n"/>
      <c r="D587" s="12" t="n"/>
      <c r="E587" s="12" t="n"/>
      <c r="F587" s="12" t="n"/>
      <c r="G587" s="12" t="n"/>
      <c r="H587" s="12" t="n"/>
      <c r="I587" s="12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</row>
    <row r="588">
      <c r="A588" s="19" t="n"/>
      <c r="B588" s="41" t="n"/>
      <c r="C588" s="12" t="n"/>
      <c r="D588" s="12" t="n"/>
      <c r="E588" s="12" t="n"/>
      <c r="F588" s="12" t="n"/>
      <c r="G588" s="12" t="n"/>
      <c r="H588" s="12" t="n"/>
      <c r="I588" s="12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</row>
    <row r="589">
      <c r="A589" s="19" t="n"/>
      <c r="B589" s="41" t="n"/>
      <c r="C589" s="12" t="n"/>
      <c r="D589" s="12" t="n"/>
      <c r="E589" s="12" t="n"/>
      <c r="F589" s="12" t="n"/>
      <c r="G589" s="12" t="n"/>
      <c r="H589" s="12" t="n"/>
      <c r="I589" s="12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</row>
    <row r="590">
      <c r="A590" s="19" t="n"/>
      <c r="B590" s="41" t="n"/>
      <c r="C590" s="12" t="n"/>
      <c r="D590" s="12" t="n"/>
      <c r="E590" s="12" t="n"/>
      <c r="F590" s="12" t="n"/>
      <c r="G590" s="12" t="n"/>
      <c r="H590" s="12" t="n"/>
      <c r="I590" s="12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</row>
    <row r="591">
      <c r="A591" s="19" t="n"/>
      <c r="B591" s="41" t="n"/>
      <c r="C591" s="12" t="n"/>
      <c r="D591" s="12" t="n"/>
      <c r="E591" s="12" t="n"/>
      <c r="F591" s="12" t="n"/>
      <c r="G591" s="12" t="n"/>
      <c r="H591" s="12" t="n"/>
      <c r="I591" s="12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</row>
    <row r="592">
      <c r="A592" s="19" t="n"/>
      <c r="B592" s="41" t="n"/>
      <c r="C592" s="12" t="n"/>
      <c r="D592" s="12" t="n"/>
      <c r="E592" s="12" t="n"/>
      <c r="F592" s="12" t="n"/>
      <c r="G592" s="12" t="n"/>
      <c r="H592" s="12" t="n"/>
      <c r="I592" s="12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</row>
    <row r="593">
      <c r="A593" s="19" t="n"/>
      <c r="B593" s="41" t="n"/>
      <c r="C593" s="12" t="n"/>
      <c r="D593" s="12" t="n"/>
      <c r="E593" s="12" t="n"/>
      <c r="F593" s="12" t="n"/>
      <c r="G593" s="12" t="n"/>
      <c r="H593" s="12" t="n"/>
      <c r="I593" s="12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</row>
    <row r="594">
      <c r="A594" s="19" t="n"/>
      <c r="B594" s="41" t="n"/>
      <c r="C594" s="12" t="n"/>
      <c r="D594" s="12" t="n"/>
      <c r="E594" s="12" t="n"/>
      <c r="F594" s="12" t="n"/>
      <c r="G594" s="12" t="n"/>
      <c r="H594" s="12" t="n"/>
      <c r="I594" s="12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</row>
    <row r="595">
      <c r="A595" s="19" t="n"/>
      <c r="B595" s="41" t="n"/>
      <c r="C595" s="12" t="n"/>
      <c r="D595" s="12" t="n"/>
      <c r="E595" s="12" t="n"/>
      <c r="F595" s="12" t="n"/>
      <c r="G595" s="12" t="n"/>
      <c r="H595" s="12" t="n"/>
      <c r="I595" s="12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</row>
    <row r="596">
      <c r="A596" s="19" t="n"/>
      <c r="B596" s="41" t="n"/>
      <c r="C596" s="12" t="n"/>
      <c r="D596" s="12" t="n"/>
      <c r="E596" s="12" t="n"/>
      <c r="F596" s="12" t="n"/>
      <c r="G596" s="12" t="n"/>
      <c r="H596" s="12" t="n"/>
      <c r="I596" s="12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</row>
    <row r="597">
      <c r="A597" s="19" t="n"/>
      <c r="B597" s="41" t="n"/>
      <c r="C597" s="12" t="n"/>
      <c r="D597" s="12" t="n"/>
      <c r="E597" s="12" t="n"/>
      <c r="F597" s="12" t="n"/>
      <c r="G597" s="12" t="n"/>
      <c r="H597" s="12" t="n"/>
      <c r="I597" s="12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</row>
    <row r="598">
      <c r="A598" s="19" t="n"/>
      <c r="B598" s="41" t="n"/>
      <c r="C598" s="12" t="n"/>
      <c r="D598" s="12" t="n"/>
      <c r="E598" s="12" t="n"/>
      <c r="F598" s="12" t="n"/>
      <c r="G598" s="12" t="n"/>
      <c r="H598" s="12" t="n"/>
      <c r="I598" s="12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</row>
    <row r="599">
      <c r="A599" s="19" t="n"/>
      <c r="B599" s="41" t="n"/>
      <c r="C599" s="12" t="n"/>
      <c r="D599" s="12" t="n"/>
      <c r="E599" s="12" t="n"/>
      <c r="F599" s="12" t="n"/>
      <c r="G599" s="12" t="n"/>
      <c r="H599" s="12" t="n"/>
      <c r="I599" s="12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</row>
    <row r="600">
      <c r="A600" s="19" t="n"/>
      <c r="B600" s="41" t="n"/>
      <c r="C600" s="12" t="n"/>
      <c r="D600" s="12" t="n"/>
      <c r="E600" s="12" t="n"/>
      <c r="F600" s="12" t="n"/>
      <c r="G600" s="12" t="n"/>
      <c r="H600" s="12" t="n"/>
      <c r="I600" s="12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</row>
    <row r="601">
      <c r="A601" s="19" t="n"/>
      <c r="B601" s="41" t="n"/>
      <c r="C601" s="12" t="n"/>
      <c r="D601" s="12" t="n"/>
      <c r="E601" s="12" t="n"/>
      <c r="F601" s="12" t="n"/>
      <c r="G601" s="12" t="n"/>
      <c r="H601" s="12" t="n"/>
      <c r="I601" s="12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</row>
    <row r="602">
      <c r="A602" s="19" t="n"/>
      <c r="B602" s="41" t="n"/>
      <c r="C602" s="12" t="n"/>
      <c r="D602" s="12" t="n"/>
      <c r="E602" s="12" t="n"/>
      <c r="F602" s="12" t="n"/>
      <c r="G602" s="12" t="n"/>
      <c r="H602" s="12" t="n"/>
      <c r="I602" s="12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</row>
    <row r="603">
      <c r="A603" s="19" t="n"/>
      <c r="B603" s="41" t="n"/>
      <c r="C603" s="12" t="n"/>
      <c r="D603" s="12" t="n"/>
      <c r="E603" s="12" t="n"/>
      <c r="F603" s="12" t="n"/>
      <c r="G603" s="12" t="n"/>
      <c r="H603" s="12" t="n"/>
      <c r="I603" s="12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</row>
    <row r="604">
      <c r="A604" s="19" t="n"/>
      <c r="B604" s="41" t="n"/>
      <c r="C604" s="12" t="n"/>
      <c r="D604" s="12" t="n"/>
      <c r="E604" s="12" t="n"/>
      <c r="F604" s="12" t="n"/>
      <c r="G604" s="12" t="n"/>
      <c r="H604" s="12" t="n"/>
      <c r="I604" s="12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</row>
    <row r="605">
      <c r="A605" s="19" t="n"/>
      <c r="B605" s="41" t="n"/>
      <c r="C605" s="12" t="n"/>
      <c r="D605" s="12" t="n"/>
      <c r="E605" s="12" t="n"/>
      <c r="F605" s="12" t="n"/>
      <c r="G605" s="12" t="n"/>
      <c r="H605" s="12" t="n"/>
      <c r="I605" s="12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</row>
    <row r="606">
      <c r="A606" s="19" t="n"/>
      <c r="B606" s="41" t="n"/>
      <c r="C606" s="12" t="n"/>
      <c r="D606" s="12" t="n"/>
      <c r="E606" s="12" t="n"/>
      <c r="F606" s="12" t="n"/>
      <c r="G606" s="12" t="n"/>
      <c r="H606" s="12" t="n"/>
      <c r="I606" s="12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</row>
    <row r="607">
      <c r="A607" s="19" t="n"/>
      <c r="B607" s="41" t="n"/>
      <c r="C607" s="12" t="n"/>
      <c r="D607" s="12" t="n"/>
      <c r="E607" s="12" t="n"/>
      <c r="F607" s="12" t="n"/>
      <c r="G607" s="12" t="n"/>
      <c r="H607" s="12" t="n"/>
      <c r="I607" s="12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</row>
    <row r="608">
      <c r="A608" s="19" t="n"/>
      <c r="B608" s="41" t="n"/>
      <c r="C608" s="12" t="n"/>
      <c r="D608" s="12" t="n"/>
      <c r="E608" s="12" t="n"/>
      <c r="F608" s="12" t="n"/>
      <c r="G608" s="12" t="n"/>
      <c r="H608" s="12" t="n"/>
      <c r="I608" s="12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</row>
    <row r="609">
      <c r="A609" s="19" t="n"/>
      <c r="B609" s="41" t="n"/>
      <c r="C609" s="12" t="n"/>
      <c r="D609" s="12" t="n"/>
      <c r="E609" s="12" t="n"/>
      <c r="F609" s="12" t="n"/>
      <c r="G609" s="12" t="n"/>
      <c r="H609" s="12" t="n"/>
      <c r="I609" s="12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</row>
    <row r="610">
      <c r="A610" s="19" t="n"/>
      <c r="B610" s="41" t="n"/>
      <c r="C610" s="12" t="n"/>
      <c r="D610" s="12" t="n"/>
      <c r="E610" s="12" t="n"/>
      <c r="F610" s="12" t="n"/>
      <c r="G610" s="12" t="n"/>
      <c r="H610" s="12" t="n"/>
      <c r="I610" s="12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</row>
    <row r="611">
      <c r="A611" s="19" t="n"/>
      <c r="B611" s="41" t="n"/>
      <c r="C611" s="12" t="n"/>
      <c r="D611" s="12" t="n"/>
      <c r="E611" s="12" t="n"/>
      <c r="F611" s="12" t="n"/>
      <c r="G611" s="12" t="n"/>
      <c r="H611" s="12" t="n"/>
      <c r="I611" s="12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</row>
    <row r="612">
      <c r="A612" s="19" t="n"/>
      <c r="B612" s="41" t="n"/>
      <c r="C612" s="12" t="n"/>
      <c r="D612" s="12" t="n"/>
      <c r="E612" s="12" t="n"/>
      <c r="F612" s="12" t="n"/>
      <c r="G612" s="12" t="n"/>
      <c r="H612" s="12" t="n"/>
      <c r="I612" s="12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</row>
    <row r="613">
      <c r="A613" s="19" t="n"/>
      <c r="B613" s="41" t="n"/>
      <c r="C613" s="12" t="n"/>
      <c r="D613" s="12" t="n"/>
      <c r="E613" s="12" t="n"/>
      <c r="F613" s="12" t="n"/>
      <c r="G613" s="12" t="n"/>
      <c r="H613" s="12" t="n"/>
      <c r="I613" s="12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</row>
    <row r="614">
      <c r="A614" s="19" t="n"/>
      <c r="B614" s="41" t="n"/>
      <c r="C614" s="12" t="n"/>
      <c r="D614" s="12" t="n"/>
      <c r="E614" s="12" t="n"/>
      <c r="F614" s="12" t="n"/>
      <c r="G614" s="12" t="n"/>
      <c r="H614" s="12" t="n"/>
      <c r="I614" s="12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</row>
    <row r="615">
      <c r="A615" s="19" t="n"/>
      <c r="B615" s="41" t="n"/>
      <c r="C615" s="12" t="n"/>
      <c r="D615" s="12" t="n"/>
      <c r="E615" s="12" t="n"/>
      <c r="F615" s="12" t="n"/>
      <c r="G615" s="12" t="n"/>
      <c r="H615" s="12" t="n"/>
      <c r="I615" s="12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</row>
    <row r="616">
      <c r="A616" s="19" t="n"/>
      <c r="B616" s="41" t="n"/>
      <c r="C616" s="12" t="n"/>
      <c r="D616" s="12" t="n"/>
      <c r="E616" s="12" t="n"/>
      <c r="F616" s="12" t="n"/>
      <c r="G616" s="12" t="n"/>
      <c r="H616" s="12" t="n"/>
      <c r="I616" s="12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</row>
    <row r="617">
      <c r="A617" s="19" t="n"/>
      <c r="B617" s="41" t="n"/>
      <c r="C617" s="12" t="n"/>
      <c r="D617" s="12" t="n"/>
      <c r="E617" s="12" t="n"/>
      <c r="F617" s="12" t="n"/>
      <c r="G617" s="12" t="n"/>
      <c r="H617" s="12" t="n"/>
      <c r="I617" s="12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</row>
    <row r="618">
      <c r="A618" s="19" t="n"/>
      <c r="B618" s="41" t="n"/>
      <c r="C618" s="12" t="n"/>
      <c r="D618" s="12" t="n"/>
      <c r="E618" s="12" t="n"/>
      <c r="F618" s="12" t="n"/>
      <c r="G618" s="12" t="n"/>
      <c r="H618" s="12" t="n"/>
      <c r="I618" s="12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</row>
    <row r="619">
      <c r="A619" s="19" t="n"/>
      <c r="B619" s="41" t="n"/>
      <c r="C619" s="12" t="n"/>
      <c r="D619" s="12" t="n"/>
      <c r="E619" s="12" t="n"/>
      <c r="F619" s="12" t="n"/>
      <c r="G619" s="12" t="n"/>
      <c r="H619" s="12" t="n"/>
      <c r="I619" s="12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</row>
    <row r="620">
      <c r="A620" s="19" t="n"/>
      <c r="B620" s="41" t="n"/>
      <c r="C620" s="12" t="n"/>
      <c r="D620" s="12" t="n"/>
      <c r="E620" s="12" t="n"/>
      <c r="F620" s="12" t="n"/>
      <c r="G620" s="12" t="n"/>
      <c r="H620" s="12" t="n"/>
      <c r="I620" s="12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</row>
    <row r="621">
      <c r="A621" s="19" t="n"/>
      <c r="B621" s="41" t="n"/>
      <c r="C621" s="12" t="n"/>
      <c r="D621" s="12" t="n"/>
      <c r="E621" s="12" t="n"/>
      <c r="F621" s="12" t="n"/>
      <c r="G621" s="12" t="n"/>
      <c r="H621" s="12" t="n"/>
      <c r="I621" s="12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</row>
    <row r="622">
      <c r="A622" s="19" t="n"/>
      <c r="B622" s="41" t="n"/>
      <c r="C622" s="12" t="n"/>
      <c r="D622" s="12" t="n"/>
      <c r="E622" s="12" t="n"/>
      <c r="F622" s="12" t="n"/>
      <c r="G622" s="12" t="n"/>
      <c r="H622" s="12" t="n"/>
      <c r="I622" s="12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</row>
    <row r="623">
      <c r="A623" s="19" t="n"/>
      <c r="B623" s="41" t="n"/>
      <c r="C623" s="12" t="n"/>
      <c r="D623" s="12" t="n"/>
      <c r="E623" s="12" t="n"/>
      <c r="F623" s="12" t="n"/>
      <c r="G623" s="12" t="n"/>
      <c r="H623" s="12" t="n"/>
      <c r="I623" s="12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</row>
    <row r="624">
      <c r="A624" s="19" t="n"/>
      <c r="B624" s="41" t="n"/>
      <c r="C624" s="12" t="n"/>
      <c r="D624" s="12" t="n"/>
      <c r="E624" s="12" t="n"/>
      <c r="F624" s="12" t="n"/>
      <c r="G624" s="12" t="n"/>
      <c r="H624" s="12" t="n"/>
      <c r="I624" s="12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</row>
    <row r="625">
      <c r="A625" s="19" t="n"/>
      <c r="B625" s="41" t="n"/>
      <c r="C625" s="12" t="n"/>
      <c r="D625" s="12" t="n"/>
      <c r="E625" s="12" t="n"/>
      <c r="F625" s="12" t="n"/>
      <c r="G625" s="12" t="n"/>
      <c r="H625" s="12" t="n"/>
      <c r="I625" s="12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</row>
    <row r="626">
      <c r="A626" s="19" t="n"/>
      <c r="B626" s="41" t="n"/>
      <c r="C626" s="12" t="n"/>
      <c r="D626" s="12" t="n"/>
      <c r="E626" s="12" t="n"/>
      <c r="F626" s="12" t="n"/>
      <c r="G626" s="12" t="n"/>
      <c r="H626" s="12" t="n"/>
      <c r="I626" s="12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</row>
    <row r="627">
      <c r="A627" s="19" t="n"/>
      <c r="B627" s="41" t="n"/>
      <c r="C627" s="12" t="n"/>
      <c r="D627" s="12" t="n"/>
      <c r="E627" s="12" t="n"/>
      <c r="F627" s="12" t="n"/>
      <c r="G627" s="12" t="n"/>
      <c r="H627" s="12" t="n"/>
      <c r="I627" s="12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</row>
    <row r="628">
      <c r="A628" s="19" t="n"/>
      <c r="B628" s="41" t="n"/>
      <c r="C628" s="12" t="n"/>
      <c r="D628" s="12" t="n"/>
      <c r="E628" s="12" t="n"/>
      <c r="F628" s="12" t="n"/>
      <c r="G628" s="12" t="n"/>
      <c r="H628" s="12" t="n"/>
      <c r="I628" s="12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</row>
    <row r="629">
      <c r="A629" s="19" t="n"/>
      <c r="B629" s="41" t="n"/>
      <c r="C629" s="12" t="n"/>
      <c r="D629" s="12" t="n"/>
      <c r="E629" s="12" t="n"/>
      <c r="F629" s="12" t="n"/>
      <c r="G629" s="12" t="n"/>
      <c r="H629" s="12" t="n"/>
      <c r="I629" s="12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</row>
    <row r="630">
      <c r="A630" s="19" t="n"/>
      <c r="B630" s="41" t="n"/>
      <c r="C630" s="12" t="n"/>
      <c r="D630" s="12" t="n"/>
      <c r="E630" s="12" t="n"/>
      <c r="F630" s="12" t="n"/>
      <c r="G630" s="12" t="n"/>
      <c r="H630" s="12" t="n"/>
      <c r="I630" s="12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</row>
    <row r="631">
      <c r="A631" s="19" t="n"/>
      <c r="B631" s="41" t="n"/>
      <c r="C631" s="12" t="n"/>
      <c r="D631" s="12" t="n"/>
      <c r="E631" s="12" t="n"/>
      <c r="F631" s="12" t="n"/>
      <c r="G631" s="12" t="n"/>
      <c r="H631" s="12" t="n"/>
      <c r="I631" s="12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</row>
    <row r="632">
      <c r="A632" s="19" t="n"/>
      <c r="B632" s="41" t="n"/>
      <c r="C632" s="12" t="n"/>
      <c r="D632" s="12" t="n"/>
      <c r="E632" s="12" t="n"/>
      <c r="F632" s="12" t="n"/>
      <c r="G632" s="12" t="n"/>
      <c r="H632" s="12" t="n"/>
      <c r="I632" s="12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</row>
    <row r="633">
      <c r="A633" s="19" t="n"/>
      <c r="B633" s="41" t="n"/>
      <c r="C633" s="12" t="n"/>
      <c r="D633" s="12" t="n"/>
      <c r="E633" s="12" t="n"/>
      <c r="F633" s="12" t="n"/>
      <c r="G633" s="12" t="n"/>
      <c r="H633" s="12" t="n"/>
      <c r="I633" s="12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</row>
    <row r="634">
      <c r="A634" s="19" t="n"/>
      <c r="B634" s="41" t="n"/>
      <c r="C634" s="12" t="n"/>
      <c r="D634" s="12" t="n"/>
      <c r="E634" s="12" t="n"/>
      <c r="F634" s="12" t="n"/>
      <c r="G634" s="12" t="n"/>
      <c r="H634" s="12" t="n"/>
      <c r="I634" s="12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</row>
    <row r="635">
      <c r="A635" s="19" t="n"/>
      <c r="B635" s="41" t="n"/>
      <c r="C635" s="12" t="n"/>
      <c r="D635" s="12" t="n"/>
      <c r="E635" s="12" t="n"/>
      <c r="F635" s="12" t="n"/>
      <c r="G635" s="12" t="n"/>
      <c r="H635" s="12" t="n"/>
      <c r="I635" s="12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</row>
    <row r="636">
      <c r="A636" s="19" t="n"/>
      <c r="B636" s="41" t="n"/>
      <c r="C636" s="12" t="n"/>
      <c r="D636" s="12" t="n"/>
      <c r="E636" s="12" t="n"/>
      <c r="F636" s="12" t="n"/>
      <c r="G636" s="12" t="n"/>
      <c r="H636" s="12" t="n"/>
      <c r="I636" s="12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</row>
    <row r="637">
      <c r="A637" s="19" t="n"/>
      <c r="B637" s="41" t="n"/>
      <c r="C637" s="12" t="n"/>
      <c r="D637" s="12" t="n"/>
      <c r="E637" s="12" t="n"/>
      <c r="F637" s="12" t="n"/>
      <c r="G637" s="12" t="n"/>
      <c r="H637" s="12" t="n"/>
      <c r="I637" s="12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</row>
    <row r="638">
      <c r="A638" s="19" t="n"/>
      <c r="B638" s="41" t="n"/>
      <c r="C638" s="12" t="n"/>
      <c r="D638" s="12" t="n"/>
      <c r="E638" s="12" t="n"/>
      <c r="F638" s="12" t="n"/>
      <c r="G638" s="12" t="n"/>
      <c r="H638" s="12" t="n"/>
      <c r="I638" s="12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</row>
    <row r="639">
      <c r="A639" s="19" t="n"/>
      <c r="B639" s="41" t="n"/>
      <c r="C639" s="12" t="n"/>
      <c r="D639" s="12" t="n"/>
      <c r="E639" s="12" t="n"/>
      <c r="F639" s="12" t="n"/>
      <c r="G639" s="12" t="n"/>
      <c r="H639" s="12" t="n"/>
      <c r="I639" s="12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</row>
    <row r="640">
      <c r="A640" s="19" t="n"/>
      <c r="B640" s="41" t="n"/>
      <c r="C640" s="12" t="n"/>
      <c r="D640" s="12" t="n"/>
      <c r="E640" s="12" t="n"/>
      <c r="F640" s="12" t="n"/>
      <c r="G640" s="12" t="n"/>
      <c r="H640" s="12" t="n"/>
      <c r="I640" s="12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</row>
    <row r="641">
      <c r="A641" s="19" t="n"/>
      <c r="B641" s="41" t="n"/>
      <c r="C641" s="12" t="n"/>
      <c r="D641" s="12" t="n"/>
      <c r="E641" s="12" t="n"/>
      <c r="F641" s="12" t="n"/>
      <c r="G641" s="12" t="n"/>
      <c r="H641" s="12" t="n"/>
      <c r="I641" s="12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</row>
    <row r="642">
      <c r="A642" s="19" t="n"/>
      <c r="B642" s="41" t="n"/>
      <c r="C642" s="12" t="n"/>
      <c r="D642" s="12" t="n"/>
      <c r="E642" s="12" t="n"/>
      <c r="F642" s="12" t="n"/>
      <c r="G642" s="12" t="n"/>
      <c r="H642" s="12" t="n"/>
      <c r="I642" s="12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</row>
    <row r="643">
      <c r="A643" s="19" t="n"/>
      <c r="B643" s="41" t="n"/>
      <c r="C643" s="12" t="n"/>
      <c r="D643" s="12" t="n"/>
      <c r="E643" s="12" t="n"/>
      <c r="F643" s="12" t="n"/>
      <c r="G643" s="12" t="n"/>
      <c r="H643" s="12" t="n"/>
      <c r="I643" s="12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</row>
    <row r="644">
      <c r="A644" s="19" t="n"/>
      <c r="B644" s="41" t="n"/>
      <c r="C644" s="12" t="n"/>
      <c r="D644" s="12" t="n"/>
      <c r="E644" s="12" t="n"/>
      <c r="F644" s="12" t="n"/>
      <c r="G644" s="12" t="n"/>
      <c r="H644" s="12" t="n"/>
      <c r="I644" s="12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</row>
    <row r="645">
      <c r="A645" s="19" t="n"/>
      <c r="B645" s="41" t="n"/>
      <c r="C645" s="12" t="n"/>
      <c r="D645" s="12" t="n"/>
      <c r="E645" s="12" t="n"/>
      <c r="F645" s="12" t="n"/>
      <c r="G645" s="12" t="n"/>
      <c r="H645" s="12" t="n"/>
      <c r="I645" s="12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</row>
    <row r="646">
      <c r="A646" s="19" t="n"/>
      <c r="B646" s="41" t="n"/>
      <c r="C646" s="12" t="n"/>
      <c r="D646" s="12" t="n"/>
      <c r="E646" s="12" t="n"/>
      <c r="F646" s="12" t="n"/>
      <c r="G646" s="12" t="n"/>
      <c r="H646" s="12" t="n"/>
      <c r="I646" s="12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</row>
    <row r="647">
      <c r="A647" s="19" t="n"/>
      <c r="B647" s="41" t="n"/>
      <c r="C647" s="12" t="n"/>
      <c r="D647" s="12" t="n"/>
      <c r="E647" s="12" t="n"/>
      <c r="F647" s="12" t="n"/>
      <c r="G647" s="12" t="n"/>
      <c r="H647" s="12" t="n"/>
      <c r="I647" s="12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</row>
    <row r="648">
      <c r="A648" s="19" t="n"/>
      <c r="B648" s="41" t="n"/>
      <c r="C648" s="12" t="n"/>
      <c r="D648" s="12" t="n"/>
      <c r="E648" s="12" t="n"/>
      <c r="F648" s="12" t="n"/>
      <c r="G648" s="12" t="n"/>
      <c r="H648" s="12" t="n"/>
      <c r="I648" s="12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</row>
    <row r="649">
      <c r="A649" s="19" t="n"/>
      <c r="B649" s="41" t="n"/>
      <c r="C649" s="12" t="n"/>
      <c r="D649" s="12" t="n"/>
      <c r="E649" s="12" t="n"/>
      <c r="F649" s="12" t="n"/>
      <c r="G649" s="12" t="n"/>
      <c r="H649" s="12" t="n"/>
      <c r="I649" s="12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</row>
    <row r="650">
      <c r="A650" s="19" t="n"/>
      <c r="B650" s="41" t="n"/>
      <c r="C650" s="12" t="n"/>
      <c r="D650" s="12" t="n"/>
      <c r="E650" s="12" t="n"/>
      <c r="F650" s="12" t="n"/>
      <c r="G650" s="12" t="n"/>
      <c r="H650" s="12" t="n"/>
      <c r="I650" s="12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</row>
    <row r="651">
      <c r="A651" s="19" t="n"/>
      <c r="B651" s="41" t="n"/>
      <c r="C651" s="12" t="n"/>
      <c r="D651" s="12" t="n"/>
      <c r="E651" s="12" t="n"/>
      <c r="F651" s="12" t="n"/>
      <c r="G651" s="12" t="n"/>
      <c r="H651" s="12" t="n"/>
      <c r="I651" s="12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</row>
    <row r="652">
      <c r="A652" s="19" t="n"/>
      <c r="B652" s="41" t="n"/>
      <c r="C652" s="12" t="n"/>
      <c r="D652" s="12" t="n"/>
      <c r="E652" s="12" t="n"/>
      <c r="F652" s="12" t="n"/>
      <c r="G652" s="12" t="n"/>
      <c r="H652" s="12" t="n"/>
      <c r="I652" s="12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</row>
    <row r="653">
      <c r="A653" s="19" t="n"/>
      <c r="B653" s="41" t="n"/>
      <c r="C653" s="12" t="n"/>
      <c r="D653" s="12" t="n"/>
      <c r="E653" s="12" t="n"/>
      <c r="F653" s="12" t="n"/>
      <c r="G653" s="12" t="n"/>
      <c r="H653" s="12" t="n"/>
      <c r="I653" s="12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</row>
    <row r="654">
      <c r="A654" s="19" t="n"/>
      <c r="B654" s="41" t="n"/>
      <c r="C654" s="12" t="n"/>
      <c r="D654" s="12" t="n"/>
      <c r="E654" s="12" t="n"/>
      <c r="F654" s="12" t="n"/>
      <c r="G654" s="12" t="n"/>
      <c r="H654" s="12" t="n"/>
      <c r="I654" s="12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</row>
    <row r="655">
      <c r="A655" s="19" t="n"/>
      <c r="B655" s="41" t="n"/>
      <c r="C655" s="12" t="n"/>
      <c r="D655" s="12" t="n"/>
      <c r="E655" s="12" t="n"/>
      <c r="F655" s="12" t="n"/>
      <c r="G655" s="12" t="n"/>
      <c r="H655" s="12" t="n"/>
      <c r="I655" s="12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</row>
    <row r="656">
      <c r="A656" s="19" t="n"/>
      <c r="B656" s="41" t="n"/>
      <c r="C656" s="12" t="n"/>
      <c r="D656" s="12" t="n"/>
      <c r="E656" s="12" t="n"/>
      <c r="F656" s="12" t="n"/>
      <c r="G656" s="12" t="n"/>
      <c r="H656" s="12" t="n"/>
      <c r="I656" s="12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</row>
    <row r="657">
      <c r="A657" s="19" t="n"/>
      <c r="B657" s="41" t="n"/>
      <c r="C657" s="12" t="n"/>
      <c r="D657" s="12" t="n"/>
      <c r="E657" s="12" t="n"/>
      <c r="F657" s="12" t="n"/>
      <c r="G657" s="12" t="n"/>
      <c r="H657" s="12" t="n"/>
      <c r="I657" s="12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</row>
    <row r="658">
      <c r="A658" s="19" t="n"/>
      <c r="B658" s="41" t="n"/>
      <c r="C658" s="12" t="n"/>
      <c r="D658" s="12" t="n"/>
      <c r="E658" s="12" t="n"/>
      <c r="F658" s="12" t="n"/>
      <c r="G658" s="12" t="n"/>
      <c r="H658" s="12" t="n"/>
      <c r="I658" s="12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</row>
    <row r="659">
      <c r="A659" s="19" t="n"/>
      <c r="B659" s="41" t="n"/>
      <c r="C659" s="12" t="n"/>
      <c r="D659" s="12" t="n"/>
      <c r="E659" s="12" t="n"/>
      <c r="F659" s="12" t="n"/>
      <c r="G659" s="12" t="n"/>
      <c r="H659" s="12" t="n"/>
      <c r="I659" s="12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</row>
    <row r="660">
      <c r="A660" s="19" t="n"/>
      <c r="B660" s="41" t="n"/>
      <c r="C660" s="12" t="n"/>
      <c r="D660" s="12" t="n"/>
      <c r="E660" s="12" t="n"/>
      <c r="F660" s="12" t="n"/>
      <c r="G660" s="12" t="n"/>
      <c r="H660" s="12" t="n"/>
      <c r="I660" s="12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</row>
    <row r="661">
      <c r="A661" s="19" t="n"/>
      <c r="B661" s="41" t="n"/>
      <c r="C661" s="12" t="n"/>
      <c r="D661" s="12" t="n"/>
      <c r="E661" s="12" t="n"/>
      <c r="F661" s="12" t="n"/>
      <c r="G661" s="12" t="n"/>
      <c r="H661" s="12" t="n"/>
      <c r="I661" s="12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</row>
    <row r="662">
      <c r="A662" s="19" t="n"/>
      <c r="B662" s="41" t="n"/>
      <c r="C662" s="12" t="n"/>
      <c r="D662" s="12" t="n"/>
      <c r="E662" s="12" t="n"/>
      <c r="F662" s="12" t="n"/>
      <c r="G662" s="12" t="n"/>
      <c r="H662" s="12" t="n"/>
      <c r="I662" s="12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</row>
    <row r="663">
      <c r="A663" s="19" t="n"/>
      <c r="B663" s="41" t="n"/>
      <c r="C663" s="12" t="n"/>
      <c r="D663" s="12" t="n"/>
      <c r="E663" s="12" t="n"/>
      <c r="F663" s="12" t="n"/>
      <c r="G663" s="12" t="n"/>
      <c r="H663" s="12" t="n"/>
      <c r="I663" s="12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</row>
    <row r="664">
      <c r="A664" s="19" t="n"/>
      <c r="B664" s="41" t="n"/>
      <c r="C664" s="12" t="n"/>
      <c r="D664" s="12" t="n"/>
      <c r="E664" s="12" t="n"/>
      <c r="F664" s="12" t="n"/>
      <c r="G664" s="12" t="n"/>
      <c r="H664" s="12" t="n"/>
      <c r="I664" s="12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</row>
    <row r="665">
      <c r="A665" s="19" t="n"/>
      <c r="B665" s="41" t="n"/>
      <c r="C665" s="12" t="n"/>
      <c r="D665" s="12" t="n"/>
      <c r="E665" s="12" t="n"/>
      <c r="F665" s="12" t="n"/>
      <c r="G665" s="12" t="n"/>
      <c r="H665" s="12" t="n"/>
      <c r="I665" s="12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</row>
    <row r="666">
      <c r="A666" s="19" t="n"/>
      <c r="B666" s="41" t="n"/>
      <c r="C666" s="12" t="n"/>
      <c r="D666" s="12" t="n"/>
      <c r="E666" s="12" t="n"/>
      <c r="F666" s="12" t="n"/>
      <c r="G666" s="12" t="n"/>
      <c r="H666" s="12" t="n"/>
      <c r="I666" s="12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</row>
    <row r="667">
      <c r="A667" s="19" t="n"/>
      <c r="B667" s="41" t="n"/>
      <c r="C667" s="12" t="n"/>
      <c r="D667" s="12" t="n"/>
      <c r="E667" s="12" t="n"/>
      <c r="F667" s="12" t="n"/>
      <c r="G667" s="12" t="n"/>
      <c r="H667" s="12" t="n"/>
      <c r="I667" s="12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</row>
    <row r="668">
      <c r="A668" s="19" t="n"/>
      <c r="B668" s="41" t="n"/>
      <c r="C668" s="12" t="n"/>
      <c r="D668" s="12" t="n"/>
      <c r="E668" s="12" t="n"/>
      <c r="F668" s="12" t="n"/>
      <c r="G668" s="12" t="n"/>
      <c r="H668" s="12" t="n"/>
      <c r="I668" s="12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</row>
    <row r="669">
      <c r="A669" s="19" t="n"/>
      <c r="B669" s="41" t="n"/>
      <c r="C669" s="12" t="n"/>
      <c r="D669" s="12" t="n"/>
      <c r="E669" s="12" t="n"/>
      <c r="F669" s="12" t="n"/>
      <c r="G669" s="12" t="n"/>
      <c r="H669" s="12" t="n"/>
      <c r="I669" s="12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</row>
    <row r="670">
      <c r="A670" s="19" t="n"/>
      <c r="B670" s="41" t="n"/>
      <c r="C670" s="12" t="n"/>
      <c r="D670" s="12" t="n"/>
      <c r="E670" s="12" t="n"/>
      <c r="F670" s="12" t="n"/>
      <c r="G670" s="12" t="n"/>
      <c r="H670" s="12" t="n"/>
      <c r="I670" s="12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</row>
    <row r="671">
      <c r="A671" s="19" t="n"/>
      <c r="B671" s="41" t="n"/>
      <c r="C671" s="12" t="n"/>
      <c r="D671" s="12" t="n"/>
      <c r="E671" s="12" t="n"/>
      <c r="F671" s="12" t="n"/>
      <c r="G671" s="12" t="n"/>
      <c r="H671" s="12" t="n"/>
      <c r="I671" s="12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</row>
    <row r="672">
      <c r="A672" s="19" t="n"/>
      <c r="B672" s="41" t="n"/>
      <c r="C672" s="12" t="n"/>
      <c r="D672" s="12" t="n"/>
      <c r="E672" s="12" t="n"/>
      <c r="F672" s="12" t="n"/>
      <c r="G672" s="12" t="n"/>
      <c r="H672" s="12" t="n"/>
      <c r="I672" s="12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</row>
    <row r="673">
      <c r="A673" s="19" t="n"/>
      <c r="B673" s="41" t="n"/>
      <c r="C673" s="12" t="n"/>
      <c r="D673" s="12" t="n"/>
      <c r="E673" s="12" t="n"/>
      <c r="F673" s="12" t="n"/>
      <c r="G673" s="12" t="n"/>
      <c r="H673" s="12" t="n"/>
      <c r="I673" s="12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</row>
    <row r="674">
      <c r="A674" s="19" t="n"/>
      <c r="B674" s="41" t="n"/>
      <c r="C674" s="12" t="n"/>
      <c r="D674" s="12" t="n"/>
      <c r="E674" s="12" t="n"/>
      <c r="F674" s="12" t="n"/>
      <c r="G674" s="12" t="n"/>
      <c r="H674" s="12" t="n"/>
      <c r="I674" s="12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</row>
    <row r="675">
      <c r="A675" s="19" t="n"/>
      <c r="B675" s="41" t="n"/>
      <c r="C675" s="12" t="n"/>
      <c r="D675" s="12" t="n"/>
      <c r="E675" s="12" t="n"/>
      <c r="F675" s="12" t="n"/>
      <c r="G675" s="12" t="n"/>
      <c r="H675" s="12" t="n"/>
      <c r="I675" s="12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</row>
    <row r="676">
      <c r="A676" s="19" t="n"/>
      <c r="B676" s="41" t="n"/>
      <c r="C676" s="12" t="n"/>
      <c r="D676" s="12" t="n"/>
      <c r="E676" s="12" t="n"/>
      <c r="F676" s="12" t="n"/>
      <c r="G676" s="12" t="n"/>
      <c r="H676" s="12" t="n"/>
      <c r="I676" s="12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</row>
    <row r="677">
      <c r="A677" s="19" t="n"/>
      <c r="B677" s="41" t="n"/>
      <c r="C677" s="12" t="n"/>
      <c r="D677" s="12" t="n"/>
      <c r="E677" s="12" t="n"/>
      <c r="F677" s="12" t="n"/>
      <c r="G677" s="12" t="n"/>
      <c r="H677" s="12" t="n"/>
      <c r="I677" s="12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</row>
    <row r="678">
      <c r="A678" s="19" t="n"/>
      <c r="B678" s="41" t="n"/>
      <c r="C678" s="12" t="n"/>
      <c r="D678" s="12" t="n"/>
      <c r="E678" s="12" t="n"/>
      <c r="F678" s="12" t="n"/>
      <c r="G678" s="12" t="n"/>
      <c r="H678" s="12" t="n"/>
      <c r="I678" s="12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</row>
    <row r="679">
      <c r="A679" s="19" t="n"/>
      <c r="B679" s="41" t="n"/>
      <c r="C679" s="12" t="n"/>
      <c r="D679" s="12" t="n"/>
      <c r="E679" s="12" t="n"/>
      <c r="F679" s="12" t="n"/>
      <c r="G679" s="12" t="n"/>
      <c r="H679" s="12" t="n"/>
      <c r="I679" s="12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</row>
    <row r="680">
      <c r="A680" s="19" t="n"/>
      <c r="B680" s="41" t="n"/>
      <c r="C680" s="12" t="n"/>
      <c r="D680" s="12" t="n"/>
      <c r="E680" s="12" t="n"/>
      <c r="F680" s="12" t="n"/>
      <c r="G680" s="12" t="n"/>
      <c r="H680" s="12" t="n"/>
      <c r="I680" s="12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</row>
    <row r="681">
      <c r="A681" s="19" t="n"/>
      <c r="B681" s="41" t="n"/>
      <c r="C681" s="12" t="n"/>
      <c r="D681" s="12" t="n"/>
      <c r="E681" s="12" t="n"/>
      <c r="F681" s="12" t="n"/>
      <c r="G681" s="12" t="n"/>
      <c r="H681" s="12" t="n"/>
      <c r="I681" s="12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</row>
    <row r="682">
      <c r="A682" s="19" t="n"/>
      <c r="B682" s="41" t="n"/>
      <c r="C682" s="12" t="n"/>
      <c r="D682" s="12" t="n"/>
      <c r="E682" s="12" t="n"/>
      <c r="F682" s="12" t="n"/>
      <c r="G682" s="12" t="n"/>
      <c r="H682" s="12" t="n"/>
      <c r="I682" s="12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</row>
    <row r="683">
      <c r="A683" s="19" t="n"/>
      <c r="B683" s="41" t="n"/>
      <c r="C683" s="12" t="n"/>
      <c r="D683" s="12" t="n"/>
      <c r="E683" s="12" t="n"/>
      <c r="F683" s="12" t="n"/>
      <c r="G683" s="12" t="n"/>
      <c r="H683" s="12" t="n"/>
      <c r="I683" s="12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</row>
    <row r="684">
      <c r="A684" s="19" t="n"/>
      <c r="B684" s="41" t="n"/>
      <c r="C684" s="12" t="n"/>
      <c r="D684" s="12" t="n"/>
      <c r="E684" s="12" t="n"/>
      <c r="F684" s="12" t="n"/>
      <c r="G684" s="12" t="n"/>
      <c r="H684" s="12" t="n"/>
      <c r="I684" s="12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</row>
    <row r="685">
      <c r="A685" s="19" t="n"/>
      <c r="B685" s="41" t="n"/>
      <c r="C685" s="12" t="n"/>
      <c r="D685" s="12" t="n"/>
      <c r="E685" s="12" t="n"/>
      <c r="F685" s="12" t="n"/>
      <c r="G685" s="12" t="n"/>
      <c r="H685" s="12" t="n"/>
      <c r="I685" s="12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</row>
    <row r="686">
      <c r="A686" s="19" t="n"/>
      <c r="B686" s="41" t="n"/>
      <c r="C686" s="12" t="n"/>
      <c r="D686" s="12" t="n"/>
      <c r="E686" s="12" t="n"/>
      <c r="F686" s="12" t="n"/>
      <c r="G686" s="12" t="n"/>
      <c r="H686" s="12" t="n"/>
      <c r="I686" s="12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</row>
    <row r="687">
      <c r="A687" s="19" t="n"/>
      <c r="B687" s="41" t="n"/>
      <c r="C687" s="12" t="n"/>
      <c r="D687" s="12" t="n"/>
      <c r="E687" s="12" t="n"/>
      <c r="F687" s="12" t="n"/>
      <c r="G687" s="12" t="n"/>
      <c r="H687" s="12" t="n"/>
      <c r="I687" s="12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</row>
    <row r="688">
      <c r="A688" s="19" t="n"/>
      <c r="B688" s="41" t="n"/>
      <c r="C688" s="12" t="n"/>
      <c r="D688" s="12" t="n"/>
      <c r="E688" s="12" t="n"/>
      <c r="F688" s="12" t="n"/>
      <c r="G688" s="12" t="n"/>
      <c r="H688" s="12" t="n"/>
      <c r="I688" s="12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</row>
    <row r="689">
      <c r="A689" s="19" t="n"/>
      <c r="B689" s="41" t="n"/>
      <c r="C689" s="12" t="n"/>
      <c r="D689" s="12" t="n"/>
      <c r="E689" s="12" t="n"/>
      <c r="F689" s="12" t="n"/>
      <c r="G689" s="12" t="n"/>
      <c r="H689" s="12" t="n"/>
      <c r="I689" s="12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</row>
    <row r="690">
      <c r="A690" s="19" t="n"/>
      <c r="B690" s="41" t="n"/>
      <c r="C690" s="12" t="n"/>
      <c r="D690" s="12" t="n"/>
      <c r="E690" s="12" t="n"/>
      <c r="F690" s="12" t="n"/>
      <c r="G690" s="12" t="n"/>
      <c r="H690" s="12" t="n"/>
      <c r="I690" s="12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</row>
    <row r="691">
      <c r="A691" s="19" t="n"/>
      <c r="B691" s="41" t="n"/>
      <c r="C691" s="12" t="n"/>
      <c r="D691" s="12" t="n"/>
      <c r="E691" s="12" t="n"/>
      <c r="F691" s="12" t="n"/>
      <c r="G691" s="12" t="n"/>
      <c r="H691" s="12" t="n"/>
      <c r="I691" s="12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</row>
    <row r="692">
      <c r="A692" s="19" t="n"/>
      <c r="B692" s="41" t="n"/>
      <c r="C692" s="12" t="n"/>
      <c r="D692" s="12" t="n"/>
      <c r="E692" s="12" t="n"/>
      <c r="F692" s="12" t="n"/>
      <c r="G692" s="12" t="n"/>
      <c r="H692" s="12" t="n"/>
      <c r="I692" s="12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</row>
    <row r="693">
      <c r="A693" s="19" t="n"/>
      <c r="B693" s="41" t="n"/>
      <c r="C693" s="12" t="n"/>
      <c r="D693" s="12" t="n"/>
      <c r="E693" s="12" t="n"/>
      <c r="F693" s="12" t="n"/>
      <c r="G693" s="12" t="n"/>
      <c r="H693" s="12" t="n"/>
      <c r="I693" s="12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</row>
    <row r="694">
      <c r="A694" s="19" t="n"/>
      <c r="B694" s="41" t="n"/>
      <c r="C694" s="12" t="n"/>
      <c r="D694" s="12" t="n"/>
      <c r="E694" s="12" t="n"/>
      <c r="F694" s="12" t="n"/>
      <c r="G694" s="12" t="n"/>
      <c r="H694" s="12" t="n"/>
      <c r="I694" s="12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</row>
    <row r="695">
      <c r="A695" s="19" t="n"/>
      <c r="B695" s="41" t="n"/>
      <c r="C695" s="12" t="n"/>
      <c r="D695" s="12" t="n"/>
      <c r="E695" s="12" t="n"/>
      <c r="F695" s="12" t="n"/>
      <c r="G695" s="12" t="n"/>
      <c r="H695" s="12" t="n"/>
      <c r="I695" s="12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</row>
    <row r="696">
      <c r="A696" s="19" t="n"/>
      <c r="B696" s="41" t="n"/>
      <c r="C696" s="12" t="n"/>
      <c r="D696" s="12" t="n"/>
      <c r="E696" s="12" t="n"/>
      <c r="F696" s="12" t="n"/>
      <c r="G696" s="12" t="n"/>
      <c r="H696" s="12" t="n"/>
      <c r="I696" s="12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</row>
    <row r="697">
      <c r="A697" s="19" t="n"/>
      <c r="B697" s="41" t="n"/>
      <c r="C697" s="12" t="n"/>
      <c r="D697" s="12" t="n"/>
      <c r="E697" s="12" t="n"/>
      <c r="F697" s="12" t="n"/>
      <c r="G697" s="12" t="n"/>
      <c r="H697" s="12" t="n"/>
      <c r="I697" s="12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</row>
    <row r="698">
      <c r="A698" s="19" t="n"/>
      <c r="B698" s="41" t="n"/>
      <c r="C698" s="12" t="n"/>
      <c r="D698" s="12" t="n"/>
      <c r="E698" s="12" t="n"/>
      <c r="F698" s="12" t="n"/>
      <c r="G698" s="12" t="n"/>
      <c r="H698" s="12" t="n"/>
      <c r="I698" s="12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</row>
    <row r="699">
      <c r="A699" s="19" t="n"/>
      <c r="B699" s="41" t="n"/>
      <c r="C699" s="12" t="n"/>
      <c r="D699" s="12" t="n"/>
      <c r="E699" s="12" t="n"/>
      <c r="F699" s="12" t="n"/>
      <c r="G699" s="12" t="n"/>
      <c r="H699" s="12" t="n"/>
      <c r="I699" s="12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</row>
    <row r="700">
      <c r="A700" s="19" t="n"/>
      <c r="B700" s="41" t="n"/>
      <c r="C700" s="12" t="n"/>
      <c r="D700" s="12" t="n"/>
      <c r="E700" s="12" t="n"/>
      <c r="F700" s="12" t="n"/>
      <c r="G700" s="12" t="n"/>
      <c r="H700" s="12" t="n"/>
      <c r="I700" s="12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</row>
    <row r="701">
      <c r="A701" s="19" t="n"/>
      <c r="B701" s="41" t="n"/>
      <c r="C701" s="12" t="n"/>
      <c r="D701" s="12" t="n"/>
      <c r="E701" s="12" t="n"/>
      <c r="F701" s="12" t="n"/>
      <c r="G701" s="12" t="n"/>
      <c r="H701" s="12" t="n"/>
      <c r="I701" s="12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</row>
    <row r="702">
      <c r="A702" s="19" t="n"/>
      <c r="B702" s="41" t="n"/>
      <c r="C702" s="12" t="n"/>
      <c r="D702" s="12" t="n"/>
      <c r="E702" s="12" t="n"/>
      <c r="F702" s="12" t="n"/>
      <c r="G702" s="12" t="n"/>
      <c r="H702" s="12" t="n"/>
      <c r="I702" s="12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</row>
    <row r="703">
      <c r="A703" s="19" t="n"/>
      <c r="B703" s="41" t="n"/>
      <c r="C703" s="12" t="n"/>
      <c r="D703" s="12" t="n"/>
      <c r="E703" s="12" t="n"/>
      <c r="F703" s="12" t="n"/>
      <c r="G703" s="12" t="n"/>
      <c r="H703" s="12" t="n"/>
      <c r="I703" s="12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</row>
    <row r="704">
      <c r="A704" s="19" t="n"/>
      <c r="B704" s="41" t="n"/>
      <c r="C704" s="12" t="n"/>
      <c r="D704" s="12" t="n"/>
      <c r="E704" s="12" t="n"/>
      <c r="F704" s="12" t="n"/>
      <c r="G704" s="12" t="n"/>
      <c r="H704" s="12" t="n"/>
      <c r="I704" s="12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</row>
    <row r="705">
      <c r="A705" s="19" t="n"/>
      <c r="B705" s="41" t="n"/>
      <c r="C705" s="12" t="n"/>
      <c r="D705" s="12" t="n"/>
      <c r="E705" s="12" t="n"/>
      <c r="F705" s="12" t="n"/>
      <c r="G705" s="12" t="n"/>
      <c r="H705" s="12" t="n"/>
      <c r="I705" s="12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</row>
    <row r="706">
      <c r="A706" s="19" t="n"/>
      <c r="B706" s="41" t="n"/>
      <c r="C706" s="12" t="n"/>
      <c r="D706" s="12" t="n"/>
      <c r="E706" s="12" t="n"/>
      <c r="F706" s="12" t="n"/>
      <c r="G706" s="12" t="n"/>
      <c r="H706" s="12" t="n"/>
      <c r="I706" s="12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</row>
    <row r="707">
      <c r="A707" s="19" t="n"/>
      <c r="B707" s="41" t="n"/>
      <c r="C707" s="12" t="n"/>
      <c r="D707" s="12" t="n"/>
      <c r="E707" s="12" t="n"/>
      <c r="F707" s="12" t="n"/>
      <c r="G707" s="12" t="n"/>
      <c r="H707" s="12" t="n"/>
      <c r="I707" s="12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</row>
    <row r="708">
      <c r="A708" s="19" t="n"/>
      <c r="B708" s="41" t="n"/>
      <c r="C708" s="12" t="n"/>
      <c r="D708" s="12" t="n"/>
      <c r="E708" s="12" t="n"/>
      <c r="F708" s="12" t="n"/>
      <c r="G708" s="12" t="n"/>
      <c r="H708" s="12" t="n"/>
      <c r="I708" s="12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</row>
    <row r="709">
      <c r="A709" s="19" t="n"/>
      <c r="B709" s="41" t="n"/>
      <c r="C709" s="12" t="n"/>
      <c r="D709" s="12" t="n"/>
      <c r="E709" s="12" t="n"/>
      <c r="F709" s="12" t="n"/>
      <c r="G709" s="12" t="n"/>
      <c r="H709" s="12" t="n"/>
      <c r="I709" s="12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</row>
    <row r="710">
      <c r="A710" s="19" t="n"/>
      <c r="B710" s="41" t="n"/>
      <c r="C710" s="12" t="n"/>
      <c r="D710" s="12" t="n"/>
      <c r="E710" s="12" t="n"/>
      <c r="F710" s="12" t="n"/>
      <c r="G710" s="12" t="n"/>
      <c r="H710" s="12" t="n"/>
      <c r="I710" s="12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</row>
    <row r="711">
      <c r="A711" s="19" t="n"/>
      <c r="B711" s="41" t="n"/>
      <c r="C711" s="12" t="n"/>
      <c r="D711" s="12" t="n"/>
      <c r="E711" s="12" t="n"/>
      <c r="F711" s="12" t="n"/>
      <c r="G711" s="12" t="n"/>
      <c r="H711" s="12" t="n"/>
      <c r="I711" s="12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</row>
    <row r="712">
      <c r="A712" s="19" t="n"/>
      <c r="B712" s="41" t="n"/>
      <c r="C712" s="12" t="n"/>
      <c r="D712" s="12" t="n"/>
      <c r="E712" s="12" t="n"/>
      <c r="F712" s="12" t="n"/>
      <c r="G712" s="12" t="n"/>
      <c r="H712" s="12" t="n"/>
      <c r="I712" s="12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</row>
    <row r="713">
      <c r="A713" s="19" t="n"/>
      <c r="B713" s="41" t="n"/>
      <c r="C713" s="12" t="n"/>
      <c r="D713" s="12" t="n"/>
      <c r="E713" s="12" t="n"/>
      <c r="F713" s="12" t="n"/>
      <c r="G713" s="12" t="n"/>
      <c r="H713" s="12" t="n"/>
      <c r="I713" s="12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</row>
    <row r="714">
      <c r="A714" s="19" t="n"/>
      <c r="B714" s="41" t="n"/>
      <c r="C714" s="12" t="n"/>
      <c r="D714" s="12" t="n"/>
      <c r="E714" s="12" t="n"/>
      <c r="F714" s="12" t="n"/>
      <c r="G714" s="12" t="n"/>
      <c r="H714" s="12" t="n"/>
      <c r="I714" s="12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</row>
    <row r="715">
      <c r="A715" s="19" t="n"/>
      <c r="B715" s="41" t="n"/>
      <c r="C715" s="12" t="n"/>
      <c r="D715" s="12" t="n"/>
      <c r="E715" s="12" t="n"/>
      <c r="F715" s="12" t="n"/>
      <c r="G715" s="12" t="n"/>
      <c r="H715" s="12" t="n"/>
      <c r="I715" s="12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</row>
    <row r="716">
      <c r="A716" s="19" t="n"/>
      <c r="B716" s="41" t="n"/>
      <c r="C716" s="12" t="n"/>
      <c r="D716" s="12" t="n"/>
      <c r="E716" s="12" t="n"/>
      <c r="F716" s="12" t="n"/>
      <c r="G716" s="12" t="n"/>
      <c r="H716" s="12" t="n"/>
      <c r="I716" s="12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</row>
    <row r="717">
      <c r="A717" s="19" t="n"/>
      <c r="B717" s="41" t="n"/>
      <c r="C717" s="12" t="n"/>
      <c r="D717" s="12" t="n"/>
      <c r="E717" s="12" t="n"/>
      <c r="F717" s="12" t="n"/>
      <c r="G717" s="12" t="n"/>
      <c r="H717" s="12" t="n"/>
      <c r="I717" s="12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</row>
    <row r="718">
      <c r="A718" s="19" t="n"/>
      <c r="B718" s="41" t="n"/>
      <c r="C718" s="12" t="n"/>
      <c r="D718" s="12" t="n"/>
      <c r="E718" s="12" t="n"/>
      <c r="F718" s="12" t="n"/>
      <c r="G718" s="12" t="n"/>
      <c r="H718" s="12" t="n"/>
      <c r="I718" s="12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</row>
    <row r="719">
      <c r="A719" s="19" t="n"/>
      <c r="B719" s="41" t="n"/>
      <c r="C719" s="12" t="n"/>
      <c r="D719" s="12" t="n"/>
      <c r="E719" s="12" t="n"/>
      <c r="F719" s="12" t="n"/>
      <c r="G719" s="12" t="n"/>
      <c r="H719" s="12" t="n"/>
      <c r="I719" s="12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</row>
    <row r="720">
      <c r="A720" s="19" t="n"/>
      <c r="B720" s="41" t="n"/>
      <c r="C720" s="12" t="n"/>
      <c r="D720" s="12" t="n"/>
      <c r="E720" s="12" t="n"/>
      <c r="F720" s="12" t="n"/>
      <c r="G720" s="12" t="n"/>
      <c r="H720" s="12" t="n"/>
      <c r="I720" s="12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</row>
    <row r="721">
      <c r="A721" s="19" t="n"/>
      <c r="B721" s="41" t="n"/>
      <c r="C721" s="12" t="n"/>
      <c r="D721" s="12" t="n"/>
      <c r="E721" s="12" t="n"/>
      <c r="F721" s="12" t="n"/>
      <c r="G721" s="12" t="n"/>
      <c r="H721" s="12" t="n"/>
      <c r="I721" s="12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</row>
    <row r="722">
      <c r="A722" s="19" t="n"/>
      <c r="B722" s="41" t="n"/>
      <c r="C722" s="12" t="n"/>
      <c r="D722" s="12" t="n"/>
      <c r="E722" s="12" t="n"/>
      <c r="F722" s="12" t="n"/>
      <c r="G722" s="12" t="n"/>
      <c r="H722" s="12" t="n"/>
      <c r="I722" s="12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</row>
    <row r="723">
      <c r="A723" s="19" t="n"/>
      <c r="B723" s="41" t="n"/>
      <c r="C723" s="12" t="n"/>
      <c r="D723" s="12" t="n"/>
      <c r="E723" s="12" t="n"/>
      <c r="F723" s="12" t="n"/>
      <c r="G723" s="12" t="n"/>
      <c r="H723" s="12" t="n"/>
      <c r="I723" s="12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</row>
    <row r="724">
      <c r="A724" s="19" t="n"/>
      <c r="B724" s="41" t="n"/>
      <c r="C724" s="12" t="n"/>
      <c r="D724" s="12" t="n"/>
      <c r="E724" s="12" t="n"/>
      <c r="F724" s="12" t="n"/>
      <c r="G724" s="12" t="n"/>
      <c r="H724" s="12" t="n"/>
      <c r="I724" s="12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</row>
    <row r="725">
      <c r="A725" s="19" t="n"/>
      <c r="B725" s="41" t="n"/>
      <c r="C725" s="12" t="n"/>
      <c r="D725" s="12" t="n"/>
      <c r="E725" s="12" t="n"/>
      <c r="F725" s="12" t="n"/>
      <c r="G725" s="12" t="n"/>
      <c r="H725" s="12" t="n"/>
      <c r="I725" s="12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</row>
    <row r="726">
      <c r="A726" s="19" t="n"/>
      <c r="B726" s="41" t="n"/>
      <c r="C726" s="12" t="n"/>
      <c r="D726" s="12" t="n"/>
      <c r="E726" s="12" t="n"/>
      <c r="F726" s="12" t="n"/>
      <c r="G726" s="12" t="n"/>
      <c r="H726" s="12" t="n"/>
      <c r="I726" s="12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</row>
    <row r="727">
      <c r="A727" s="19" t="n"/>
      <c r="B727" s="41" t="n"/>
      <c r="C727" s="12" t="n"/>
      <c r="D727" s="12" t="n"/>
      <c r="E727" s="12" t="n"/>
      <c r="F727" s="12" t="n"/>
      <c r="G727" s="12" t="n"/>
      <c r="H727" s="12" t="n"/>
      <c r="I727" s="12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</row>
    <row r="728">
      <c r="A728" s="19" t="n"/>
      <c r="B728" s="41" t="n"/>
      <c r="C728" s="12" t="n"/>
      <c r="D728" s="12" t="n"/>
      <c r="E728" s="12" t="n"/>
      <c r="F728" s="12" t="n"/>
      <c r="G728" s="12" t="n"/>
      <c r="H728" s="12" t="n"/>
      <c r="I728" s="12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</row>
    <row r="729">
      <c r="A729" s="19" t="n"/>
      <c r="B729" s="41" t="n"/>
      <c r="C729" s="12" t="n"/>
      <c r="D729" s="12" t="n"/>
      <c r="E729" s="12" t="n"/>
      <c r="F729" s="12" t="n"/>
      <c r="G729" s="12" t="n"/>
      <c r="H729" s="12" t="n"/>
      <c r="I729" s="12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</row>
    <row r="730">
      <c r="A730" s="19" t="n"/>
      <c r="B730" s="41" t="n"/>
      <c r="C730" s="12" t="n"/>
      <c r="D730" s="12" t="n"/>
      <c r="E730" s="12" t="n"/>
      <c r="F730" s="12" t="n"/>
      <c r="G730" s="12" t="n"/>
      <c r="H730" s="12" t="n"/>
      <c r="I730" s="12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</row>
    <row r="731">
      <c r="A731" s="19" t="n"/>
      <c r="B731" s="41" t="n"/>
      <c r="C731" s="12" t="n"/>
      <c r="D731" s="12" t="n"/>
      <c r="E731" s="12" t="n"/>
      <c r="F731" s="12" t="n"/>
      <c r="G731" s="12" t="n"/>
      <c r="H731" s="12" t="n"/>
      <c r="I731" s="12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</row>
    <row r="732">
      <c r="A732" s="19" t="n"/>
      <c r="B732" s="41" t="n"/>
      <c r="C732" s="12" t="n"/>
      <c r="D732" s="12" t="n"/>
      <c r="E732" s="12" t="n"/>
      <c r="F732" s="12" t="n"/>
      <c r="G732" s="12" t="n"/>
      <c r="H732" s="12" t="n"/>
      <c r="I732" s="12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</row>
    <row r="733">
      <c r="A733" s="19" t="n"/>
      <c r="B733" s="41" t="n"/>
      <c r="C733" s="12" t="n"/>
      <c r="D733" s="12" t="n"/>
      <c r="E733" s="12" t="n"/>
      <c r="F733" s="12" t="n"/>
      <c r="G733" s="12" t="n"/>
      <c r="H733" s="12" t="n"/>
      <c r="I733" s="12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</row>
    <row r="734">
      <c r="A734" s="19" t="n"/>
      <c r="B734" s="41" t="n"/>
      <c r="C734" s="12" t="n"/>
      <c r="D734" s="12" t="n"/>
      <c r="E734" s="12" t="n"/>
      <c r="F734" s="12" t="n"/>
      <c r="G734" s="12" t="n"/>
      <c r="H734" s="12" t="n"/>
      <c r="I734" s="12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</row>
    <row r="735">
      <c r="A735" s="19" t="n"/>
      <c r="B735" s="41" t="n"/>
      <c r="C735" s="12" t="n"/>
      <c r="D735" s="12" t="n"/>
      <c r="E735" s="12" t="n"/>
      <c r="F735" s="12" t="n"/>
      <c r="G735" s="12" t="n"/>
      <c r="H735" s="12" t="n"/>
      <c r="I735" s="12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</row>
    <row r="736">
      <c r="A736" s="19" t="n"/>
      <c r="B736" s="41" t="n"/>
      <c r="C736" s="12" t="n"/>
      <c r="D736" s="12" t="n"/>
      <c r="E736" s="12" t="n"/>
      <c r="F736" s="12" t="n"/>
      <c r="G736" s="12" t="n"/>
      <c r="H736" s="12" t="n"/>
      <c r="I736" s="12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</row>
    <row r="737">
      <c r="A737" s="19" t="n"/>
      <c r="B737" s="41" t="n"/>
      <c r="C737" s="12" t="n"/>
      <c r="D737" s="12" t="n"/>
      <c r="E737" s="12" t="n"/>
      <c r="F737" s="12" t="n"/>
      <c r="G737" s="12" t="n"/>
      <c r="H737" s="12" t="n"/>
      <c r="I737" s="12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</row>
    <row r="738">
      <c r="A738" s="19" t="n"/>
      <c r="B738" s="41" t="n"/>
      <c r="C738" s="12" t="n"/>
      <c r="D738" s="12" t="n"/>
      <c r="E738" s="12" t="n"/>
      <c r="F738" s="12" t="n"/>
      <c r="G738" s="12" t="n"/>
      <c r="H738" s="12" t="n"/>
      <c r="I738" s="12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</row>
    <row r="739">
      <c r="A739" s="19" t="n"/>
      <c r="B739" s="41" t="n"/>
      <c r="C739" s="12" t="n"/>
      <c r="D739" s="12" t="n"/>
      <c r="E739" s="12" t="n"/>
      <c r="F739" s="12" t="n"/>
      <c r="G739" s="12" t="n"/>
      <c r="H739" s="12" t="n"/>
      <c r="I739" s="12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</row>
    <row r="740">
      <c r="A740" s="19" t="n"/>
      <c r="B740" s="41" t="n"/>
      <c r="C740" s="12" t="n"/>
      <c r="D740" s="12" t="n"/>
      <c r="E740" s="12" t="n"/>
      <c r="F740" s="12" t="n"/>
      <c r="G740" s="12" t="n"/>
      <c r="H740" s="12" t="n"/>
      <c r="I740" s="12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</row>
    <row r="741">
      <c r="A741" s="19" t="n"/>
      <c r="B741" s="41" t="n"/>
      <c r="C741" s="12" t="n"/>
      <c r="D741" s="12" t="n"/>
      <c r="E741" s="12" t="n"/>
      <c r="F741" s="12" t="n"/>
      <c r="G741" s="12" t="n"/>
      <c r="H741" s="12" t="n"/>
      <c r="I741" s="12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</row>
    <row r="742">
      <c r="A742" s="19" t="n"/>
      <c r="B742" s="41" t="n"/>
      <c r="C742" s="12" t="n"/>
      <c r="D742" s="12" t="n"/>
      <c r="E742" s="12" t="n"/>
      <c r="F742" s="12" t="n"/>
      <c r="G742" s="12" t="n"/>
      <c r="H742" s="12" t="n"/>
      <c r="I742" s="12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</row>
    <row r="743">
      <c r="A743" s="19" t="n"/>
      <c r="B743" s="41" t="n"/>
      <c r="C743" s="12" t="n"/>
      <c r="D743" s="12" t="n"/>
      <c r="E743" s="12" t="n"/>
      <c r="F743" s="12" t="n"/>
      <c r="G743" s="12" t="n"/>
      <c r="H743" s="12" t="n"/>
      <c r="I743" s="12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</row>
    <row r="744">
      <c r="A744" s="19" t="n"/>
      <c r="B744" s="41" t="n"/>
      <c r="C744" s="12" t="n"/>
      <c r="D744" s="12" t="n"/>
      <c r="E744" s="12" t="n"/>
      <c r="F744" s="12" t="n"/>
      <c r="G744" s="12" t="n"/>
      <c r="H744" s="12" t="n"/>
      <c r="I744" s="12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</row>
    <row r="745">
      <c r="A745" s="19" t="n"/>
      <c r="B745" s="41" t="n"/>
      <c r="C745" s="12" t="n"/>
      <c r="D745" s="12" t="n"/>
      <c r="E745" s="12" t="n"/>
      <c r="F745" s="12" t="n"/>
      <c r="G745" s="12" t="n"/>
      <c r="H745" s="12" t="n"/>
      <c r="I745" s="12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</row>
    <row r="746">
      <c r="A746" s="19" t="n"/>
      <c r="B746" s="41" t="n"/>
      <c r="C746" s="12" t="n"/>
      <c r="D746" s="12" t="n"/>
      <c r="E746" s="12" t="n"/>
      <c r="F746" s="12" t="n"/>
      <c r="G746" s="12" t="n"/>
      <c r="H746" s="12" t="n"/>
      <c r="I746" s="12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</row>
    <row r="747">
      <c r="A747" s="19" t="n"/>
      <c r="B747" s="41" t="n"/>
      <c r="C747" s="12" t="n"/>
      <c r="D747" s="12" t="n"/>
      <c r="E747" s="12" t="n"/>
      <c r="F747" s="12" t="n"/>
      <c r="G747" s="12" t="n"/>
      <c r="H747" s="12" t="n"/>
      <c r="I747" s="12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</row>
    <row r="748">
      <c r="A748" s="19" t="n"/>
      <c r="B748" s="41" t="n"/>
      <c r="C748" s="12" t="n"/>
      <c r="D748" s="12" t="n"/>
      <c r="E748" s="12" t="n"/>
      <c r="F748" s="12" t="n"/>
      <c r="G748" s="12" t="n"/>
      <c r="H748" s="12" t="n"/>
      <c r="I748" s="12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</row>
    <row r="749">
      <c r="A749" s="19" t="n"/>
      <c r="B749" s="41" t="n"/>
      <c r="C749" s="12" t="n"/>
      <c r="D749" s="12" t="n"/>
      <c r="E749" s="12" t="n"/>
      <c r="F749" s="12" t="n"/>
      <c r="G749" s="12" t="n"/>
      <c r="H749" s="12" t="n"/>
      <c r="I749" s="12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</row>
    <row r="750">
      <c r="A750" s="19" t="n"/>
      <c r="B750" s="41" t="n"/>
      <c r="C750" s="12" t="n"/>
      <c r="D750" s="12" t="n"/>
      <c r="E750" s="12" t="n"/>
      <c r="F750" s="12" t="n"/>
      <c r="G750" s="12" t="n"/>
      <c r="H750" s="12" t="n"/>
      <c r="I750" s="12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</row>
    <row r="751">
      <c r="A751" s="19" t="n"/>
      <c r="B751" s="41" t="n"/>
      <c r="C751" s="12" t="n"/>
      <c r="D751" s="12" t="n"/>
      <c r="E751" s="12" t="n"/>
      <c r="F751" s="12" t="n"/>
      <c r="G751" s="12" t="n"/>
      <c r="H751" s="12" t="n"/>
      <c r="I751" s="12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</row>
    <row r="752">
      <c r="A752" s="19" t="n"/>
      <c r="B752" s="41" t="n"/>
      <c r="C752" s="12" t="n"/>
      <c r="D752" s="12" t="n"/>
      <c r="E752" s="12" t="n"/>
      <c r="F752" s="12" t="n"/>
      <c r="G752" s="12" t="n"/>
      <c r="H752" s="12" t="n"/>
      <c r="I752" s="12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</row>
    <row r="753">
      <c r="A753" s="19" t="n"/>
      <c r="B753" s="41" t="n"/>
      <c r="C753" s="12" t="n"/>
      <c r="D753" s="12" t="n"/>
      <c r="E753" s="12" t="n"/>
      <c r="F753" s="12" t="n"/>
      <c r="G753" s="12" t="n"/>
      <c r="H753" s="12" t="n"/>
      <c r="I753" s="12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</row>
    <row r="754">
      <c r="A754" s="19" t="n"/>
      <c r="B754" s="41" t="n"/>
      <c r="C754" s="12" t="n"/>
      <c r="D754" s="12" t="n"/>
      <c r="E754" s="12" t="n"/>
      <c r="F754" s="12" t="n"/>
      <c r="G754" s="12" t="n"/>
      <c r="H754" s="12" t="n"/>
      <c r="I754" s="12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</row>
    <row r="755">
      <c r="A755" s="19" t="n"/>
      <c r="B755" s="41" t="n"/>
      <c r="C755" s="12" t="n"/>
      <c r="D755" s="12" t="n"/>
      <c r="E755" s="12" t="n"/>
      <c r="F755" s="12" t="n"/>
      <c r="G755" s="12" t="n"/>
      <c r="H755" s="12" t="n"/>
      <c r="I755" s="12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</row>
    <row r="756">
      <c r="A756" s="19" t="n"/>
      <c r="B756" s="41" t="n"/>
      <c r="C756" s="12" t="n"/>
      <c r="D756" s="12" t="n"/>
      <c r="E756" s="12" t="n"/>
      <c r="F756" s="12" t="n"/>
      <c r="G756" s="12" t="n"/>
      <c r="H756" s="12" t="n"/>
      <c r="I756" s="12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</row>
    <row r="757">
      <c r="A757" s="19" t="n"/>
      <c r="B757" s="41" t="n"/>
      <c r="C757" s="12" t="n"/>
      <c r="D757" s="12" t="n"/>
      <c r="E757" s="12" t="n"/>
      <c r="F757" s="12" t="n"/>
      <c r="G757" s="12" t="n"/>
      <c r="H757" s="12" t="n"/>
      <c r="I757" s="12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</row>
    <row r="758">
      <c r="A758" s="19" t="n"/>
      <c r="B758" s="41" t="n"/>
      <c r="C758" s="12" t="n"/>
      <c r="D758" s="12" t="n"/>
      <c r="E758" s="12" t="n"/>
      <c r="F758" s="12" t="n"/>
      <c r="G758" s="12" t="n"/>
      <c r="H758" s="12" t="n"/>
      <c r="I758" s="12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</row>
    <row r="759">
      <c r="A759" s="19" t="n"/>
      <c r="B759" s="41" t="n"/>
      <c r="C759" s="12" t="n"/>
      <c r="D759" s="12" t="n"/>
      <c r="E759" s="12" t="n"/>
      <c r="F759" s="12" t="n"/>
      <c r="G759" s="12" t="n"/>
      <c r="H759" s="12" t="n"/>
      <c r="I759" s="12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</row>
    <row r="760">
      <c r="A760" s="19" t="n"/>
      <c r="B760" s="41" t="n"/>
      <c r="C760" s="12" t="n"/>
      <c r="D760" s="12" t="n"/>
      <c r="E760" s="12" t="n"/>
      <c r="F760" s="12" t="n"/>
      <c r="G760" s="12" t="n"/>
      <c r="H760" s="12" t="n"/>
      <c r="I760" s="12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</row>
    <row r="761">
      <c r="A761" s="19" t="n"/>
      <c r="B761" s="41" t="n"/>
      <c r="C761" s="12" t="n"/>
      <c r="D761" s="12" t="n"/>
      <c r="E761" s="12" t="n"/>
      <c r="F761" s="12" t="n"/>
      <c r="G761" s="12" t="n"/>
      <c r="H761" s="12" t="n"/>
      <c r="I761" s="12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</row>
    <row r="762">
      <c r="A762" s="19" t="n"/>
      <c r="B762" s="41" t="n"/>
      <c r="C762" s="12" t="n"/>
      <c r="D762" s="12" t="n"/>
      <c r="E762" s="12" t="n"/>
      <c r="F762" s="12" t="n"/>
      <c r="G762" s="12" t="n"/>
      <c r="H762" s="12" t="n"/>
      <c r="I762" s="12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</row>
    <row r="763">
      <c r="A763" s="19" t="n"/>
      <c r="B763" s="41" t="n"/>
      <c r="C763" s="12" t="n"/>
      <c r="D763" s="12" t="n"/>
      <c r="E763" s="12" t="n"/>
      <c r="F763" s="12" t="n"/>
      <c r="G763" s="12" t="n"/>
      <c r="H763" s="12" t="n"/>
      <c r="I763" s="12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</row>
    <row r="764">
      <c r="A764" s="19" t="n"/>
      <c r="B764" s="41" t="n"/>
      <c r="C764" s="12" t="n"/>
      <c r="D764" s="12" t="n"/>
      <c r="E764" s="12" t="n"/>
      <c r="F764" s="12" t="n"/>
      <c r="G764" s="12" t="n"/>
      <c r="H764" s="12" t="n"/>
      <c r="I764" s="12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</row>
    <row r="765">
      <c r="A765" s="19" t="n"/>
      <c r="B765" s="41" t="n"/>
      <c r="C765" s="12" t="n"/>
      <c r="D765" s="12" t="n"/>
      <c r="E765" s="12" t="n"/>
      <c r="F765" s="12" t="n"/>
      <c r="G765" s="12" t="n"/>
      <c r="H765" s="12" t="n"/>
      <c r="I765" s="12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</row>
    <row r="766">
      <c r="A766" s="19" t="n"/>
      <c r="B766" s="41" t="n"/>
      <c r="C766" s="12" t="n"/>
      <c r="D766" s="12" t="n"/>
      <c r="E766" s="12" t="n"/>
      <c r="F766" s="12" t="n"/>
      <c r="G766" s="12" t="n"/>
      <c r="H766" s="12" t="n"/>
      <c r="I766" s="12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</row>
    <row r="767">
      <c r="A767" s="19" t="n"/>
      <c r="B767" s="41" t="n"/>
      <c r="C767" s="12" t="n"/>
      <c r="D767" s="12" t="n"/>
      <c r="E767" s="12" t="n"/>
      <c r="F767" s="12" t="n"/>
      <c r="G767" s="12" t="n"/>
      <c r="H767" s="12" t="n"/>
      <c r="I767" s="12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</row>
    <row r="768">
      <c r="A768" s="19" t="n"/>
      <c r="B768" s="41" t="n"/>
      <c r="C768" s="12" t="n"/>
      <c r="D768" s="12" t="n"/>
      <c r="E768" s="12" t="n"/>
      <c r="F768" s="12" t="n"/>
      <c r="G768" s="12" t="n"/>
      <c r="H768" s="12" t="n"/>
      <c r="I768" s="12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</row>
    <row r="769">
      <c r="A769" s="19" t="n"/>
      <c r="B769" s="41" t="n"/>
      <c r="C769" s="12" t="n"/>
      <c r="D769" s="12" t="n"/>
      <c r="E769" s="12" t="n"/>
      <c r="F769" s="12" t="n"/>
      <c r="G769" s="12" t="n"/>
      <c r="H769" s="12" t="n"/>
      <c r="I769" s="12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</row>
    <row r="770">
      <c r="A770" s="19" t="n"/>
      <c r="B770" s="41" t="n"/>
      <c r="C770" s="12" t="n"/>
      <c r="D770" s="12" t="n"/>
      <c r="E770" s="12" t="n"/>
      <c r="F770" s="12" t="n"/>
      <c r="G770" s="12" t="n"/>
      <c r="H770" s="12" t="n"/>
      <c r="I770" s="12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</row>
    <row r="771">
      <c r="A771" s="19" t="n"/>
      <c r="B771" s="41" t="n"/>
      <c r="C771" s="12" t="n"/>
      <c r="D771" s="12" t="n"/>
      <c r="E771" s="12" t="n"/>
      <c r="F771" s="12" t="n"/>
      <c r="G771" s="12" t="n"/>
      <c r="H771" s="12" t="n"/>
      <c r="I771" s="12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</row>
    <row r="772">
      <c r="A772" s="19" t="n"/>
      <c r="B772" s="41" t="n"/>
      <c r="C772" s="12" t="n"/>
      <c r="D772" s="12" t="n"/>
      <c r="E772" s="12" t="n"/>
      <c r="F772" s="12" t="n"/>
      <c r="G772" s="12" t="n"/>
      <c r="H772" s="12" t="n"/>
      <c r="I772" s="12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</row>
    <row r="773">
      <c r="A773" s="19" t="n"/>
      <c r="B773" s="41" t="n"/>
      <c r="C773" s="12" t="n"/>
      <c r="D773" s="12" t="n"/>
      <c r="E773" s="12" t="n"/>
      <c r="F773" s="12" t="n"/>
      <c r="G773" s="12" t="n"/>
      <c r="H773" s="12" t="n"/>
      <c r="I773" s="12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</row>
    <row r="774">
      <c r="A774" s="19" t="n"/>
      <c r="B774" s="41" t="n"/>
      <c r="C774" s="12" t="n"/>
      <c r="D774" s="12" t="n"/>
      <c r="E774" s="12" t="n"/>
      <c r="F774" s="12" t="n"/>
      <c r="G774" s="12" t="n"/>
      <c r="H774" s="12" t="n"/>
      <c r="I774" s="12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</row>
    <row r="775">
      <c r="A775" s="19" t="n"/>
      <c r="B775" s="41" t="n"/>
      <c r="C775" s="12" t="n"/>
      <c r="D775" s="12" t="n"/>
      <c r="E775" s="12" t="n"/>
      <c r="F775" s="12" t="n"/>
      <c r="G775" s="12" t="n"/>
      <c r="H775" s="12" t="n"/>
      <c r="I775" s="12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</row>
    <row r="776">
      <c r="A776" s="19" t="n"/>
      <c r="B776" s="41" t="n"/>
      <c r="C776" s="12" t="n"/>
      <c r="D776" s="12" t="n"/>
      <c r="E776" s="12" t="n"/>
      <c r="F776" s="12" t="n"/>
      <c r="G776" s="12" t="n"/>
      <c r="H776" s="12" t="n"/>
      <c r="I776" s="12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</row>
    <row r="777">
      <c r="A777" s="19" t="n"/>
      <c r="B777" s="41" t="n"/>
      <c r="C777" s="12" t="n"/>
      <c r="D777" s="12" t="n"/>
      <c r="E777" s="12" t="n"/>
      <c r="F777" s="12" t="n"/>
      <c r="G777" s="12" t="n"/>
      <c r="H777" s="12" t="n"/>
      <c r="I777" s="12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</row>
    <row r="778">
      <c r="A778" s="19" t="n"/>
      <c r="B778" s="41" t="n"/>
      <c r="C778" s="12" t="n"/>
      <c r="D778" s="12" t="n"/>
      <c r="E778" s="12" t="n"/>
      <c r="F778" s="12" t="n"/>
      <c r="G778" s="12" t="n"/>
      <c r="H778" s="12" t="n"/>
      <c r="I778" s="12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</row>
    <row r="779">
      <c r="A779" s="19" t="n"/>
      <c r="B779" s="41" t="n"/>
      <c r="C779" s="12" t="n"/>
      <c r="D779" s="12" t="n"/>
      <c r="E779" s="12" t="n"/>
      <c r="F779" s="12" t="n"/>
      <c r="G779" s="12" t="n"/>
      <c r="H779" s="12" t="n"/>
      <c r="I779" s="12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</row>
    <row r="780">
      <c r="A780" s="19" t="n"/>
      <c r="B780" s="41" t="n"/>
      <c r="C780" s="12" t="n"/>
      <c r="D780" s="12" t="n"/>
      <c r="E780" s="12" t="n"/>
      <c r="F780" s="12" t="n"/>
      <c r="G780" s="12" t="n"/>
      <c r="H780" s="12" t="n"/>
      <c r="I780" s="12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</row>
    <row r="781">
      <c r="A781" s="19" t="n"/>
      <c r="B781" s="41" t="n"/>
      <c r="C781" s="12" t="n"/>
      <c r="D781" s="12" t="n"/>
      <c r="E781" s="12" t="n"/>
      <c r="F781" s="12" t="n"/>
      <c r="G781" s="12" t="n"/>
      <c r="H781" s="12" t="n"/>
      <c r="I781" s="12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</row>
    <row r="782">
      <c r="A782" s="19" t="n"/>
      <c r="B782" s="41" t="n"/>
      <c r="C782" s="12" t="n"/>
      <c r="D782" s="12" t="n"/>
      <c r="E782" s="12" t="n"/>
      <c r="F782" s="12" t="n"/>
      <c r="G782" s="12" t="n"/>
      <c r="H782" s="12" t="n"/>
      <c r="I782" s="12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</row>
    <row r="783">
      <c r="A783" s="19" t="n"/>
      <c r="B783" s="41" t="n"/>
      <c r="C783" s="12" t="n"/>
      <c r="D783" s="12" t="n"/>
      <c r="E783" s="12" t="n"/>
      <c r="F783" s="12" t="n"/>
      <c r="G783" s="12" t="n"/>
      <c r="H783" s="12" t="n"/>
      <c r="I783" s="12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</row>
    <row r="784">
      <c r="A784" s="19" t="n"/>
      <c r="B784" s="41" t="n"/>
      <c r="C784" s="12" t="n"/>
      <c r="D784" s="12" t="n"/>
      <c r="E784" s="12" t="n"/>
      <c r="F784" s="12" t="n"/>
      <c r="G784" s="12" t="n"/>
      <c r="H784" s="12" t="n"/>
      <c r="I784" s="12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</row>
    <row r="785">
      <c r="A785" s="19" t="n"/>
      <c r="B785" s="41" t="n"/>
      <c r="C785" s="12" t="n"/>
      <c r="D785" s="12" t="n"/>
      <c r="E785" s="12" t="n"/>
      <c r="F785" s="12" t="n"/>
      <c r="G785" s="12" t="n"/>
      <c r="H785" s="12" t="n"/>
      <c r="I785" s="12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</row>
    <row r="786">
      <c r="A786" s="19" t="n"/>
      <c r="B786" s="41" t="n"/>
      <c r="C786" s="12" t="n"/>
      <c r="D786" s="12" t="n"/>
      <c r="E786" s="12" t="n"/>
      <c r="F786" s="12" t="n"/>
      <c r="G786" s="12" t="n"/>
      <c r="H786" s="12" t="n"/>
      <c r="I786" s="12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</row>
    <row r="787">
      <c r="A787" s="19" t="n"/>
      <c r="B787" s="41" t="n"/>
      <c r="C787" s="12" t="n"/>
      <c r="D787" s="12" t="n"/>
      <c r="E787" s="12" t="n"/>
      <c r="F787" s="12" t="n"/>
      <c r="G787" s="12" t="n"/>
      <c r="H787" s="12" t="n"/>
      <c r="I787" s="12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</row>
    <row r="788">
      <c r="A788" s="19" t="n"/>
      <c r="B788" s="41" t="n"/>
      <c r="C788" s="12" t="n"/>
      <c r="D788" s="12" t="n"/>
      <c r="E788" s="12" t="n"/>
      <c r="F788" s="12" t="n"/>
      <c r="G788" s="12" t="n"/>
      <c r="H788" s="12" t="n"/>
      <c r="I788" s="12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</row>
    <row r="789">
      <c r="A789" s="19" t="n"/>
      <c r="B789" s="41" t="n"/>
      <c r="C789" s="12" t="n"/>
      <c r="D789" s="12" t="n"/>
      <c r="E789" s="12" t="n"/>
      <c r="F789" s="12" t="n"/>
      <c r="G789" s="12" t="n"/>
      <c r="H789" s="12" t="n"/>
      <c r="I789" s="12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</row>
    <row r="790">
      <c r="A790" s="19" t="n"/>
      <c r="B790" s="41" t="n"/>
      <c r="C790" s="12" t="n"/>
      <c r="D790" s="12" t="n"/>
      <c r="E790" s="12" t="n"/>
      <c r="F790" s="12" t="n"/>
      <c r="G790" s="12" t="n"/>
      <c r="H790" s="12" t="n"/>
      <c r="I790" s="12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</row>
    <row r="791">
      <c r="A791" s="19" t="n"/>
      <c r="B791" s="41" t="n"/>
      <c r="C791" s="12" t="n"/>
      <c r="D791" s="12" t="n"/>
      <c r="E791" s="12" t="n"/>
      <c r="F791" s="12" t="n"/>
      <c r="G791" s="12" t="n"/>
      <c r="H791" s="12" t="n"/>
      <c r="I791" s="12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</row>
    <row r="792">
      <c r="A792" s="19" t="n"/>
      <c r="B792" s="41" t="n"/>
      <c r="C792" s="12" t="n"/>
      <c r="D792" s="12" t="n"/>
      <c r="E792" s="12" t="n"/>
      <c r="F792" s="12" t="n"/>
      <c r="G792" s="12" t="n"/>
      <c r="H792" s="12" t="n"/>
      <c r="I792" s="12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</row>
    <row r="793">
      <c r="A793" s="19" t="n"/>
      <c r="B793" s="41" t="n"/>
      <c r="C793" s="12" t="n"/>
      <c r="D793" s="12" t="n"/>
      <c r="E793" s="12" t="n"/>
      <c r="F793" s="12" t="n"/>
      <c r="G793" s="12" t="n"/>
      <c r="H793" s="12" t="n"/>
      <c r="I793" s="12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</row>
    <row r="794">
      <c r="A794" s="19" t="n"/>
      <c r="B794" s="41" t="n"/>
      <c r="C794" s="12" t="n"/>
      <c r="D794" s="12" t="n"/>
      <c r="E794" s="12" t="n"/>
      <c r="F794" s="12" t="n"/>
      <c r="G794" s="12" t="n"/>
      <c r="H794" s="12" t="n"/>
      <c r="I794" s="12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</row>
    <row r="795">
      <c r="A795" s="19" t="n"/>
      <c r="B795" s="41" t="n"/>
      <c r="C795" s="12" t="n"/>
      <c r="D795" s="12" t="n"/>
      <c r="E795" s="12" t="n"/>
      <c r="F795" s="12" t="n"/>
      <c r="G795" s="12" t="n"/>
      <c r="H795" s="12" t="n"/>
      <c r="I795" s="12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</row>
    <row r="796">
      <c r="A796" s="19" t="n"/>
      <c r="B796" s="41" t="n"/>
      <c r="C796" s="12" t="n"/>
      <c r="D796" s="12" t="n"/>
      <c r="E796" s="12" t="n"/>
      <c r="F796" s="12" t="n"/>
      <c r="G796" s="12" t="n"/>
      <c r="H796" s="12" t="n"/>
      <c r="I796" s="12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</row>
    <row r="797">
      <c r="A797" s="19" t="n"/>
      <c r="B797" s="41" t="n"/>
      <c r="C797" s="12" t="n"/>
      <c r="D797" s="12" t="n"/>
      <c r="E797" s="12" t="n"/>
      <c r="F797" s="12" t="n"/>
      <c r="G797" s="12" t="n"/>
      <c r="H797" s="12" t="n"/>
      <c r="I797" s="12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</row>
    <row r="798">
      <c r="A798" s="19" t="n"/>
      <c r="B798" s="41" t="n"/>
      <c r="C798" s="12" t="n"/>
      <c r="D798" s="12" t="n"/>
      <c r="E798" s="12" t="n"/>
      <c r="F798" s="12" t="n"/>
      <c r="G798" s="12" t="n"/>
      <c r="H798" s="12" t="n"/>
      <c r="I798" s="12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</row>
    <row r="799">
      <c r="A799" s="19" t="n"/>
      <c r="B799" s="41" t="n"/>
      <c r="C799" s="12" t="n"/>
      <c r="D799" s="12" t="n"/>
      <c r="E799" s="12" t="n"/>
      <c r="F799" s="12" t="n"/>
      <c r="G799" s="12" t="n"/>
      <c r="H799" s="12" t="n"/>
      <c r="I799" s="12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</row>
    <row r="800">
      <c r="A800" s="19" t="n"/>
      <c r="B800" s="41" t="n"/>
      <c r="C800" s="12" t="n"/>
      <c r="D800" s="12" t="n"/>
      <c r="E800" s="12" t="n"/>
      <c r="F800" s="12" t="n"/>
      <c r="G800" s="12" t="n"/>
      <c r="H800" s="12" t="n"/>
      <c r="I800" s="12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</row>
    <row r="801">
      <c r="A801" s="19" t="n"/>
      <c r="B801" s="41" t="n"/>
      <c r="C801" s="12" t="n"/>
      <c r="D801" s="12" t="n"/>
      <c r="E801" s="12" t="n"/>
      <c r="F801" s="12" t="n"/>
      <c r="G801" s="12" t="n"/>
      <c r="H801" s="12" t="n"/>
      <c r="I801" s="12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</row>
    <row r="802">
      <c r="A802" s="19" t="n"/>
      <c r="B802" s="41" t="n"/>
      <c r="C802" s="12" t="n"/>
      <c r="D802" s="12" t="n"/>
      <c r="E802" s="12" t="n"/>
      <c r="F802" s="12" t="n"/>
      <c r="G802" s="12" t="n"/>
      <c r="H802" s="12" t="n"/>
      <c r="I802" s="12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</row>
    <row r="803">
      <c r="A803" s="19" t="n"/>
      <c r="B803" s="41" t="n"/>
      <c r="C803" s="12" t="n"/>
      <c r="D803" s="12" t="n"/>
      <c r="E803" s="12" t="n"/>
      <c r="F803" s="12" t="n"/>
      <c r="G803" s="12" t="n"/>
      <c r="H803" s="12" t="n"/>
      <c r="I803" s="12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</row>
    <row r="804">
      <c r="A804" s="19" t="n"/>
      <c r="B804" s="41" t="n"/>
      <c r="C804" s="12" t="n"/>
      <c r="D804" s="12" t="n"/>
      <c r="E804" s="12" t="n"/>
      <c r="F804" s="12" t="n"/>
      <c r="G804" s="12" t="n"/>
      <c r="H804" s="12" t="n"/>
      <c r="I804" s="12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</row>
    <row r="805">
      <c r="A805" s="19" t="n"/>
      <c r="B805" s="41" t="n"/>
      <c r="C805" s="12" t="n"/>
      <c r="D805" s="12" t="n"/>
      <c r="E805" s="12" t="n"/>
      <c r="F805" s="12" t="n"/>
      <c r="G805" s="12" t="n"/>
      <c r="H805" s="12" t="n"/>
      <c r="I805" s="12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</row>
    <row r="806">
      <c r="A806" s="19" t="n"/>
      <c r="B806" s="41" t="n"/>
      <c r="C806" s="12" t="n"/>
      <c r="D806" s="12" t="n"/>
      <c r="E806" s="12" t="n"/>
      <c r="F806" s="12" t="n"/>
      <c r="G806" s="12" t="n"/>
      <c r="H806" s="12" t="n"/>
      <c r="I806" s="12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</row>
    <row r="807">
      <c r="A807" s="19" t="n"/>
      <c r="B807" s="41" t="n"/>
      <c r="C807" s="12" t="n"/>
      <c r="D807" s="12" t="n"/>
      <c r="E807" s="12" t="n"/>
      <c r="F807" s="12" t="n"/>
      <c r="G807" s="12" t="n"/>
      <c r="H807" s="12" t="n"/>
      <c r="I807" s="12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</row>
    <row r="808">
      <c r="A808" s="19" t="n"/>
      <c r="B808" s="41" t="n"/>
      <c r="C808" s="12" t="n"/>
      <c r="D808" s="12" t="n"/>
      <c r="E808" s="12" t="n"/>
      <c r="F808" s="12" t="n"/>
      <c r="G808" s="12" t="n"/>
      <c r="H808" s="12" t="n"/>
      <c r="I808" s="12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</row>
    <row r="809">
      <c r="A809" s="19" t="n"/>
      <c r="B809" s="41" t="n"/>
      <c r="C809" s="12" t="n"/>
      <c r="D809" s="12" t="n"/>
      <c r="E809" s="12" t="n"/>
      <c r="F809" s="12" t="n"/>
      <c r="G809" s="12" t="n"/>
      <c r="H809" s="12" t="n"/>
      <c r="I809" s="12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</row>
    <row r="810">
      <c r="A810" s="19" t="n"/>
      <c r="B810" s="41" t="n"/>
      <c r="C810" s="12" t="n"/>
      <c r="D810" s="12" t="n"/>
      <c r="E810" s="12" t="n"/>
      <c r="F810" s="12" t="n"/>
      <c r="G810" s="12" t="n"/>
      <c r="H810" s="12" t="n"/>
      <c r="I810" s="12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</row>
    <row r="811">
      <c r="A811" s="19" t="n"/>
      <c r="B811" s="41" t="n"/>
      <c r="C811" s="12" t="n"/>
      <c r="D811" s="12" t="n"/>
      <c r="E811" s="12" t="n"/>
      <c r="F811" s="12" t="n"/>
      <c r="G811" s="12" t="n"/>
      <c r="H811" s="12" t="n"/>
      <c r="I811" s="12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</row>
    <row r="812">
      <c r="A812" s="19" t="n"/>
      <c r="B812" s="41" t="n"/>
      <c r="C812" s="12" t="n"/>
      <c r="D812" s="12" t="n"/>
      <c r="E812" s="12" t="n"/>
      <c r="F812" s="12" t="n"/>
      <c r="G812" s="12" t="n"/>
      <c r="H812" s="12" t="n"/>
      <c r="I812" s="12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</row>
    <row r="813">
      <c r="A813" s="19" t="n"/>
      <c r="B813" s="41" t="n"/>
      <c r="C813" s="12" t="n"/>
      <c r="D813" s="12" t="n"/>
      <c r="E813" s="12" t="n"/>
      <c r="F813" s="12" t="n"/>
      <c r="G813" s="12" t="n"/>
      <c r="H813" s="12" t="n"/>
      <c r="I813" s="12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</row>
    <row r="814">
      <c r="A814" s="19" t="n"/>
      <c r="B814" s="41" t="n"/>
      <c r="C814" s="12" t="n"/>
      <c r="D814" s="12" t="n"/>
      <c r="E814" s="12" t="n"/>
      <c r="F814" s="12" t="n"/>
      <c r="G814" s="12" t="n"/>
      <c r="H814" s="12" t="n"/>
      <c r="I814" s="12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</row>
    <row r="815">
      <c r="A815" s="19" t="n"/>
      <c r="B815" s="41" t="n"/>
      <c r="C815" s="12" t="n"/>
      <c r="D815" s="12" t="n"/>
      <c r="E815" s="12" t="n"/>
      <c r="F815" s="12" t="n"/>
      <c r="G815" s="12" t="n"/>
      <c r="H815" s="12" t="n"/>
      <c r="I815" s="12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</row>
    <row r="816">
      <c r="A816" s="19" t="n"/>
      <c r="B816" s="41" t="n"/>
      <c r="C816" s="12" t="n"/>
      <c r="D816" s="12" t="n"/>
      <c r="E816" s="12" t="n"/>
      <c r="F816" s="12" t="n"/>
      <c r="G816" s="12" t="n"/>
      <c r="H816" s="12" t="n"/>
      <c r="I816" s="12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</row>
    <row r="817">
      <c r="A817" s="19" t="n"/>
      <c r="B817" s="41" t="n"/>
      <c r="C817" s="12" t="n"/>
      <c r="D817" s="12" t="n"/>
      <c r="E817" s="12" t="n"/>
      <c r="F817" s="12" t="n"/>
      <c r="G817" s="12" t="n"/>
      <c r="H817" s="12" t="n"/>
      <c r="I817" s="12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</row>
    <row r="818">
      <c r="A818" s="19" t="n"/>
      <c r="B818" s="41" t="n"/>
      <c r="C818" s="12" t="n"/>
      <c r="D818" s="12" t="n"/>
      <c r="E818" s="12" t="n"/>
      <c r="F818" s="12" t="n"/>
      <c r="G818" s="12" t="n"/>
      <c r="H818" s="12" t="n"/>
      <c r="I818" s="12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</row>
    <row r="819">
      <c r="A819" s="19" t="n"/>
      <c r="B819" s="41" t="n"/>
      <c r="C819" s="12" t="n"/>
      <c r="D819" s="12" t="n"/>
      <c r="E819" s="12" t="n"/>
      <c r="F819" s="12" t="n"/>
      <c r="G819" s="12" t="n"/>
      <c r="H819" s="12" t="n"/>
      <c r="I819" s="12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</row>
    <row r="820">
      <c r="A820" s="19" t="n"/>
      <c r="B820" s="41" t="n"/>
      <c r="C820" s="12" t="n"/>
      <c r="D820" s="12" t="n"/>
      <c r="E820" s="12" t="n"/>
      <c r="F820" s="12" t="n"/>
      <c r="G820" s="12" t="n"/>
      <c r="H820" s="12" t="n"/>
      <c r="I820" s="12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</row>
    <row r="821">
      <c r="A821" s="19" t="n"/>
      <c r="B821" s="41" t="n"/>
      <c r="C821" s="12" t="n"/>
      <c r="D821" s="12" t="n"/>
      <c r="E821" s="12" t="n"/>
      <c r="F821" s="12" t="n"/>
      <c r="G821" s="12" t="n"/>
      <c r="H821" s="12" t="n"/>
      <c r="I821" s="12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</row>
    <row r="822">
      <c r="A822" s="19" t="n"/>
      <c r="B822" s="41" t="n"/>
      <c r="C822" s="12" t="n"/>
      <c r="D822" s="12" t="n"/>
      <c r="E822" s="12" t="n"/>
      <c r="F822" s="12" t="n"/>
      <c r="G822" s="12" t="n"/>
      <c r="H822" s="12" t="n"/>
      <c r="I822" s="12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</row>
    <row r="823">
      <c r="A823" s="19" t="n"/>
      <c r="B823" s="41" t="n"/>
      <c r="C823" s="12" t="n"/>
      <c r="D823" s="12" t="n"/>
      <c r="E823" s="12" t="n"/>
      <c r="F823" s="12" t="n"/>
      <c r="G823" s="12" t="n"/>
      <c r="H823" s="12" t="n"/>
      <c r="I823" s="12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</row>
    <row r="824">
      <c r="A824" s="19" t="n"/>
      <c r="B824" s="41" t="n"/>
      <c r="C824" s="12" t="n"/>
      <c r="D824" s="12" t="n"/>
      <c r="E824" s="12" t="n"/>
      <c r="F824" s="12" t="n"/>
      <c r="G824" s="12" t="n"/>
      <c r="H824" s="12" t="n"/>
      <c r="I824" s="12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</row>
    <row r="825">
      <c r="A825" s="19" t="n"/>
      <c r="B825" s="41" t="n"/>
      <c r="C825" s="12" t="n"/>
      <c r="D825" s="12" t="n"/>
      <c r="E825" s="12" t="n"/>
      <c r="F825" s="12" t="n"/>
      <c r="G825" s="12" t="n"/>
      <c r="H825" s="12" t="n"/>
      <c r="I825" s="12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</row>
    <row r="826">
      <c r="A826" s="19" t="n"/>
      <c r="B826" s="41" t="n"/>
      <c r="C826" s="12" t="n"/>
      <c r="D826" s="12" t="n"/>
      <c r="E826" s="12" t="n"/>
      <c r="F826" s="12" t="n"/>
      <c r="G826" s="12" t="n"/>
      <c r="H826" s="12" t="n"/>
      <c r="I826" s="12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</row>
    <row r="827">
      <c r="A827" s="19" t="n"/>
      <c r="B827" s="41" t="n"/>
      <c r="C827" s="12" t="n"/>
      <c r="D827" s="12" t="n"/>
      <c r="E827" s="12" t="n"/>
      <c r="F827" s="12" t="n"/>
      <c r="G827" s="12" t="n"/>
      <c r="H827" s="12" t="n"/>
      <c r="I827" s="12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</row>
    <row r="828">
      <c r="A828" s="19" t="n"/>
      <c r="B828" s="41" t="n"/>
      <c r="C828" s="12" t="n"/>
      <c r="D828" s="12" t="n"/>
      <c r="E828" s="12" t="n"/>
      <c r="F828" s="12" t="n"/>
      <c r="G828" s="12" t="n"/>
      <c r="H828" s="12" t="n"/>
      <c r="I828" s="12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</row>
    <row r="829">
      <c r="A829" s="19" t="n"/>
      <c r="B829" s="41" t="n"/>
      <c r="C829" s="12" t="n"/>
      <c r="D829" s="12" t="n"/>
      <c r="E829" s="12" t="n"/>
      <c r="F829" s="12" t="n"/>
      <c r="G829" s="12" t="n"/>
      <c r="H829" s="12" t="n"/>
      <c r="I829" s="12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</row>
    <row r="830">
      <c r="A830" s="19" t="n"/>
      <c r="B830" s="41" t="n"/>
      <c r="C830" s="12" t="n"/>
      <c r="D830" s="12" t="n"/>
      <c r="E830" s="12" t="n"/>
      <c r="F830" s="12" t="n"/>
      <c r="G830" s="12" t="n"/>
      <c r="H830" s="12" t="n"/>
      <c r="I830" s="12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</row>
    <row r="831">
      <c r="A831" s="19" t="n"/>
      <c r="B831" s="41" t="n"/>
      <c r="C831" s="12" t="n"/>
      <c r="D831" s="12" t="n"/>
      <c r="E831" s="12" t="n"/>
      <c r="F831" s="12" t="n"/>
      <c r="G831" s="12" t="n"/>
      <c r="H831" s="12" t="n"/>
      <c r="I831" s="12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</row>
    <row r="832">
      <c r="A832" s="19" t="n"/>
      <c r="B832" s="41" t="n"/>
      <c r="C832" s="12" t="n"/>
      <c r="D832" s="12" t="n"/>
      <c r="E832" s="12" t="n"/>
      <c r="F832" s="12" t="n"/>
      <c r="G832" s="12" t="n"/>
      <c r="H832" s="12" t="n"/>
      <c r="I832" s="12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</row>
    <row r="833">
      <c r="A833" s="19" t="n"/>
      <c r="B833" s="41" t="n"/>
      <c r="C833" s="12" t="n"/>
      <c r="D833" s="12" t="n"/>
      <c r="E833" s="12" t="n"/>
      <c r="F833" s="12" t="n"/>
      <c r="G833" s="12" t="n"/>
      <c r="H833" s="12" t="n"/>
      <c r="I833" s="12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</row>
    <row r="834">
      <c r="A834" s="19" t="n"/>
      <c r="B834" s="41" t="n"/>
      <c r="C834" s="12" t="n"/>
      <c r="D834" s="12" t="n"/>
      <c r="E834" s="12" t="n"/>
      <c r="F834" s="12" t="n"/>
      <c r="G834" s="12" t="n"/>
      <c r="H834" s="12" t="n"/>
      <c r="I834" s="12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</row>
    <row r="835">
      <c r="A835" s="19" t="n"/>
      <c r="B835" s="41" t="n"/>
      <c r="C835" s="12" t="n"/>
      <c r="D835" s="12" t="n"/>
      <c r="E835" s="12" t="n"/>
      <c r="F835" s="12" t="n"/>
      <c r="G835" s="12" t="n"/>
      <c r="H835" s="12" t="n"/>
      <c r="I835" s="12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</row>
    <row r="836">
      <c r="A836" s="19" t="n"/>
      <c r="B836" s="41" t="n"/>
      <c r="C836" s="12" t="n"/>
      <c r="D836" s="12" t="n"/>
      <c r="E836" s="12" t="n"/>
      <c r="F836" s="12" t="n"/>
      <c r="G836" s="12" t="n"/>
      <c r="H836" s="12" t="n"/>
      <c r="I836" s="12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</row>
    <row r="837">
      <c r="A837" s="19" t="n"/>
      <c r="B837" s="41" t="n"/>
      <c r="C837" s="12" t="n"/>
      <c r="D837" s="12" t="n"/>
      <c r="E837" s="12" t="n"/>
      <c r="F837" s="12" t="n"/>
      <c r="G837" s="12" t="n"/>
      <c r="H837" s="12" t="n"/>
      <c r="I837" s="12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</row>
    <row r="838">
      <c r="A838" s="19" t="n"/>
      <c r="B838" s="41" t="n"/>
      <c r="C838" s="12" t="n"/>
      <c r="D838" s="12" t="n"/>
      <c r="E838" s="12" t="n"/>
      <c r="F838" s="12" t="n"/>
      <c r="G838" s="12" t="n"/>
      <c r="H838" s="12" t="n"/>
      <c r="I838" s="12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</row>
    <row r="839">
      <c r="A839" s="19" t="n"/>
      <c r="B839" s="41" t="n"/>
      <c r="C839" s="12" t="n"/>
      <c r="D839" s="12" t="n"/>
      <c r="E839" s="12" t="n"/>
      <c r="F839" s="12" t="n"/>
      <c r="G839" s="12" t="n"/>
      <c r="H839" s="12" t="n"/>
      <c r="I839" s="12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</row>
    <row r="840">
      <c r="A840" s="19" t="n"/>
      <c r="B840" s="41" t="n"/>
      <c r="C840" s="12" t="n"/>
      <c r="D840" s="12" t="n"/>
      <c r="E840" s="12" t="n"/>
      <c r="F840" s="12" t="n"/>
      <c r="G840" s="12" t="n"/>
      <c r="H840" s="12" t="n"/>
      <c r="I840" s="12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</row>
    <row r="841">
      <c r="A841" s="19" t="n"/>
      <c r="B841" s="41" t="n"/>
      <c r="C841" s="12" t="n"/>
      <c r="D841" s="12" t="n"/>
      <c r="E841" s="12" t="n"/>
      <c r="F841" s="12" t="n"/>
      <c r="G841" s="12" t="n"/>
      <c r="H841" s="12" t="n"/>
      <c r="I841" s="12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</row>
    <row r="842">
      <c r="A842" s="19" t="n"/>
      <c r="B842" s="41" t="n"/>
      <c r="C842" s="12" t="n"/>
      <c r="D842" s="12" t="n"/>
      <c r="E842" s="12" t="n"/>
      <c r="F842" s="12" t="n"/>
      <c r="G842" s="12" t="n"/>
      <c r="H842" s="12" t="n"/>
      <c r="I842" s="12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</row>
    <row r="843">
      <c r="A843" s="19" t="n"/>
      <c r="B843" s="41" t="n"/>
      <c r="C843" s="12" t="n"/>
      <c r="D843" s="12" t="n"/>
      <c r="E843" s="12" t="n"/>
      <c r="F843" s="12" t="n"/>
      <c r="G843" s="12" t="n"/>
      <c r="H843" s="12" t="n"/>
      <c r="I843" s="12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</row>
    <row r="844">
      <c r="A844" s="19" t="n"/>
      <c r="B844" s="41" t="n"/>
      <c r="C844" s="12" t="n"/>
      <c r="D844" s="12" t="n"/>
      <c r="E844" s="12" t="n"/>
      <c r="F844" s="12" t="n"/>
      <c r="G844" s="12" t="n"/>
      <c r="H844" s="12" t="n"/>
      <c r="I844" s="12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</row>
    <row r="845">
      <c r="A845" s="19" t="n"/>
      <c r="B845" s="41" t="n"/>
      <c r="C845" s="12" t="n"/>
      <c r="D845" s="12" t="n"/>
      <c r="E845" s="12" t="n"/>
      <c r="F845" s="12" t="n"/>
      <c r="G845" s="12" t="n"/>
      <c r="H845" s="12" t="n"/>
      <c r="I845" s="12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</row>
    <row r="846">
      <c r="A846" s="19" t="n"/>
      <c r="B846" s="41" t="n"/>
      <c r="C846" s="12" t="n"/>
      <c r="D846" s="12" t="n"/>
      <c r="E846" s="12" t="n"/>
      <c r="F846" s="12" t="n"/>
      <c r="G846" s="12" t="n"/>
      <c r="H846" s="12" t="n"/>
      <c r="I846" s="12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</row>
    <row r="847">
      <c r="A847" s="19" t="n"/>
      <c r="B847" s="41" t="n"/>
      <c r="C847" s="12" t="n"/>
      <c r="D847" s="12" t="n"/>
      <c r="E847" s="12" t="n"/>
      <c r="F847" s="12" t="n"/>
      <c r="G847" s="12" t="n"/>
      <c r="H847" s="12" t="n"/>
      <c r="I847" s="12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</row>
    <row r="848">
      <c r="A848" s="19" t="n"/>
      <c r="B848" s="41" t="n"/>
      <c r="C848" s="12" t="n"/>
      <c r="D848" s="12" t="n"/>
      <c r="E848" s="12" t="n"/>
      <c r="F848" s="12" t="n"/>
      <c r="G848" s="12" t="n"/>
      <c r="H848" s="12" t="n"/>
      <c r="I848" s="12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</row>
    <row r="849">
      <c r="A849" s="19" t="n"/>
      <c r="B849" s="41" t="n"/>
      <c r="C849" s="12" t="n"/>
      <c r="D849" s="12" t="n"/>
      <c r="E849" s="12" t="n"/>
      <c r="F849" s="12" t="n"/>
      <c r="G849" s="12" t="n"/>
      <c r="H849" s="12" t="n"/>
      <c r="I849" s="12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</row>
    <row r="850">
      <c r="A850" s="19" t="n"/>
      <c r="B850" s="41" t="n"/>
      <c r="C850" s="12" t="n"/>
      <c r="D850" s="12" t="n"/>
      <c r="E850" s="12" t="n"/>
      <c r="F850" s="12" t="n"/>
      <c r="G850" s="12" t="n"/>
      <c r="H850" s="12" t="n"/>
      <c r="I850" s="12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</row>
    <row r="851">
      <c r="A851" s="19" t="n"/>
      <c r="B851" s="41" t="n"/>
      <c r="C851" s="12" t="n"/>
      <c r="D851" s="12" t="n"/>
      <c r="E851" s="12" t="n"/>
      <c r="F851" s="12" t="n"/>
      <c r="G851" s="12" t="n"/>
      <c r="H851" s="12" t="n"/>
      <c r="I851" s="12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</row>
    <row r="852">
      <c r="A852" s="19" t="n"/>
      <c r="B852" s="41" t="n"/>
      <c r="C852" s="12" t="n"/>
      <c r="D852" s="12" t="n"/>
      <c r="E852" s="12" t="n"/>
      <c r="F852" s="12" t="n"/>
      <c r="G852" s="12" t="n"/>
      <c r="H852" s="12" t="n"/>
      <c r="I852" s="12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</row>
    <row r="853">
      <c r="A853" s="19" t="n"/>
      <c r="B853" s="41" t="n"/>
      <c r="C853" s="12" t="n"/>
      <c r="D853" s="12" t="n"/>
      <c r="E853" s="12" t="n"/>
      <c r="F853" s="12" t="n"/>
      <c r="G853" s="12" t="n"/>
      <c r="H853" s="12" t="n"/>
      <c r="I853" s="12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</row>
    <row r="854">
      <c r="A854" s="19" t="n"/>
      <c r="B854" s="41" t="n"/>
      <c r="C854" s="12" t="n"/>
      <c r="D854" s="12" t="n"/>
      <c r="E854" s="12" t="n"/>
      <c r="F854" s="12" t="n"/>
      <c r="G854" s="12" t="n"/>
      <c r="H854" s="12" t="n"/>
      <c r="I854" s="12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</row>
    <row r="855">
      <c r="A855" s="19" t="n"/>
      <c r="B855" s="41" t="n"/>
      <c r="C855" s="12" t="n"/>
      <c r="D855" s="12" t="n"/>
      <c r="E855" s="12" t="n"/>
      <c r="F855" s="12" t="n"/>
      <c r="G855" s="12" t="n"/>
      <c r="H855" s="12" t="n"/>
      <c r="I855" s="12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</row>
    <row r="856">
      <c r="A856" s="19" t="n"/>
      <c r="B856" s="41" t="n"/>
      <c r="C856" s="12" t="n"/>
      <c r="D856" s="12" t="n"/>
      <c r="E856" s="12" t="n"/>
      <c r="F856" s="12" t="n"/>
      <c r="G856" s="12" t="n"/>
      <c r="H856" s="12" t="n"/>
      <c r="I856" s="12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</row>
    <row r="857">
      <c r="A857" s="19" t="n"/>
      <c r="B857" s="41" t="n"/>
      <c r="C857" s="12" t="n"/>
      <c r="D857" s="12" t="n"/>
      <c r="E857" s="12" t="n"/>
      <c r="F857" s="12" t="n"/>
      <c r="G857" s="12" t="n"/>
      <c r="H857" s="12" t="n"/>
      <c r="I857" s="12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</row>
    <row r="858">
      <c r="A858" s="19" t="n"/>
      <c r="B858" s="41" t="n"/>
      <c r="C858" s="12" t="n"/>
      <c r="D858" s="12" t="n"/>
      <c r="E858" s="12" t="n"/>
      <c r="F858" s="12" t="n"/>
      <c r="G858" s="12" t="n"/>
      <c r="H858" s="12" t="n"/>
      <c r="I858" s="12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</row>
    <row r="859">
      <c r="A859" s="19" t="n"/>
      <c r="B859" s="41" t="n"/>
      <c r="C859" s="12" t="n"/>
      <c r="D859" s="12" t="n"/>
      <c r="E859" s="12" t="n"/>
      <c r="F859" s="12" t="n"/>
      <c r="G859" s="12" t="n"/>
      <c r="H859" s="12" t="n"/>
      <c r="I859" s="12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</row>
    <row r="860">
      <c r="A860" s="19" t="n"/>
      <c r="B860" s="41" t="n"/>
      <c r="C860" s="12" t="n"/>
      <c r="D860" s="12" t="n"/>
      <c r="E860" s="12" t="n"/>
      <c r="F860" s="12" t="n"/>
      <c r="G860" s="12" t="n"/>
      <c r="H860" s="12" t="n"/>
      <c r="I860" s="12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</row>
    <row r="861">
      <c r="A861" s="19" t="n"/>
      <c r="B861" s="41" t="n"/>
      <c r="C861" s="12" t="n"/>
      <c r="D861" s="12" t="n"/>
      <c r="E861" s="12" t="n"/>
      <c r="F861" s="12" t="n"/>
      <c r="G861" s="12" t="n"/>
      <c r="H861" s="12" t="n"/>
      <c r="I861" s="12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</row>
    <row r="862">
      <c r="A862" s="19" t="n"/>
      <c r="B862" s="41" t="n"/>
      <c r="C862" s="12" t="n"/>
      <c r="D862" s="12" t="n"/>
      <c r="E862" s="12" t="n"/>
      <c r="F862" s="12" t="n"/>
      <c r="G862" s="12" t="n"/>
      <c r="H862" s="12" t="n"/>
      <c r="I862" s="12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</row>
    <row r="863">
      <c r="A863" s="19" t="n"/>
      <c r="B863" s="41" t="n"/>
      <c r="C863" s="12" t="n"/>
      <c r="D863" s="12" t="n"/>
      <c r="E863" s="12" t="n"/>
      <c r="F863" s="12" t="n"/>
      <c r="G863" s="12" t="n"/>
      <c r="H863" s="12" t="n"/>
      <c r="I863" s="12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</row>
    <row r="864">
      <c r="A864" s="19" t="n"/>
      <c r="B864" s="41" t="n"/>
      <c r="C864" s="12" t="n"/>
      <c r="D864" s="12" t="n"/>
      <c r="E864" s="12" t="n"/>
      <c r="F864" s="12" t="n"/>
      <c r="G864" s="12" t="n"/>
      <c r="H864" s="12" t="n"/>
      <c r="I864" s="12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</row>
    <row r="865">
      <c r="A865" s="19" t="n"/>
      <c r="B865" s="41" t="n"/>
      <c r="C865" s="12" t="n"/>
      <c r="D865" s="12" t="n"/>
      <c r="E865" s="12" t="n"/>
      <c r="F865" s="12" t="n"/>
      <c r="G865" s="12" t="n"/>
      <c r="H865" s="12" t="n"/>
      <c r="I865" s="12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</row>
    <row r="866">
      <c r="A866" s="19" t="n"/>
      <c r="B866" s="41" t="n"/>
      <c r="C866" s="12" t="n"/>
      <c r="D866" s="12" t="n"/>
      <c r="E866" s="12" t="n"/>
      <c r="F866" s="12" t="n"/>
      <c r="G866" s="12" t="n"/>
      <c r="H866" s="12" t="n"/>
      <c r="I866" s="12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</row>
    <row r="867">
      <c r="A867" s="19" t="n"/>
      <c r="B867" s="41" t="n"/>
      <c r="C867" s="12" t="n"/>
      <c r="D867" s="12" t="n"/>
      <c r="E867" s="12" t="n"/>
      <c r="F867" s="12" t="n"/>
      <c r="G867" s="12" t="n"/>
      <c r="H867" s="12" t="n"/>
      <c r="I867" s="12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</row>
    <row r="868">
      <c r="A868" s="19" t="n"/>
      <c r="B868" s="41" t="n"/>
      <c r="C868" s="12" t="n"/>
      <c r="D868" s="12" t="n"/>
      <c r="E868" s="12" t="n"/>
      <c r="F868" s="12" t="n"/>
      <c r="G868" s="12" t="n"/>
      <c r="H868" s="12" t="n"/>
      <c r="I868" s="12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</row>
    <row r="869">
      <c r="A869" s="19" t="n"/>
      <c r="B869" s="41" t="n"/>
      <c r="C869" s="12" t="n"/>
      <c r="D869" s="12" t="n"/>
      <c r="E869" s="12" t="n"/>
      <c r="F869" s="12" t="n"/>
      <c r="G869" s="12" t="n"/>
      <c r="H869" s="12" t="n"/>
      <c r="I869" s="12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</row>
    <row r="870">
      <c r="A870" s="19" t="n"/>
      <c r="B870" s="41" t="n"/>
      <c r="C870" s="12" t="n"/>
      <c r="D870" s="12" t="n"/>
      <c r="E870" s="12" t="n"/>
      <c r="F870" s="12" t="n"/>
      <c r="G870" s="12" t="n"/>
      <c r="H870" s="12" t="n"/>
      <c r="I870" s="12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</row>
    <row r="871">
      <c r="A871" s="19" t="n"/>
      <c r="B871" s="41" t="n"/>
      <c r="C871" s="12" t="n"/>
      <c r="D871" s="12" t="n"/>
      <c r="E871" s="12" t="n"/>
      <c r="F871" s="12" t="n"/>
      <c r="G871" s="12" t="n"/>
      <c r="H871" s="12" t="n"/>
      <c r="I871" s="12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</row>
    <row r="872">
      <c r="A872" s="19" t="n"/>
      <c r="B872" s="41" t="n"/>
      <c r="C872" s="12" t="n"/>
      <c r="D872" s="12" t="n"/>
      <c r="E872" s="12" t="n"/>
      <c r="F872" s="12" t="n"/>
      <c r="G872" s="12" t="n"/>
      <c r="H872" s="12" t="n"/>
      <c r="I872" s="12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</row>
    <row r="873">
      <c r="A873" s="19" t="n"/>
      <c r="B873" s="41" t="n"/>
      <c r="C873" s="12" t="n"/>
      <c r="D873" s="12" t="n"/>
      <c r="E873" s="12" t="n"/>
      <c r="F873" s="12" t="n"/>
      <c r="G873" s="12" t="n"/>
      <c r="H873" s="12" t="n"/>
      <c r="I873" s="12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</row>
    <row r="874">
      <c r="A874" s="19" t="n"/>
      <c r="B874" s="41" t="n"/>
      <c r="C874" s="12" t="n"/>
      <c r="D874" s="12" t="n"/>
      <c r="E874" s="12" t="n"/>
      <c r="F874" s="12" t="n"/>
      <c r="G874" s="12" t="n"/>
      <c r="H874" s="12" t="n"/>
      <c r="I874" s="12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</row>
    <row r="875">
      <c r="A875" s="19" t="n"/>
      <c r="B875" s="41" t="n"/>
      <c r="C875" s="12" t="n"/>
      <c r="D875" s="12" t="n"/>
      <c r="E875" s="12" t="n"/>
      <c r="F875" s="12" t="n"/>
      <c r="G875" s="12" t="n"/>
      <c r="H875" s="12" t="n"/>
      <c r="I875" s="12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</row>
    <row r="876">
      <c r="A876" s="19" t="n"/>
      <c r="B876" s="41" t="n"/>
      <c r="C876" s="12" t="n"/>
      <c r="D876" s="12" t="n"/>
      <c r="E876" s="12" t="n"/>
      <c r="F876" s="12" t="n"/>
      <c r="G876" s="12" t="n"/>
      <c r="H876" s="12" t="n"/>
      <c r="I876" s="12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</row>
    <row r="877">
      <c r="A877" s="19" t="n"/>
      <c r="B877" s="41" t="n"/>
      <c r="C877" s="12" t="n"/>
      <c r="D877" s="12" t="n"/>
      <c r="E877" s="12" t="n"/>
      <c r="F877" s="12" t="n"/>
      <c r="G877" s="12" t="n"/>
      <c r="H877" s="12" t="n"/>
      <c r="I877" s="12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</row>
    <row r="878">
      <c r="A878" s="19" t="n"/>
      <c r="B878" s="41" t="n"/>
      <c r="C878" s="12" t="n"/>
      <c r="D878" s="12" t="n"/>
      <c r="E878" s="12" t="n"/>
      <c r="F878" s="12" t="n"/>
      <c r="G878" s="12" t="n"/>
      <c r="H878" s="12" t="n"/>
      <c r="I878" s="12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</row>
    <row r="879">
      <c r="A879" s="19" t="n"/>
      <c r="B879" s="41" t="n"/>
      <c r="C879" s="12" t="n"/>
      <c r="D879" s="12" t="n"/>
      <c r="E879" s="12" t="n"/>
      <c r="F879" s="12" t="n"/>
      <c r="G879" s="12" t="n"/>
      <c r="H879" s="12" t="n"/>
      <c r="I879" s="12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</row>
    <row r="880">
      <c r="A880" s="19" t="n"/>
      <c r="B880" s="41" t="n"/>
      <c r="C880" s="12" t="n"/>
      <c r="D880" s="12" t="n"/>
      <c r="E880" s="12" t="n"/>
      <c r="F880" s="12" t="n"/>
      <c r="G880" s="12" t="n"/>
      <c r="H880" s="12" t="n"/>
      <c r="I880" s="12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</row>
    <row r="881">
      <c r="A881" s="19" t="n"/>
      <c r="B881" s="41" t="n"/>
      <c r="C881" s="12" t="n"/>
      <c r="D881" s="12" t="n"/>
      <c r="E881" s="12" t="n"/>
      <c r="F881" s="12" t="n"/>
      <c r="G881" s="12" t="n"/>
      <c r="H881" s="12" t="n"/>
      <c r="I881" s="12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</row>
    <row r="882">
      <c r="A882" s="19" t="n"/>
      <c r="B882" s="41" t="n"/>
      <c r="C882" s="12" t="n"/>
      <c r="D882" s="12" t="n"/>
      <c r="E882" s="12" t="n"/>
      <c r="F882" s="12" t="n"/>
      <c r="G882" s="12" t="n"/>
      <c r="H882" s="12" t="n"/>
      <c r="I882" s="12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</row>
    <row r="883">
      <c r="A883" s="19" t="n"/>
      <c r="B883" s="41" t="n"/>
      <c r="C883" s="12" t="n"/>
      <c r="D883" s="12" t="n"/>
      <c r="E883" s="12" t="n"/>
      <c r="F883" s="12" t="n"/>
      <c r="G883" s="12" t="n"/>
      <c r="H883" s="12" t="n"/>
      <c r="I883" s="12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</row>
    <row r="884">
      <c r="A884" s="19" t="n"/>
      <c r="B884" s="41" t="n"/>
      <c r="C884" s="12" t="n"/>
      <c r="D884" s="12" t="n"/>
      <c r="E884" s="12" t="n"/>
      <c r="F884" s="12" t="n"/>
      <c r="G884" s="12" t="n"/>
      <c r="H884" s="12" t="n"/>
      <c r="I884" s="12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</row>
    <row r="885">
      <c r="A885" s="19" t="n"/>
      <c r="B885" s="41" t="n"/>
      <c r="C885" s="12" t="n"/>
      <c r="D885" s="12" t="n"/>
      <c r="E885" s="12" t="n"/>
      <c r="F885" s="12" t="n"/>
      <c r="G885" s="12" t="n"/>
      <c r="H885" s="12" t="n"/>
      <c r="I885" s="12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</row>
    <row r="886">
      <c r="A886" s="19" t="n"/>
      <c r="B886" s="41" t="n"/>
      <c r="C886" s="12" t="n"/>
      <c r="D886" s="12" t="n"/>
      <c r="E886" s="12" t="n"/>
      <c r="F886" s="12" t="n"/>
      <c r="G886" s="12" t="n"/>
      <c r="H886" s="12" t="n"/>
      <c r="I886" s="12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</row>
    <row r="887">
      <c r="A887" s="19" t="n"/>
      <c r="B887" s="41" t="n"/>
      <c r="C887" s="12" t="n"/>
      <c r="D887" s="12" t="n"/>
      <c r="E887" s="12" t="n"/>
      <c r="F887" s="12" t="n"/>
      <c r="G887" s="12" t="n"/>
      <c r="H887" s="12" t="n"/>
      <c r="I887" s="12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</row>
    <row r="888">
      <c r="A888" s="19" t="n"/>
      <c r="B888" s="41" t="n"/>
      <c r="C888" s="12" t="n"/>
      <c r="D888" s="12" t="n"/>
      <c r="E888" s="12" t="n"/>
      <c r="F888" s="12" t="n"/>
      <c r="G888" s="12" t="n"/>
      <c r="H888" s="12" t="n"/>
      <c r="I888" s="12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</row>
    <row r="889">
      <c r="A889" s="19" t="n"/>
      <c r="B889" s="41" t="n"/>
      <c r="C889" s="12" t="n"/>
      <c r="D889" s="12" t="n"/>
      <c r="E889" s="12" t="n"/>
      <c r="F889" s="12" t="n"/>
      <c r="G889" s="12" t="n"/>
      <c r="H889" s="12" t="n"/>
      <c r="I889" s="12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</row>
    <row r="890">
      <c r="A890" s="19" t="n"/>
      <c r="B890" s="41" t="n"/>
      <c r="C890" s="12" t="n"/>
      <c r="D890" s="12" t="n"/>
      <c r="E890" s="12" t="n"/>
      <c r="F890" s="12" t="n"/>
      <c r="G890" s="12" t="n"/>
      <c r="H890" s="12" t="n"/>
      <c r="I890" s="12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</row>
    <row r="891">
      <c r="A891" s="19" t="n"/>
      <c r="B891" s="41" t="n"/>
      <c r="C891" s="12" t="n"/>
      <c r="D891" s="12" t="n"/>
      <c r="E891" s="12" t="n"/>
      <c r="F891" s="12" t="n"/>
      <c r="G891" s="12" t="n"/>
      <c r="H891" s="12" t="n"/>
      <c r="I891" s="12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</row>
    <row r="892">
      <c r="A892" s="19" t="n"/>
      <c r="B892" s="41" t="n"/>
      <c r="C892" s="12" t="n"/>
      <c r="D892" s="12" t="n"/>
      <c r="E892" s="12" t="n"/>
      <c r="F892" s="12" t="n"/>
      <c r="G892" s="12" t="n"/>
      <c r="H892" s="12" t="n"/>
      <c r="I892" s="12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</row>
    <row r="893">
      <c r="A893" s="19" t="n"/>
      <c r="B893" s="41" t="n"/>
      <c r="C893" s="12" t="n"/>
      <c r="D893" s="12" t="n"/>
      <c r="E893" s="12" t="n"/>
      <c r="F893" s="12" t="n"/>
      <c r="G893" s="12" t="n"/>
      <c r="H893" s="12" t="n"/>
      <c r="I893" s="12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</row>
    <row r="894">
      <c r="A894" s="19" t="n"/>
      <c r="B894" s="41" t="n"/>
      <c r="C894" s="12" t="n"/>
      <c r="D894" s="12" t="n"/>
      <c r="E894" s="12" t="n"/>
      <c r="F894" s="12" t="n"/>
      <c r="G894" s="12" t="n"/>
      <c r="H894" s="12" t="n"/>
      <c r="I894" s="12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</row>
    <row r="895">
      <c r="A895" s="19" t="n"/>
      <c r="B895" s="41" t="n"/>
      <c r="C895" s="12" t="n"/>
      <c r="D895" s="12" t="n"/>
      <c r="E895" s="12" t="n"/>
      <c r="F895" s="12" t="n"/>
      <c r="G895" s="12" t="n"/>
      <c r="H895" s="12" t="n"/>
      <c r="I895" s="12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</row>
    <row r="896">
      <c r="A896" s="19" t="n"/>
      <c r="B896" s="41" t="n"/>
      <c r="C896" s="12" t="n"/>
      <c r="D896" s="12" t="n"/>
      <c r="E896" s="12" t="n"/>
      <c r="F896" s="12" t="n"/>
      <c r="G896" s="12" t="n"/>
      <c r="H896" s="12" t="n"/>
      <c r="I896" s="12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</row>
    <row r="897">
      <c r="A897" s="19" t="n"/>
      <c r="B897" s="41" t="n"/>
      <c r="C897" s="12" t="n"/>
      <c r="D897" s="12" t="n"/>
      <c r="E897" s="12" t="n"/>
      <c r="F897" s="12" t="n"/>
      <c r="G897" s="12" t="n"/>
      <c r="H897" s="12" t="n"/>
      <c r="I897" s="12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</row>
    <row r="898">
      <c r="A898" s="19" t="n"/>
      <c r="B898" s="41" t="n"/>
      <c r="C898" s="12" t="n"/>
      <c r="D898" s="12" t="n"/>
      <c r="E898" s="12" t="n"/>
      <c r="F898" s="12" t="n"/>
      <c r="G898" s="12" t="n"/>
      <c r="H898" s="12" t="n"/>
      <c r="I898" s="12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</row>
    <row r="899">
      <c r="A899" s="19" t="n"/>
      <c r="B899" s="41" t="n"/>
      <c r="C899" s="12" t="n"/>
      <c r="D899" s="12" t="n"/>
      <c r="E899" s="12" t="n"/>
      <c r="F899" s="12" t="n"/>
      <c r="G899" s="12" t="n"/>
      <c r="H899" s="12" t="n"/>
      <c r="I899" s="12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</row>
    <row r="900">
      <c r="A900" s="19" t="n"/>
      <c r="B900" s="41" t="n"/>
      <c r="C900" s="12" t="n"/>
      <c r="D900" s="12" t="n"/>
      <c r="E900" s="12" t="n"/>
      <c r="F900" s="12" t="n"/>
      <c r="G900" s="12" t="n"/>
      <c r="H900" s="12" t="n"/>
      <c r="I900" s="12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</row>
    <row r="901">
      <c r="A901" s="19" t="n"/>
      <c r="B901" s="41" t="n"/>
      <c r="C901" s="12" t="n"/>
      <c r="D901" s="12" t="n"/>
      <c r="E901" s="12" t="n"/>
      <c r="F901" s="12" t="n"/>
      <c r="G901" s="12" t="n"/>
      <c r="H901" s="12" t="n"/>
      <c r="I901" s="12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</row>
    <row r="902">
      <c r="A902" s="19" t="n"/>
      <c r="B902" s="41" t="n"/>
      <c r="C902" s="12" t="n"/>
      <c r="D902" s="12" t="n"/>
      <c r="E902" s="12" t="n"/>
      <c r="F902" s="12" t="n"/>
      <c r="G902" s="12" t="n"/>
      <c r="H902" s="12" t="n"/>
      <c r="I902" s="12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</row>
    <row r="903">
      <c r="A903" s="19" t="n"/>
      <c r="B903" s="41" t="n"/>
      <c r="C903" s="12" t="n"/>
      <c r="D903" s="12" t="n"/>
      <c r="E903" s="12" t="n"/>
      <c r="F903" s="12" t="n"/>
      <c r="G903" s="12" t="n"/>
      <c r="H903" s="12" t="n"/>
      <c r="I903" s="12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</row>
    <row r="904">
      <c r="A904" s="19" t="n"/>
      <c r="B904" s="41" t="n"/>
      <c r="C904" s="12" t="n"/>
      <c r="D904" s="12" t="n"/>
      <c r="E904" s="12" t="n"/>
      <c r="F904" s="12" t="n"/>
      <c r="G904" s="12" t="n"/>
      <c r="H904" s="12" t="n"/>
      <c r="I904" s="12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</row>
    <row r="905">
      <c r="A905" s="19" t="n"/>
      <c r="B905" s="41" t="n"/>
      <c r="C905" s="12" t="n"/>
      <c r="D905" s="12" t="n"/>
      <c r="E905" s="12" t="n"/>
      <c r="F905" s="12" t="n"/>
      <c r="G905" s="12" t="n"/>
      <c r="H905" s="12" t="n"/>
      <c r="I905" s="12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</row>
    <row r="906">
      <c r="A906" s="19" t="n"/>
      <c r="B906" s="41" t="n"/>
      <c r="C906" s="12" t="n"/>
      <c r="D906" s="12" t="n"/>
      <c r="E906" s="12" t="n"/>
      <c r="F906" s="12" t="n"/>
      <c r="G906" s="12" t="n"/>
      <c r="H906" s="12" t="n"/>
      <c r="I906" s="12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</row>
    <row r="907">
      <c r="A907" s="19" t="n"/>
      <c r="B907" s="41" t="n"/>
      <c r="C907" s="12" t="n"/>
      <c r="D907" s="12" t="n"/>
      <c r="E907" s="12" t="n"/>
      <c r="F907" s="12" t="n"/>
      <c r="G907" s="12" t="n"/>
      <c r="H907" s="12" t="n"/>
      <c r="I907" s="12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</row>
    <row r="908">
      <c r="A908" s="19" t="n"/>
      <c r="B908" s="41" t="n"/>
      <c r="C908" s="12" t="n"/>
      <c r="D908" s="12" t="n"/>
      <c r="E908" s="12" t="n"/>
      <c r="F908" s="12" t="n"/>
      <c r="G908" s="12" t="n"/>
      <c r="H908" s="12" t="n"/>
      <c r="I908" s="12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</row>
    <row r="909">
      <c r="A909" s="19" t="n"/>
      <c r="B909" s="41" t="n"/>
      <c r="C909" s="12" t="n"/>
      <c r="D909" s="12" t="n"/>
      <c r="E909" s="12" t="n"/>
      <c r="F909" s="12" t="n"/>
      <c r="G909" s="12" t="n"/>
      <c r="H909" s="12" t="n"/>
      <c r="I909" s="12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</row>
    <row r="910">
      <c r="A910" s="19" t="n"/>
      <c r="B910" s="41" t="n"/>
      <c r="C910" s="12" t="n"/>
      <c r="D910" s="12" t="n"/>
      <c r="E910" s="12" t="n"/>
      <c r="F910" s="12" t="n"/>
      <c r="G910" s="12" t="n"/>
      <c r="H910" s="12" t="n"/>
      <c r="I910" s="12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</row>
    <row r="911">
      <c r="A911" s="19" t="n"/>
      <c r="B911" s="41" t="n"/>
      <c r="C911" s="12" t="n"/>
      <c r="D911" s="12" t="n"/>
      <c r="E911" s="12" t="n"/>
      <c r="F911" s="12" t="n"/>
      <c r="G911" s="12" t="n"/>
      <c r="H911" s="12" t="n"/>
      <c r="I911" s="12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</row>
    <row r="912">
      <c r="A912" s="19" t="n"/>
      <c r="B912" s="41" t="n"/>
      <c r="C912" s="12" t="n"/>
      <c r="D912" s="12" t="n"/>
      <c r="E912" s="12" t="n"/>
      <c r="F912" s="12" t="n"/>
      <c r="G912" s="12" t="n"/>
      <c r="H912" s="12" t="n"/>
      <c r="I912" s="12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</row>
    <row r="913">
      <c r="A913" s="19" t="n"/>
      <c r="B913" s="41" t="n"/>
      <c r="C913" s="12" t="n"/>
      <c r="D913" s="12" t="n"/>
      <c r="E913" s="12" t="n"/>
      <c r="F913" s="12" t="n"/>
      <c r="G913" s="12" t="n"/>
      <c r="H913" s="12" t="n"/>
      <c r="I913" s="12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</row>
    <row r="914">
      <c r="A914" s="19" t="n"/>
      <c r="B914" s="41" t="n"/>
      <c r="C914" s="12" t="n"/>
      <c r="D914" s="12" t="n"/>
      <c r="E914" s="12" t="n"/>
      <c r="F914" s="12" t="n"/>
      <c r="G914" s="12" t="n"/>
      <c r="H914" s="12" t="n"/>
      <c r="I914" s="12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</row>
    <row r="915">
      <c r="A915" s="19" t="n"/>
      <c r="B915" s="41" t="n"/>
      <c r="C915" s="12" t="n"/>
      <c r="D915" s="12" t="n"/>
      <c r="E915" s="12" t="n"/>
      <c r="F915" s="12" t="n"/>
      <c r="G915" s="12" t="n"/>
      <c r="H915" s="12" t="n"/>
      <c r="I915" s="12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</row>
    <row r="916">
      <c r="A916" s="19" t="n"/>
      <c r="B916" s="41" t="n"/>
      <c r="C916" s="12" t="n"/>
      <c r="D916" s="12" t="n"/>
      <c r="E916" s="12" t="n"/>
      <c r="F916" s="12" t="n"/>
      <c r="G916" s="12" t="n"/>
      <c r="H916" s="12" t="n"/>
      <c r="I916" s="12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</row>
    <row r="917">
      <c r="A917" s="19" t="n"/>
      <c r="B917" s="41" t="n"/>
      <c r="C917" s="12" t="n"/>
      <c r="D917" s="12" t="n"/>
      <c r="E917" s="12" t="n"/>
      <c r="F917" s="12" t="n"/>
      <c r="G917" s="12" t="n"/>
      <c r="H917" s="12" t="n"/>
      <c r="I917" s="12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</row>
    <row r="918">
      <c r="A918" s="19" t="n"/>
      <c r="B918" s="41" t="n"/>
      <c r="C918" s="12" t="n"/>
      <c r="D918" s="12" t="n"/>
      <c r="E918" s="12" t="n"/>
      <c r="F918" s="12" t="n"/>
      <c r="G918" s="12" t="n"/>
      <c r="H918" s="12" t="n"/>
      <c r="I918" s="12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</row>
    <row r="919">
      <c r="A919" s="19" t="n"/>
      <c r="B919" s="41" t="n"/>
      <c r="C919" s="12" t="n"/>
      <c r="D919" s="12" t="n"/>
      <c r="E919" s="12" t="n"/>
      <c r="F919" s="12" t="n"/>
      <c r="G919" s="12" t="n"/>
      <c r="H919" s="12" t="n"/>
      <c r="I919" s="12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</row>
    <row r="920">
      <c r="A920" s="19" t="n"/>
      <c r="B920" s="41" t="n"/>
      <c r="C920" s="12" t="n"/>
      <c r="D920" s="12" t="n"/>
      <c r="E920" s="12" t="n"/>
      <c r="F920" s="12" t="n"/>
      <c r="G920" s="12" t="n"/>
      <c r="H920" s="12" t="n"/>
      <c r="I920" s="12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</row>
    <row r="921">
      <c r="A921" s="19" t="n"/>
      <c r="B921" s="41" t="n"/>
      <c r="C921" s="12" t="n"/>
      <c r="D921" s="12" t="n"/>
      <c r="E921" s="12" t="n"/>
      <c r="F921" s="12" t="n"/>
      <c r="G921" s="12" t="n"/>
      <c r="H921" s="12" t="n"/>
      <c r="I921" s="12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</row>
    <row r="922">
      <c r="A922" s="19" t="n"/>
      <c r="B922" s="41" t="n"/>
      <c r="C922" s="12" t="n"/>
      <c r="D922" s="12" t="n"/>
      <c r="E922" s="12" t="n"/>
      <c r="F922" s="12" t="n"/>
      <c r="G922" s="12" t="n"/>
      <c r="H922" s="12" t="n"/>
      <c r="I922" s="12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</row>
    <row r="923">
      <c r="A923" s="19" t="n"/>
      <c r="B923" s="41" t="n"/>
      <c r="C923" s="12" t="n"/>
      <c r="D923" s="12" t="n"/>
      <c r="E923" s="12" t="n"/>
      <c r="F923" s="12" t="n"/>
      <c r="G923" s="12" t="n"/>
      <c r="H923" s="12" t="n"/>
      <c r="I923" s="12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</row>
    <row r="924">
      <c r="A924" s="19" t="n"/>
      <c r="B924" s="41" t="n"/>
      <c r="C924" s="12" t="n"/>
      <c r="D924" s="12" t="n"/>
      <c r="E924" s="12" t="n"/>
      <c r="F924" s="12" t="n"/>
      <c r="G924" s="12" t="n"/>
      <c r="H924" s="12" t="n"/>
      <c r="I924" s="12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</row>
    <row r="925">
      <c r="A925" s="19" t="n"/>
      <c r="B925" s="41" t="n"/>
      <c r="C925" s="12" t="n"/>
      <c r="D925" s="12" t="n"/>
      <c r="E925" s="12" t="n"/>
      <c r="F925" s="12" t="n"/>
      <c r="G925" s="12" t="n"/>
      <c r="H925" s="12" t="n"/>
      <c r="I925" s="12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</row>
    <row r="926">
      <c r="A926" s="19" t="n"/>
      <c r="B926" s="41" t="n"/>
      <c r="C926" s="12" t="n"/>
      <c r="D926" s="12" t="n"/>
      <c r="E926" s="12" t="n"/>
      <c r="F926" s="12" t="n"/>
      <c r="G926" s="12" t="n"/>
      <c r="H926" s="12" t="n"/>
      <c r="I926" s="12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</row>
    <row r="927">
      <c r="A927" s="19" t="n"/>
      <c r="B927" s="41" t="n"/>
      <c r="C927" s="12" t="n"/>
      <c r="D927" s="12" t="n"/>
      <c r="E927" s="12" t="n"/>
      <c r="F927" s="12" t="n"/>
      <c r="G927" s="12" t="n"/>
      <c r="H927" s="12" t="n"/>
      <c r="I927" s="12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</row>
    <row r="928">
      <c r="A928" s="19" t="n"/>
      <c r="B928" s="41" t="n"/>
      <c r="C928" s="12" t="n"/>
      <c r="D928" s="12" t="n"/>
      <c r="E928" s="12" t="n"/>
      <c r="F928" s="12" t="n"/>
      <c r="G928" s="12" t="n"/>
      <c r="H928" s="12" t="n"/>
      <c r="I928" s="12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</row>
    <row r="929">
      <c r="A929" s="19" t="n"/>
      <c r="B929" s="41" t="n"/>
      <c r="C929" s="12" t="n"/>
      <c r="D929" s="12" t="n"/>
      <c r="E929" s="12" t="n"/>
      <c r="F929" s="12" t="n"/>
      <c r="G929" s="12" t="n"/>
      <c r="H929" s="12" t="n"/>
      <c r="I929" s="12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</row>
    <row r="930">
      <c r="A930" s="19" t="n"/>
      <c r="B930" s="41" t="n"/>
      <c r="C930" s="12" t="n"/>
      <c r="D930" s="12" t="n"/>
      <c r="E930" s="12" t="n"/>
      <c r="F930" s="12" t="n"/>
      <c r="G930" s="12" t="n"/>
      <c r="H930" s="12" t="n"/>
      <c r="I930" s="12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</row>
    <row r="931">
      <c r="A931" s="19" t="n"/>
      <c r="B931" s="41" t="n"/>
      <c r="C931" s="12" t="n"/>
      <c r="D931" s="12" t="n"/>
      <c r="E931" s="12" t="n"/>
      <c r="F931" s="12" t="n"/>
      <c r="G931" s="12" t="n"/>
      <c r="H931" s="12" t="n"/>
      <c r="I931" s="12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</row>
    <row r="932">
      <c r="A932" s="19" t="n"/>
      <c r="B932" s="41" t="n"/>
      <c r="C932" s="12" t="n"/>
      <c r="D932" s="12" t="n"/>
      <c r="E932" s="12" t="n"/>
      <c r="F932" s="12" t="n"/>
      <c r="G932" s="12" t="n"/>
      <c r="H932" s="12" t="n"/>
      <c r="I932" s="12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</row>
    <row r="933">
      <c r="A933" s="19" t="n"/>
      <c r="B933" s="41" t="n"/>
      <c r="C933" s="12" t="n"/>
      <c r="D933" s="12" t="n"/>
      <c r="E933" s="12" t="n"/>
      <c r="F933" s="12" t="n"/>
      <c r="G933" s="12" t="n"/>
      <c r="H933" s="12" t="n"/>
      <c r="I933" s="12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</row>
    <row r="934">
      <c r="A934" s="19" t="n"/>
      <c r="B934" s="41" t="n"/>
      <c r="C934" s="12" t="n"/>
      <c r="D934" s="12" t="n"/>
      <c r="E934" s="12" t="n"/>
      <c r="F934" s="12" t="n"/>
      <c r="G934" s="12" t="n"/>
      <c r="H934" s="12" t="n"/>
      <c r="I934" s="12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</row>
    <row r="935">
      <c r="A935" s="19" t="n"/>
      <c r="B935" s="41" t="n"/>
      <c r="C935" s="12" t="n"/>
      <c r="D935" s="12" t="n"/>
      <c r="E935" s="12" t="n"/>
      <c r="F935" s="12" t="n"/>
      <c r="G935" s="12" t="n"/>
      <c r="H935" s="12" t="n"/>
      <c r="I935" s="12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</row>
    <row r="936">
      <c r="A936" s="19" t="n"/>
      <c r="B936" s="41" t="n"/>
      <c r="C936" s="12" t="n"/>
      <c r="D936" s="12" t="n"/>
      <c r="E936" s="12" t="n"/>
      <c r="F936" s="12" t="n"/>
      <c r="G936" s="12" t="n"/>
      <c r="H936" s="12" t="n"/>
      <c r="I936" s="12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</row>
    <row r="937">
      <c r="A937" s="19" t="n"/>
      <c r="B937" s="41" t="n"/>
      <c r="C937" s="12" t="n"/>
      <c r="D937" s="12" t="n"/>
      <c r="E937" s="12" t="n"/>
      <c r="F937" s="12" t="n"/>
      <c r="G937" s="12" t="n"/>
      <c r="H937" s="12" t="n"/>
      <c r="I937" s="12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</row>
    <row r="938">
      <c r="A938" s="19" t="n"/>
      <c r="B938" s="41" t="n"/>
      <c r="C938" s="12" t="n"/>
      <c r="D938" s="12" t="n"/>
      <c r="E938" s="12" t="n"/>
      <c r="F938" s="12" t="n"/>
      <c r="G938" s="12" t="n"/>
      <c r="H938" s="12" t="n"/>
      <c r="I938" s="12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</row>
    <row r="939">
      <c r="A939" s="19" t="n"/>
      <c r="B939" s="41" t="n"/>
      <c r="C939" s="12" t="n"/>
      <c r="D939" s="12" t="n"/>
      <c r="E939" s="12" t="n"/>
      <c r="F939" s="12" t="n"/>
      <c r="G939" s="12" t="n"/>
      <c r="H939" s="12" t="n"/>
      <c r="I939" s="12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</row>
    <row r="940">
      <c r="A940" s="19" t="n"/>
      <c r="B940" s="41" t="n"/>
      <c r="C940" s="12" t="n"/>
      <c r="D940" s="12" t="n"/>
      <c r="E940" s="12" t="n"/>
      <c r="F940" s="12" t="n"/>
      <c r="G940" s="12" t="n"/>
      <c r="H940" s="12" t="n"/>
      <c r="I940" s="12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</row>
    <row r="941">
      <c r="A941" s="19" t="n"/>
      <c r="B941" s="41" t="n"/>
      <c r="C941" s="12" t="n"/>
      <c r="D941" s="12" t="n"/>
      <c r="E941" s="12" t="n"/>
      <c r="F941" s="12" t="n"/>
      <c r="G941" s="12" t="n"/>
      <c r="H941" s="12" t="n"/>
      <c r="I941" s="12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</row>
    <row r="942">
      <c r="A942" s="19" t="n"/>
      <c r="B942" s="41" t="n"/>
      <c r="C942" s="12" t="n"/>
      <c r="D942" s="12" t="n"/>
      <c r="E942" s="12" t="n"/>
      <c r="F942" s="12" t="n"/>
      <c r="G942" s="12" t="n"/>
      <c r="H942" s="12" t="n"/>
      <c r="I942" s="12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</row>
    <row r="943">
      <c r="A943" s="19" t="n"/>
      <c r="B943" s="41" t="n"/>
      <c r="C943" s="12" t="n"/>
      <c r="D943" s="12" t="n"/>
      <c r="E943" s="12" t="n"/>
      <c r="F943" s="12" t="n"/>
      <c r="G943" s="12" t="n"/>
      <c r="H943" s="12" t="n"/>
      <c r="I943" s="12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</row>
    <row r="944">
      <c r="A944" s="19" t="n"/>
      <c r="B944" s="41" t="n"/>
      <c r="C944" s="12" t="n"/>
      <c r="D944" s="12" t="n"/>
      <c r="E944" s="12" t="n"/>
      <c r="F944" s="12" t="n"/>
      <c r="G944" s="12" t="n"/>
      <c r="H944" s="12" t="n"/>
      <c r="I944" s="12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</row>
    <row r="945">
      <c r="A945" s="19" t="n"/>
      <c r="B945" s="41" t="n"/>
      <c r="C945" s="12" t="n"/>
      <c r="D945" s="12" t="n"/>
      <c r="E945" s="12" t="n"/>
      <c r="F945" s="12" t="n"/>
      <c r="G945" s="12" t="n"/>
      <c r="H945" s="12" t="n"/>
      <c r="I945" s="12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</row>
    <row r="946">
      <c r="A946" s="19" t="n"/>
      <c r="B946" s="41" t="n"/>
      <c r="C946" s="12" t="n"/>
      <c r="D946" s="12" t="n"/>
      <c r="E946" s="12" t="n"/>
      <c r="F946" s="12" t="n"/>
      <c r="G946" s="12" t="n"/>
      <c r="H946" s="12" t="n"/>
      <c r="I946" s="12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</row>
    <row r="947">
      <c r="A947" s="19" t="n"/>
      <c r="B947" s="41" t="n"/>
      <c r="C947" s="12" t="n"/>
      <c r="D947" s="12" t="n"/>
      <c r="E947" s="12" t="n"/>
      <c r="F947" s="12" t="n"/>
      <c r="G947" s="12" t="n"/>
      <c r="H947" s="12" t="n"/>
      <c r="I947" s="12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</row>
    <row r="948">
      <c r="A948" s="19" t="n"/>
      <c r="B948" s="41" t="n"/>
      <c r="C948" s="12" t="n"/>
      <c r="D948" s="12" t="n"/>
      <c r="E948" s="12" t="n"/>
      <c r="F948" s="12" t="n"/>
      <c r="G948" s="12" t="n"/>
      <c r="H948" s="12" t="n"/>
      <c r="I948" s="12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</row>
    <row r="949">
      <c r="A949" s="19" t="n"/>
      <c r="B949" s="41" t="n"/>
      <c r="C949" s="12" t="n"/>
      <c r="D949" s="12" t="n"/>
      <c r="E949" s="12" t="n"/>
      <c r="F949" s="12" t="n"/>
      <c r="G949" s="12" t="n"/>
      <c r="H949" s="12" t="n"/>
      <c r="I949" s="12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</row>
    <row r="950">
      <c r="A950" s="19" t="n"/>
      <c r="B950" s="41" t="n"/>
      <c r="C950" s="12" t="n"/>
      <c r="D950" s="12" t="n"/>
      <c r="E950" s="12" t="n"/>
      <c r="F950" s="12" t="n"/>
      <c r="G950" s="12" t="n"/>
      <c r="H950" s="12" t="n"/>
      <c r="I950" s="12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</row>
    <row r="951">
      <c r="A951" s="19" t="n"/>
      <c r="B951" s="41" t="n"/>
      <c r="C951" s="12" t="n"/>
      <c r="D951" s="12" t="n"/>
      <c r="E951" s="12" t="n"/>
      <c r="F951" s="12" t="n"/>
      <c r="G951" s="12" t="n"/>
      <c r="H951" s="12" t="n"/>
      <c r="I951" s="12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</row>
    <row r="952">
      <c r="A952" s="19" t="n"/>
      <c r="B952" s="41" t="n"/>
      <c r="C952" s="12" t="n"/>
      <c r="D952" s="12" t="n"/>
      <c r="E952" s="12" t="n"/>
      <c r="F952" s="12" t="n"/>
      <c r="G952" s="12" t="n"/>
      <c r="H952" s="12" t="n"/>
      <c r="I952" s="12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</row>
    <row r="953">
      <c r="A953" s="19" t="n"/>
      <c r="B953" s="41" t="n"/>
      <c r="C953" s="12" t="n"/>
      <c r="D953" s="12" t="n"/>
      <c r="E953" s="12" t="n"/>
      <c r="F953" s="12" t="n"/>
      <c r="G953" s="12" t="n"/>
      <c r="H953" s="12" t="n"/>
      <c r="I953" s="12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</row>
    <row r="954">
      <c r="A954" s="19" t="n"/>
      <c r="B954" s="41" t="n"/>
      <c r="C954" s="12" t="n"/>
      <c r="D954" s="12" t="n"/>
      <c r="E954" s="12" t="n"/>
      <c r="F954" s="12" t="n"/>
      <c r="G954" s="12" t="n"/>
      <c r="H954" s="12" t="n"/>
      <c r="I954" s="12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</row>
    <row r="955">
      <c r="A955" s="19" t="n"/>
      <c r="B955" s="41" t="n"/>
      <c r="C955" s="12" t="n"/>
      <c r="D955" s="12" t="n"/>
      <c r="E955" s="12" t="n"/>
      <c r="F955" s="12" t="n"/>
      <c r="G955" s="12" t="n"/>
      <c r="H955" s="12" t="n"/>
      <c r="I955" s="12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</row>
    <row r="956">
      <c r="A956" s="19" t="n"/>
      <c r="B956" s="41" t="n"/>
      <c r="C956" s="12" t="n"/>
      <c r="D956" s="12" t="n"/>
      <c r="E956" s="12" t="n"/>
      <c r="F956" s="12" t="n"/>
      <c r="G956" s="12" t="n"/>
      <c r="H956" s="12" t="n"/>
      <c r="I956" s="12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</row>
    <row r="957">
      <c r="A957" s="19" t="n"/>
      <c r="B957" s="41" t="n"/>
      <c r="C957" s="12" t="n"/>
      <c r="D957" s="12" t="n"/>
      <c r="E957" s="12" t="n"/>
      <c r="F957" s="12" t="n"/>
      <c r="G957" s="12" t="n"/>
      <c r="H957" s="12" t="n"/>
      <c r="I957" s="12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</row>
    <row r="958">
      <c r="A958" s="19" t="n"/>
      <c r="B958" s="41" t="n"/>
      <c r="C958" s="12" t="n"/>
      <c r="D958" s="12" t="n"/>
      <c r="E958" s="12" t="n"/>
      <c r="F958" s="12" t="n"/>
      <c r="G958" s="12" t="n"/>
      <c r="H958" s="12" t="n"/>
      <c r="I958" s="12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</row>
    <row r="959">
      <c r="A959" s="19" t="n"/>
      <c r="B959" s="41" t="n"/>
      <c r="C959" s="12" t="n"/>
      <c r="D959" s="12" t="n"/>
      <c r="E959" s="12" t="n"/>
      <c r="F959" s="12" t="n"/>
      <c r="G959" s="12" t="n"/>
      <c r="H959" s="12" t="n"/>
      <c r="I959" s="12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</row>
    <row r="960">
      <c r="A960" s="19" t="n"/>
      <c r="B960" s="41" t="n"/>
      <c r="C960" s="12" t="n"/>
      <c r="D960" s="12" t="n"/>
      <c r="E960" s="12" t="n"/>
      <c r="F960" s="12" t="n"/>
      <c r="G960" s="12" t="n"/>
      <c r="H960" s="12" t="n"/>
      <c r="I960" s="12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</row>
    <row r="961">
      <c r="A961" s="19" t="n"/>
      <c r="B961" s="41" t="n"/>
      <c r="C961" s="12" t="n"/>
      <c r="D961" s="12" t="n"/>
      <c r="E961" s="12" t="n"/>
      <c r="F961" s="12" t="n"/>
      <c r="G961" s="12" t="n"/>
      <c r="H961" s="12" t="n"/>
      <c r="I961" s="12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</row>
    <row r="962">
      <c r="A962" s="19" t="n"/>
      <c r="B962" s="41" t="n"/>
      <c r="C962" s="12" t="n"/>
      <c r="D962" s="12" t="n"/>
      <c r="E962" s="12" t="n"/>
      <c r="F962" s="12" t="n"/>
      <c r="G962" s="12" t="n"/>
      <c r="H962" s="12" t="n"/>
      <c r="I962" s="12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</row>
    <row r="963">
      <c r="A963" s="19" t="n"/>
      <c r="B963" s="41" t="n"/>
      <c r="C963" s="12" t="n"/>
      <c r="D963" s="12" t="n"/>
      <c r="E963" s="12" t="n"/>
      <c r="F963" s="12" t="n"/>
      <c r="G963" s="12" t="n"/>
      <c r="H963" s="12" t="n"/>
      <c r="I963" s="12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</row>
    <row r="964">
      <c r="A964" s="19" t="n"/>
      <c r="B964" s="41" t="n"/>
      <c r="C964" s="12" t="n"/>
      <c r="D964" s="12" t="n"/>
      <c r="E964" s="12" t="n"/>
      <c r="F964" s="12" t="n"/>
      <c r="G964" s="12" t="n"/>
      <c r="H964" s="12" t="n"/>
      <c r="I964" s="12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</row>
    <row r="965">
      <c r="A965" s="19" t="n"/>
      <c r="B965" s="41" t="n"/>
      <c r="C965" s="12" t="n"/>
      <c r="D965" s="12" t="n"/>
      <c r="E965" s="12" t="n"/>
      <c r="F965" s="12" t="n"/>
      <c r="G965" s="12" t="n"/>
      <c r="H965" s="12" t="n"/>
      <c r="I965" s="12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</row>
    <row r="966">
      <c r="A966" s="19" t="n"/>
      <c r="B966" s="41" t="n"/>
      <c r="C966" s="12" t="n"/>
      <c r="D966" s="12" t="n"/>
      <c r="E966" s="12" t="n"/>
      <c r="F966" s="12" t="n"/>
      <c r="G966" s="12" t="n"/>
      <c r="H966" s="12" t="n"/>
      <c r="I966" s="12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</row>
    <row r="967">
      <c r="A967" s="19" t="n"/>
      <c r="B967" s="41" t="n"/>
      <c r="C967" s="12" t="n"/>
      <c r="D967" s="12" t="n"/>
      <c r="E967" s="12" t="n"/>
      <c r="F967" s="12" t="n"/>
      <c r="G967" s="12" t="n"/>
      <c r="H967" s="12" t="n"/>
      <c r="I967" s="12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</row>
    <row r="968">
      <c r="A968" s="19" t="n"/>
      <c r="B968" s="41" t="n"/>
      <c r="C968" s="12" t="n"/>
      <c r="D968" s="12" t="n"/>
      <c r="E968" s="12" t="n"/>
      <c r="F968" s="12" t="n"/>
      <c r="G968" s="12" t="n"/>
      <c r="H968" s="12" t="n"/>
      <c r="I968" s="12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</row>
    <row r="969">
      <c r="A969" s="19" t="n"/>
      <c r="B969" s="41" t="n"/>
      <c r="C969" s="12" t="n"/>
      <c r="D969" s="12" t="n"/>
      <c r="E969" s="12" t="n"/>
      <c r="F969" s="12" t="n"/>
      <c r="G969" s="12" t="n"/>
      <c r="H969" s="12" t="n"/>
      <c r="I969" s="12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</row>
    <row r="970">
      <c r="A970" s="19" t="n"/>
      <c r="B970" s="41" t="n"/>
      <c r="C970" s="12" t="n"/>
      <c r="D970" s="12" t="n"/>
      <c r="E970" s="12" t="n"/>
      <c r="F970" s="12" t="n"/>
      <c r="G970" s="12" t="n"/>
      <c r="H970" s="12" t="n"/>
      <c r="I970" s="12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</row>
    <row r="971">
      <c r="A971" s="19" t="n"/>
      <c r="B971" s="41" t="n"/>
      <c r="C971" s="12" t="n"/>
      <c r="D971" s="12" t="n"/>
      <c r="E971" s="12" t="n"/>
      <c r="F971" s="12" t="n"/>
      <c r="G971" s="12" t="n"/>
      <c r="H971" s="12" t="n"/>
      <c r="I971" s="12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</row>
    <row r="972">
      <c r="A972" s="19" t="n"/>
      <c r="B972" s="41" t="n"/>
      <c r="C972" s="12" t="n"/>
      <c r="D972" s="12" t="n"/>
      <c r="E972" s="12" t="n"/>
      <c r="F972" s="12" t="n"/>
      <c r="G972" s="12" t="n"/>
      <c r="H972" s="12" t="n"/>
      <c r="I972" s="12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</row>
    <row r="973">
      <c r="A973" s="19" t="n"/>
      <c r="B973" s="41" t="n"/>
      <c r="C973" s="12" t="n"/>
      <c r="D973" s="12" t="n"/>
      <c r="E973" s="12" t="n"/>
      <c r="F973" s="12" t="n"/>
      <c r="G973" s="12" t="n"/>
      <c r="H973" s="12" t="n"/>
      <c r="I973" s="12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</row>
    <row r="974">
      <c r="A974" s="19" t="n"/>
      <c r="B974" s="41" t="n"/>
      <c r="C974" s="12" t="n"/>
      <c r="D974" s="12" t="n"/>
      <c r="E974" s="12" t="n"/>
      <c r="F974" s="12" t="n"/>
      <c r="G974" s="12" t="n"/>
      <c r="H974" s="12" t="n"/>
      <c r="I974" s="12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</row>
    <row r="975">
      <c r="A975" s="19" t="n"/>
      <c r="B975" s="41" t="n"/>
      <c r="C975" s="12" t="n"/>
      <c r="D975" s="12" t="n"/>
      <c r="E975" s="12" t="n"/>
      <c r="F975" s="12" t="n"/>
      <c r="G975" s="12" t="n"/>
      <c r="H975" s="12" t="n"/>
      <c r="I975" s="12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</row>
    <row r="976">
      <c r="A976" s="19" t="n"/>
      <c r="B976" s="41" t="n"/>
      <c r="C976" s="12" t="n"/>
      <c r="D976" s="12" t="n"/>
      <c r="E976" s="12" t="n"/>
      <c r="F976" s="12" t="n"/>
      <c r="G976" s="12" t="n"/>
      <c r="H976" s="12" t="n"/>
      <c r="I976" s="12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</row>
    <row r="977">
      <c r="A977" s="19" t="n"/>
      <c r="B977" s="41" t="n"/>
      <c r="C977" s="12" t="n"/>
      <c r="D977" s="12" t="n"/>
      <c r="E977" s="12" t="n"/>
      <c r="F977" s="12" t="n"/>
      <c r="G977" s="12" t="n"/>
      <c r="H977" s="12" t="n"/>
      <c r="I977" s="12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</row>
    <row r="978">
      <c r="A978" s="19" t="n"/>
      <c r="B978" s="41" t="n"/>
      <c r="C978" s="12" t="n"/>
      <c r="D978" s="12" t="n"/>
      <c r="E978" s="12" t="n"/>
      <c r="F978" s="12" t="n"/>
      <c r="G978" s="12" t="n"/>
      <c r="H978" s="12" t="n"/>
      <c r="I978" s="12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</row>
    <row r="979">
      <c r="A979" s="19" t="n"/>
      <c r="B979" s="41" t="n"/>
      <c r="C979" s="12" t="n"/>
      <c r="D979" s="12" t="n"/>
      <c r="E979" s="12" t="n"/>
      <c r="F979" s="12" t="n"/>
      <c r="G979" s="12" t="n"/>
      <c r="H979" s="12" t="n"/>
      <c r="I979" s="12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</row>
    <row r="980">
      <c r="A980" s="19" t="n"/>
      <c r="B980" s="41" t="n"/>
      <c r="C980" s="12" t="n"/>
      <c r="D980" s="12" t="n"/>
      <c r="E980" s="12" t="n"/>
      <c r="F980" s="12" t="n"/>
      <c r="G980" s="12" t="n"/>
      <c r="H980" s="12" t="n"/>
      <c r="I980" s="12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</row>
    <row r="981">
      <c r="A981" s="19" t="n"/>
      <c r="B981" s="41" t="n"/>
      <c r="C981" s="12" t="n"/>
      <c r="D981" s="12" t="n"/>
      <c r="E981" s="12" t="n"/>
      <c r="F981" s="12" t="n"/>
      <c r="G981" s="12" t="n"/>
      <c r="H981" s="12" t="n"/>
      <c r="I981" s="12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</row>
    <row r="982">
      <c r="A982" s="19" t="n"/>
      <c r="B982" s="41" t="n"/>
      <c r="C982" s="12" t="n"/>
      <c r="D982" s="12" t="n"/>
      <c r="E982" s="12" t="n"/>
      <c r="F982" s="12" t="n"/>
      <c r="G982" s="12" t="n"/>
      <c r="H982" s="12" t="n"/>
      <c r="I982" s="12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</row>
    <row r="983">
      <c r="A983" s="19" t="n"/>
      <c r="B983" s="41" t="n"/>
      <c r="C983" s="12" t="n"/>
      <c r="D983" s="12" t="n"/>
      <c r="E983" s="12" t="n"/>
      <c r="F983" s="12" t="n"/>
      <c r="G983" s="12" t="n"/>
      <c r="H983" s="12" t="n"/>
      <c r="I983" s="12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</row>
    <row r="984">
      <c r="A984" s="19" t="n"/>
      <c r="B984" s="41" t="n"/>
      <c r="C984" s="12" t="n"/>
      <c r="D984" s="12" t="n"/>
      <c r="E984" s="12" t="n"/>
      <c r="F984" s="12" t="n"/>
      <c r="G984" s="12" t="n"/>
      <c r="H984" s="12" t="n"/>
      <c r="I984" s="12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</row>
    <row r="985">
      <c r="A985" s="19" t="n"/>
      <c r="B985" s="41" t="n"/>
      <c r="C985" s="12" t="n"/>
      <c r="D985" s="12" t="n"/>
      <c r="E985" s="12" t="n"/>
      <c r="F985" s="12" t="n"/>
      <c r="G985" s="12" t="n"/>
      <c r="H985" s="12" t="n"/>
      <c r="I985" s="12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</row>
    <row r="986">
      <c r="A986" s="19" t="n"/>
      <c r="B986" s="41" t="n"/>
      <c r="C986" s="12" t="n"/>
      <c r="D986" s="12" t="n"/>
      <c r="E986" s="12" t="n"/>
      <c r="F986" s="12" t="n"/>
      <c r="G986" s="12" t="n"/>
      <c r="H986" s="12" t="n"/>
      <c r="I986" s="12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</row>
    <row r="987">
      <c r="A987" s="19" t="n"/>
      <c r="B987" s="41" t="n"/>
      <c r="C987" s="12" t="n"/>
      <c r="D987" s="12" t="n"/>
      <c r="E987" s="12" t="n"/>
      <c r="F987" s="12" t="n"/>
      <c r="G987" s="12" t="n"/>
      <c r="H987" s="12" t="n"/>
      <c r="I987" s="12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</row>
    <row r="988">
      <c r="A988" s="19" t="n"/>
      <c r="B988" s="41" t="n"/>
      <c r="C988" s="12" t="n"/>
      <c r="D988" s="12" t="n"/>
      <c r="E988" s="12" t="n"/>
      <c r="F988" s="12" t="n"/>
      <c r="G988" s="12" t="n"/>
      <c r="H988" s="12" t="n"/>
      <c r="I988" s="12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</row>
    <row r="989">
      <c r="A989" s="19" t="n"/>
      <c r="B989" s="41" t="n"/>
      <c r="C989" s="12" t="n"/>
      <c r="D989" s="12" t="n"/>
      <c r="E989" s="12" t="n"/>
      <c r="F989" s="12" t="n"/>
      <c r="G989" s="12" t="n"/>
      <c r="H989" s="12" t="n"/>
      <c r="I989" s="12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</row>
    <row r="990">
      <c r="A990" s="19" t="n"/>
      <c r="B990" s="41" t="n"/>
      <c r="C990" s="12" t="n"/>
      <c r="D990" s="12" t="n"/>
      <c r="E990" s="12" t="n"/>
      <c r="F990" s="12" t="n"/>
      <c r="G990" s="12" t="n"/>
      <c r="H990" s="12" t="n"/>
      <c r="I990" s="12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</row>
    <row r="991">
      <c r="A991" s="19" t="n"/>
      <c r="B991" s="41" t="n"/>
      <c r="C991" s="12" t="n"/>
      <c r="D991" s="12" t="n"/>
      <c r="E991" s="12" t="n"/>
      <c r="F991" s="12" t="n"/>
      <c r="G991" s="12" t="n"/>
      <c r="H991" s="12" t="n"/>
      <c r="I991" s="12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</row>
    <row r="992">
      <c r="A992" s="19" t="n"/>
      <c r="B992" s="41" t="n"/>
      <c r="C992" s="12" t="n"/>
      <c r="D992" s="12" t="n"/>
      <c r="E992" s="12" t="n"/>
      <c r="F992" s="12" t="n"/>
      <c r="G992" s="12" t="n"/>
      <c r="H992" s="12" t="n"/>
      <c r="I992" s="12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</row>
    <row r="993">
      <c r="A993" s="19" t="n"/>
      <c r="B993" s="41" t="n"/>
      <c r="C993" s="12" t="n"/>
      <c r="D993" s="12" t="n"/>
      <c r="E993" s="12" t="n"/>
      <c r="F993" s="12" t="n"/>
      <c r="G993" s="12" t="n"/>
      <c r="H993" s="12" t="n"/>
      <c r="I993" s="12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</row>
    <row r="994">
      <c r="A994" s="19" t="n"/>
      <c r="B994" s="41" t="n"/>
      <c r="C994" s="12" t="n"/>
      <c r="D994" s="12" t="n"/>
      <c r="E994" s="12" t="n"/>
      <c r="F994" s="12" t="n"/>
      <c r="G994" s="12" t="n"/>
      <c r="H994" s="12" t="n"/>
      <c r="I994" s="12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</row>
    <row r="995">
      <c r="A995" s="19" t="n"/>
      <c r="B995" s="41" t="n"/>
      <c r="C995" s="12" t="n"/>
      <c r="D995" s="12" t="n"/>
      <c r="E995" s="12" t="n"/>
      <c r="F995" s="12" t="n"/>
      <c r="G995" s="12" t="n"/>
      <c r="H995" s="12" t="n"/>
      <c r="I995" s="12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</row>
    <row r="996">
      <c r="A996" s="19" t="n"/>
      <c r="B996" s="41" t="n"/>
      <c r="C996" s="12" t="n"/>
      <c r="D996" s="12" t="n"/>
      <c r="E996" s="12" t="n"/>
      <c r="F996" s="12" t="n"/>
      <c r="G996" s="12" t="n"/>
      <c r="H996" s="12" t="n"/>
      <c r="I996" s="12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</row>
    <row r="997">
      <c r="A997" s="19" t="n"/>
      <c r="B997" s="41" t="n"/>
      <c r="C997" s="12" t="n"/>
      <c r="D997" s="12" t="n"/>
      <c r="E997" s="12" t="n"/>
      <c r="F997" s="12" t="n"/>
      <c r="G997" s="12" t="n"/>
      <c r="H997" s="12" t="n"/>
      <c r="I997" s="12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</row>
    <row r="998">
      <c r="A998" s="19" t="n"/>
      <c r="B998" s="41" t="n"/>
      <c r="C998" s="12" t="n"/>
      <c r="D998" s="12" t="n"/>
      <c r="E998" s="12" t="n"/>
      <c r="F998" s="12" t="n"/>
      <c r="G998" s="12" t="n"/>
      <c r="H998" s="12" t="n"/>
      <c r="I998" s="12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</row>
    <row r="999">
      <c r="A999" s="19" t="n"/>
      <c r="B999" s="41" t="n"/>
      <c r="C999" s="12" t="n"/>
      <c r="D999" s="12" t="n"/>
      <c r="E999" s="12" t="n"/>
      <c r="F999" s="12" t="n"/>
      <c r="G999" s="12" t="n"/>
      <c r="H999" s="12" t="n"/>
      <c r="I999" s="12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</row>
    <row r="1000">
      <c r="A1000" s="19" t="n"/>
      <c r="B1000" s="41" t="n"/>
      <c r="C1000" s="12" t="n"/>
      <c r="D1000" s="12" t="n"/>
      <c r="E1000" s="12" t="n"/>
      <c r="F1000" s="12" t="n"/>
      <c r="G1000" s="12" t="n"/>
      <c r="H1000" s="12" t="n"/>
      <c r="I1000" s="12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</row>
    <row r="1001">
      <c r="A1001" s="19" t="n"/>
      <c r="B1001" s="41" t="n"/>
      <c r="C1001" s="12" t="n"/>
      <c r="D1001" s="12" t="n"/>
      <c r="E1001" s="12" t="n"/>
      <c r="F1001" s="12" t="n"/>
      <c r="G1001" s="12" t="n"/>
      <c r="H1001" s="12" t="n"/>
      <c r="I1001" s="12" t="n"/>
      <c r="J1001" s="19" t="n"/>
      <c r="K1001" s="19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  <c r="T1001" s="19" t="n"/>
      <c r="U1001" s="19" t="n"/>
      <c r="V1001" s="19" t="n"/>
      <c r="W1001" s="19" t="n"/>
    </row>
    <row r="1002">
      <c r="A1002" s="19" t="n"/>
      <c r="B1002" s="41" t="n"/>
      <c r="C1002" s="12" t="n"/>
      <c r="D1002" s="12" t="n"/>
      <c r="E1002" s="12" t="n"/>
      <c r="F1002" s="12" t="n"/>
      <c r="G1002" s="12" t="n"/>
      <c r="H1002" s="12" t="n"/>
      <c r="I1002" s="12" t="n"/>
      <c r="J1002" s="19" t="n"/>
      <c r="K1002" s="19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  <c r="T1002" s="19" t="n"/>
      <c r="U1002" s="19" t="n"/>
      <c r="V1002" s="19" t="n"/>
      <c r="W1002" s="19" t="n"/>
    </row>
  </sheetData>
  <autoFilter ref="$A$1:$JH$100">
    <sortState ref="A1:JH100">
      <sortCondition descending="1" ref="J1:J100"/>
      <sortCondition descending="1" ref="AV1:AV100"/>
      <sortCondition descending="1" ref="IS1:IS100"/>
      <sortCondition descending="1" ref="V1:V100"/>
      <sortCondition descending="1" ref="R1:R100"/>
      <sortCondition descending="1" ref="U1:U100"/>
      <sortCondition descending="1" ref="K1:K100"/>
      <sortCondition ref="B1:B100"/>
      <sortCondition descending="1" ref="A1:A100"/>
      <sortCondition ref="E1:E100"/>
      <sortCondition descending="1" ref="H1:H100"/>
      <sortCondition descending="1" ref="I1:I100"/>
      <sortCondition descending="1" ref="FA1:FA100"/>
      <sortCondition descending="1" ref="DH1:DH100"/>
      <sortCondition descending="1" ref="DD1:DD100"/>
      <sortCondition descending="1" ref="DB1:DB100"/>
      <sortCondition descending="1" ref="DC1:DC100"/>
      <sortCondition descending="1" ref="CJ1:CJ100"/>
      <sortCondition descending="1" ref="CA1:CA100"/>
      <sortCondition descending="1" ref="CB1:CB100"/>
      <sortCondition descending="1" ref="BY1:BY100"/>
      <sortCondition descending="1" ref="BZ1:BZ100"/>
      <sortCondition descending="1" ref="BX1:BX100"/>
      <sortCondition descending="1" ref="BU1:BU100"/>
      <sortCondition descending="1" ref="AZ1:AZ100"/>
      <sortCondition descending="1" ref="AY1:AY100"/>
      <sortCondition descending="1" ref="AQ1:AQ100"/>
      <sortCondition descending="1" ref="AJ1:AJ100"/>
      <sortCondition descending="1" ref="HA1:HA100"/>
      <sortCondition descending="1" ref="GZ1:GZ100"/>
      <sortCondition descending="1" ref="FQ1:FQ100"/>
      <sortCondition descending="1" ref="AI1:AI100"/>
      <sortCondition descending="1" ref="AH1:AH100"/>
      <sortCondition descending="1" ref="EU1:EU100"/>
      <sortCondition descending="1" ref="DO1:DO100"/>
      <sortCondition descending="1" ref="DP1:DP100"/>
      <sortCondition ref="BN1:BN100"/>
      <sortCondition ref="BM1:BM100"/>
      <sortCondition descending="1" ref="AK1:AK100"/>
    </sortState>
  </autoFilter>
  <mergeCells count="54">
    <mergeCell ref="DO1:DS1"/>
    <mergeCell ref="IB1:ID1"/>
    <mergeCell ref="BX1:BZ1"/>
    <mergeCell ref="GN1:GP1"/>
    <mergeCell ref="IH1:IJ1"/>
    <mergeCell ref="BU1:BW1"/>
    <mergeCell ref="HT1:HV1"/>
    <mergeCell ref="DW1:DY1"/>
    <mergeCell ref="IY1:JA1"/>
    <mergeCell ref="FY1:GA1"/>
    <mergeCell ref="EC1:EG1"/>
    <mergeCell ref="GT1:GV1"/>
    <mergeCell ref="HQ1:HS1"/>
    <mergeCell ref="GK1:GM1"/>
    <mergeCell ref="HB1:HD1"/>
    <mergeCell ref="IV1:IX1"/>
    <mergeCell ref="IK1:IM1"/>
    <mergeCell ref="IE1:IG1"/>
    <mergeCell ref="CM1:CO1"/>
    <mergeCell ref="HN1:HP1"/>
    <mergeCell ref="FK1:FO1"/>
    <mergeCell ref="AQ1:AV1"/>
    <mergeCell ref="DT1:DV1"/>
    <mergeCell ref="FU1:FX1"/>
    <mergeCell ref="CY1:DA1"/>
    <mergeCell ref="EM1:EO1"/>
    <mergeCell ref="DZ1:EB1"/>
    <mergeCell ref="HF1:HH1"/>
    <mergeCell ref="GW1:GY1"/>
    <mergeCell ref="GH1:GJ1"/>
    <mergeCell ref="BI1:BK1"/>
    <mergeCell ref="IQ1:IS1"/>
    <mergeCell ref="BA1:BC1"/>
    <mergeCell ref="BO1:BQ1"/>
    <mergeCell ref="HK1:HM1"/>
    <mergeCell ref="IN1:IP1"/>
    <mergeCell ref="DE1:DG1"/>
    <mergeCell ref="CE1:CI1"/>
    <mergeCell ref="BD1:BH1"/>
    <mergeCell ref="AB1:AH1"/>
    <mergeCell ref="EP1:ER1"/>
    <mergeCell ref="DB1:DD1"/>
    <mergeCell ref="GE1:GG1"/>
    <mergeCell ref="AX1:AZ1"/>
    <mergeCell ref="AI1:AK1"/>
    <mergeCell ref="CR1:CX1"/>
    <mergeCell ref="BL1:BN1"/>
    <mergeCell ref="AM1:AP1"/>
    <mergeCell ref="BR1:BT1"/>
    <mergeCell ref="FQ1:FT1"/>
    <mergeCell ref="FH1:FJ1"/>
    <mergeCell ref="GQ1:GS1"/>
    <mergeCell ref="EH1:EL1"/>
    <mergeCell ref="GB1:G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2026-03-14T23:03:07Z</dcterms:created>
  <dcterms:modified xsi:type="dcterms:W3CDTF">2026-03-14T23:03:09Z</dcterms:modified>
</cp:coreProperties>
</file>